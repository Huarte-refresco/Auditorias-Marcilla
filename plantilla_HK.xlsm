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comments1.xml" ContentType="application/vnd.openxmlformats-officedocument.spreadsheetml.comment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aitor.huartelafraya\Downloads\"/>
    </mc:Choice>
  </mc:AlternateContent>
  <xr:revisionPtr revIDLastSave="0" documentId="8_{22205767-975F-4D7E-BBE2-D3B5A3472E41}" xr6:coauthVersionLast="47" xr6:coauthVersionMax="47" xr10:uidLastSave="{00000000-0000-0000-0000-000000000000}"/>
  <bookViews>
    <workbookView xWindow="-110" yWindow="-110" windowWidth="19420" windowHeight="11500" tabRatio="828" activeTab="2" xr2:uid="{00000000-000D-0000-FFFF-FFFF00000000}"/>
  </bookViews>
  <sheets>
    <sheet name="INFORME AUDIT INTERNA" sheetId="3" r:id="rId1"/>
    <sheet name="AUDIT SISTEMAS Y PROCESOS" sheetId="13" r:id="rId2"/>
    <sheet name="Analisis_Tendencias" sheetId="6" r:id="rId3"/>
    <sheet name="AUDIT HK" sheetId="1" r:id="rId4"/>
    <sheet name="NCm_NCM" sheetId="5" r:id="rId5"/>
    <sheet name="KPIs" sheetId="12" r:id="rId6"/>
    <sheet name="CAL 1" sheetId="16" r:id="rId7"/>
    <sheet name="ListasDatos" sheetId="4" r:id="rId8"/>
  </sheets>
  <externalReferences>
    <externalReference r:id="rId9"/>
    <externalReference r:id="rId10"/>
  </externalReferences>
  <definedNames>
    <definedName name="_xlnm._FilterDatabase" localSheetId="4" hidden="1">NCm_NCM!$A$8:$W$238</definedName>
    <definedName name="_xleta.N" hidden="1" xlm="1">#NAME?</definedName>
    <definedName name="Abrev">#REF!</definedName>
    <definedName name="_xlnm.Print_Area" localSheetId="2">Analisis_Tendencias!$A$1:$U$52</definedName>
    <definedName name="_xlnm.Print_Area" localSheetId="3">'AUDIT HK'!$C$1:$L$184</definedName>
    <definedName name="_xlnm.Print_Area" localSheetId="1">'AUDIT SISTEMAS Y PROCESOS'!$A$1:$J$50</definedName>
    <definedName name="_xlnm.Print_Area" localSheetId="6">'CAL 1'!$A$1:$U$55</definedName>
    <definedName name="_xlnm.Print_Area" localSheetId="0">'INFORME AUDIT INTERNA'!$A$1:$M$84</definedName>
    <definedName name="_xlnm.Print_Area" localSheetId="5">KPIs!$A$1:$U$50</definedName>
    <definedName name="_xlnm.Print_Area" localSheetId="4">NCm_NCM!$B$7:$Q$66</definedName>
    <definedName name="DBSchenker">#REF!</definedName>
    <definedName name="EURO">[1]Лист2!$H$29</definedName>
    <definedName name="NC" localSheetId="3">'AUDIT HK'!#REF!</definedName>
    <definedName name="NUTRICIA">#REF!</definedName>
    <definedName name="PepsiCo.">#REF!</definedName>
    <definedName name="Status">'[2]Business Case'!$E$83:$E$86</definedName>
    <definedName name="_xlnm.Print_Titles" localSheetId="1">'AUDIT SISTEMAS Y PROCESOS'!$8:$8</definedName>
    <definedName name="USD">[1]Лист2!$H$28</definedName>
    <definedName name="WTE">#REF!</definedName>
    <definedName name="НДС">[1]Лист2!$H$31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52" i="1" l="1"/>
  <c r="BJ148" i="1"/>
  <c r="BJ128" i="1"/>
  <c r="BJ123" i="1"/>
  <c r="BJ118" i="1"/>
  <c r="BJ92" i="1"/>
  <c r="BJ80" i="1"/>
  <c r="BJ75" i="1"/>
  <c r="BJ71" i="1"/>
  <c r="BJ66" i="1"/>
  <c r="BJ62" i="1"/>
  <c r="BJ55" i="1"/>
  <c r="BJ49" i="1"/>
  <c r="BJ44" i="1"/>
  <c r="BJ37" i="1"/>
  <c r="BJ31" i="1"/>
  <c r="BJ24" i="1"/>
  <c r="BJ17" i="1"/>
  <c r="BJ11" i="1"/>
  <c r="S230" i="5"/>
  <c r="S229" i="5"/>
  <c r="S228" i="5"/>
  <c r="S220" i="5"/>
  <c r="S218" i="5"/>
  <c r="S217" i="5"/>
  <c r="S216" i="5"/>
  <c r="S215" i="5"/>
  <c r="S214" i="5"/>
  <c r="S213" i="5"/>
  <c r="S207" i="5"/>
  <c r="S203" i="5"/>
  <c r="S201" i="5"/>
  <c r="BD181" i="1"/>
  <c r="BD185" i="1"/>
  <c r="BD176" i="1"/>
  <c r="BD171" i="1"/>
  <c r="BD167" i="1"/>
  <c r="BD163" i="1"/>
  <c r="BD159" i="1"/>
  <c r="BD152" i="1"/>
  <c r="BD148" i="1"/>
  <c r="BD144" i="1"/>
  <c r="BD140" i="1"/>
  <c r="BD135" i="1"/>
  <c r="BD128" i="1"/>
  <c r="BD123" i="1"/>
  <c r="BD118" i="1"/>
  <c r="BD92" i="1"/>
  <c r="BD87" i="1"/>
  <c r="BD80" i="1"/>
  <c r="BD75" i="1"/>
  <c r="BD71" i="1"/>
  <c r="BD66" i="1"/>
  <c r="BD62" i="1"/>
  <c r="BD55" i="1"/>
  <c r="BD44" i="1"/>
  <c r="BD37" i="1"/>
  <c r="BD31" i="1"/>
  <c r="BD24" i="1"/>
  <c r="BD17" i="1"/>
  <c r="BD11" i="1"/>
  <c r="AX163" i="1"/>
  <c r="AX118" i="1"/>
  <c r="AX49" i="1"/>
  <c r="AX44" i="1"/>
  <c r="AX37" i="1"/>
  <c r="AX31" i="1"/>
  <c r="AX24" i="1"/>
  <c r="BE6" i="4" s="1"/>
  <c r="AX17" i="1"/>
  <c r="BE5" i="4" s="1"/>
  <c r="AX11" i="1"/>
  <c r="L4" i="4" s="1"/>
  <c r="AA4" i="4" s="1"/>
  <c r="AR37" i="1"/>
  <c r="K8" i="4" s="1"/>
  <c r="Z8" i="4" s="1"/>
  <c r="AR31" i="1"/>
  <c r="AR24" i="1"/>
  <c r="AR17" i="1"/>
  <c r="K5" i="4" s="1"/>
  <c r="Z5" i="4" s="1"/>
  <c r="AR11" i="1"/>
  <c r="K4" i="4" s="1"/>
  <c r="Z4" i="4" s="1"/>
  <c r="AR55" i="1"/>
  <c r="K12" i="4" s="1"/>
  <c r="Z12" i="4" s="1"/>
  <c r="AR49" i="1"/>
  <c r="K11" i="4" s="1"/>
  <c r="Z11" i="4" s="1"/>
  <c r="AR44" i="1"/>
  <c r="AR92" i="1"/>
  <c r="AR87" i="1"/>
  <c r="AR80" i="1"/>
  <c r="K18" i="4" s="1"/>
  <c r="Z18" i="4" s="1"/>
  <c r="AR75" i="1"/>
  <c r="AR71" i="1"/>
  <c r="K16" i="4" s="1"/>
  <c r="Z16" i="4" s="1"/>
  <c r="AR140" i="1"/>
  <c r="AR135" i="1"/>
  <c r="AR128" i="1"/>
  <c r="K30" i="4" s="1"/>
  <c r="Z30" i="4" s="1"/>
  <c r="AR123" i="1"/>
  <c r="K29" i="4" s="1"/>
  <c r="Z29" i="4" s="1"/>
  <c r="AR118" i="1"/>
  <c r="K28" i="4" s="1"/>
  <c r="Z28" i="4" s="1"/>
  <c r="AR163" i="1"/>
  <c r="K38" i="4" s="1"/>
  <c r="Z38" i="4" s="1"/>
  <c r="AR159" i="1"/>
  <c r="AR152" i="1"/>
  <c r="AR148" i="1"/>
  <c r="AR144" i="1"/>
  <c r="K34" i="4" s="1"/>
  <c r="Z34" i="4" s="1"/>
  <c r="AR185" i="1"/>
  <c r="AR181" i="1"/>
  <c r="K43" i="4" s="1"/>
  <c r="Z43" i="4" s="1"/>
  <c r="AR176" i="1"/>
  <c r="AR171" i="1"/>
  <c r="K41" i="4" s="1"/>
  <c r="Z41" i="4" s="1"/>
  <c r="AR167" i="1"/>
  <c r="K40" i="4" s="1"/>
  <c r="Z40" i="4" s="1"/>
  <c r="AF135" i="1"/>
  <c r="I31" i="4" s="1"/>
  <c r="AF128" i="1"/>
  <c r="I30" i="4" s="1"/>
  <c r="AF123" i="1"/>
  <c r="I29" i="4" s="1"/>
  <c r="E30" i="3" s="1"/>
  <c r="AF66" i="1"/>
  <c r="AF62" i="1"/>
  <c r="AF49" i="1"/>
  <c r="I11" i="4" s="1"/>
  <c r="X11" i="4" s="1"/>
  <c r="AF44" i="1"/>
  <c r="I10" i="4" s="1"/>
  <c r="X10" i="4" s="1"/>
  <c r="AF24" i="1"/>
  <c r="AF37" i="1"/>
  <c r="AF31" i="1"/>
  <c r="AF17" i="1"/>
  <c r="AF11" i="1"/>
  <c r="AF140" i="1"/>
  <c r="AF92" i="1"/>
  <c r="I20" i="4" s="1"/>
  <c r="X20" i="4" s="1"/>
  <c r="AF87" i="1"/>
  <c r="AF80" i="1"/>
  <c r="AF75" i="1"/>
  <c r="AF71" i="1"/>
  <c r="AF167" i="1"/>
  <c r="AF176" i="1"/>
  <c r="AF181" i="1"/>
  <c r="I43" i="4" s="1"/>
  <c r="X43" i="4" s="1"/>
  <c r="AF185" i="1"/>
  <c r="AF163" i="1"/>
  <c r="I38" i="4" s="1"/>
  <c r="X38" i="4" s="1"/>
  <c r="AF159" i="1"/>
  <c r="AF152" i="1"/>
  <c r="AF148" i="1"/>
  <c r="AF144" i="1"/>
  <c r="I34" i="4" s="1"/>
  <c r="X34" i="4" s="1"/>
  <c r="T140" i="1"/>
  <c r="G32" i="4" s="1"/>
  <c r="V32" i="4" s="1"/>
  <c r="T135" i="1"/>
  <c r="T128" i="1"/>
  <c r="T123" i="1"/>
  <c r="G29" i="4" s="1"/>
  <c r="V29" i="4" s="1"/>
  <c r="T118" i="1"/>
  <c r="T92" i="1"/>
  <c r="G20" i="4" s="1"/>
  <c r="V20" i="4" s="1"/>
  <c r="T87" i="1"/>
  <c r="G19" i="4" s="1"/>
  <c r="V19" i="4" s="1"/>
  <c r="T80" i="1"/>
  <c r="G18" i="4" s="1"/>
  <c r="V18" i="4" s="1"/>
  <c r="T75" i="1"/>
  <c r="T71" i="1"/>
  <c r="G16" i="4" s="1"/>
  <c r="V16" i="4" s="1"/>
  <c r="T163" i="1"/>
  <c r="G38" i="4" s="1"/>
  <c r="V38" i="4" s="1"/>
  <c r="T159" i="1"/>
  <c r="G37" i="4" s="1"/>
  <c r="V37" i="4" s="1"/>
  <c r="T152" i="1"/>
  <c r="G36" i="4" s="1"/>
  <c r="V36" i="4" s="1"/>
  <c r="T148" i="1"/>
  <c r="G35" i="4" s="1"/>
  <c r="V35" i="4" s="1"/>
  <c r="T144" i="1"/>
  <c r="G34" i="4" s="1"/>
  <c r="V34" i="4" s="1"/>
  <c r="T185" i="1"/>
  <c r="T181" i="1"/>
  <c r="T171" i="1"/>
  <c r="G41" i="4" s="1"/>
  <c r="V41" i="4" s="1"/>
  <c r="T167" i="1"/>
  <c r="T176" i="1"/>
  <c r="G42" i="4" s="1"/>
  <c r="V42" i="4" s="1"/>
  <c r="J6" i="5"/>
  <c r="F54" i="3" s="1"/>
  <c r="S6" i="5"/>
  <c r="M54" i="3" s="1"/>
  <c r="AX181" i="1"/>
  <c r="AP43" i="4" s="1"/>
  <c r="AX176" i="1"/>
  <c r="AP42" i="4" s="1"/>
  <c r="AX171" i="1"/>
  <c r="BE41" i="4" s="1"/>
  <c r="AX167" i="1"/>
  <c r="AP47" i="4" s="1"/>
  <c r="AP45" i="4" s="1"/>
  <c r="AX92" i="1"/>
  <c r="L20" i="4" s="1"/>
  <c r="AA20" i="4" s="1"/>
  <c r="AX87" i="1"/>
  <c r="AP19" i="4" s="1"/>
  <c r="AX80" i="1"/>
  <c r="AP18" i="4" s="1"/>
  <c r="AX75" i="1"/>
  <c r="AP17" i="4" s="1"/>
  <c r="AX71" i="1"/>
  <c r="AP16" i="4" s="1"/>
  <c r="AX66" i="1"/>
  <c r="AP14" i="4" s="1"/>
  <c r="AX62" i="1"/>
  <c r="BE13" i="4" s="1"/>
  <c r="AX55" i="1"/>
  <c r="L12" i="4" s="1"/>
  <c r="L11" i="4"/>
  <c r="AX159" i="1"/>
  <c r="L37" i="4" s="1"/>
  <c r="AX152" i="1"/>
  <c r="AP36" i="4" s="1"/>
  <c r="AX148" i="1"/>
  <c r="L35" i="4" s="1"/>
  <c r="AA35" i="4" s="1"/>
  <c r="AX144" i="1"/>
  <c r="L34" i="4" s="1"/>
  <c r="AA34" i="4" s="1"/>
  <c r="AX140" i="1"/>
  <c r="AP32" i="4" s="1"/>
  <c r="AX135" i="1"/>
  <c r="BE31" i="4" s="1"/>
  <c r="AX128" i="1"/>
  <c r="AP30" i="4" s="1"/>
  <c r="AX123" i="1"/>
  <c r="AP29" i="4" s="1"/>
  <c r="AP28" i="4"/>
  <c r="H51" i="3"/>
  <c r="Z185" i="1"/>
  <c r="Z181" i="1"/>
  <c r="Z176" i="1"/>
  <c r="H42" i="4" s="1"/>
  <c r="Z171" i="1"/>
  <c r="Z167" i="1"/>
  <c r="H40" i="4" s="1"/>
  <c r="W40" i="4" s="1"/>
  <c r="Z163" i="1"/>
  <c r="H38" i="4" s="1"/>
  <c r="W38" i="4" s="1"/>
  <c r="Z159" i="1"/>
  <c r="H37" i="4" s="1"/>
  <c r="W37" i="4" s="1"/>
  <c r="Z152" i="1"/>
  <c r="H36" i="4" s="1"/>
  <c r="W36" i="4" s="1"/>
  <c r="Z148" i="1"/>
  <c r="H35" i="4" s="1"/>
  <c r="W35" i="4" s="1"/>
  <c r="Z144" i="1"/>
  <c r="H34" i="4" s="1"/>
  <c r="W34" i="4" s="1"/>
  <c r="Z140" i="1"/>
  <c r="Z135" i="1"/>
  <c r="Z128" i="1"/>
  <c r="Z123" i="1"/>
  <c r="Z118" i="1"/>
  <c r="Z92" i="1"/>
  <c r="H20" i="4" s="1"/>
  <c r="W20" i="4" s="1"/>
  <c r="Z87" i="1"/>
  <c r="Z80" i="1"/>
  <c r="H18" i="4" s="1"/>
  <c r="W18" i="4" s="1"/>
  <c r="Z75" i="1"/>
  <c r="H17" i="4" s="1"/>
  <c r="W17" i="4" s="1"/>
  <c r="Z71" i="1"/>
  <c r="H16" i="4" s="1"/>
  <c r="W16" i="4" s="1"/>
  <c r="Z66" i="1"/>
  <c r="H14" i="4" s="1"/>
  <c r="W14" i="4" s="1"/>
  <c r="Z62" i="1"/>
  <c r="H13" i="4" s="1"/>
  <c r="W13" i="4" s="1"/>
  <c r="Z55" i="1"/>
  <c r="H12" i="4" s="1"/>
  <c r="W12" i="4" s="1"/>
  <c r="Z49" i="1"/>
  <c r="H11" i="4" s="1"/>
  <c r="W11" i="4" s="1"/>
  <c r="Z44" i="1"/>
  <c r="H10" i="4" s="1"/>
  <c r="W10" i="4" s="1"/>
  <c r="Z37" i="1"/>
  <c r="H8" i="4" s="1"/>
  <c r="W8" i="4" s="1"/>
  <c r="Z31" i="1"/>
  <c r="H7" i="4" s="1"/>
  <c r="W7" i="4" s="1"/>
  <c r="I18" i="16"/>
  <c r="I16" i="16"/>
  <c r="I14" i="16"/>
  <c r="I12" i="16"/>
  <c r="O6" i="5"/>
  <c r="I54" i="3" s="1"/>
  <c r="D6" i="5"/>
  <c r="B54" i="3" s="1"/>
  <c r="O19" i="4"/>
  <c r="O18" i="4"/>
  <c r="O17" i="4"/>
  <c r="AD17" i="4" s="1"/>
  <c r="O16" i="4"/>
  <c r="N92" i="1"/>
  <c r="F20" i="4" s="1"/>
  <c r="U20" i="4" s="1"/>
  <c r="N87" i="1"/>
  <c r="F19" i="4" s="1"/>
  <c r="U19" i="4" s="1"/>
  <c r="N80" i="1"/>
  <c r="F18" i="4" s="1"/>
  <c r="U18" i="4" s="1"/>
  <c r="N75" i="1"/>
  <c r="F17" i="4" s="1"/>
  <c r="U17" i="4" s="1"/>
  <c r="N71" i="1"/>
  <c r="F16" i="4" s="1"/>
  <c r="C43" i="13"/>
  <c r="S51" i="4"/>
  <c r="Q66" i="4"/>
  <c r="CB87" i="1"/>
  <c r="Q19" i="4" s="1"/>
  <c r="AF19" i="4" s="1"/>
  <c r="CB80" i="1"/>
  <c r="Q18" i="4" s="1"/>
  <c r="AF18" i="4" s="1"/>
  <c r="CB75" i="1"/>
  <c r="Q17" i="4" s="1"/>
  <c r="AF17" i="4" s="1"/>
  <c r="CB44" i="1"/>
  <c r="Q10" i="4" s="1"/>
  <c r="AF10" i="4" s="1"/>
  <c r="CB37" i="1"/>
  <c r="Q8" i="4" s="1"/>
  <c r="CB31" i="1"/>
  <c r="Q7" i="4" s="1"/>
  <c r="CB24" i="1"/>
  <c r="Q6" i="4" s="1"/>
  <c r="CB17" i="1"/>
  <c r="Q5" i="4" s="1"/>
  <c r="AF5" i="4" s="1"/>
  <c r="CB11" i="1"/>
  <c r="Q4" i="4" s="1"/>
  <c r="CB71" i="1"/>
  <c r="Q16" i="4" s="1"/>
  <c r="AF16" i="4" s="1"/>
  <c r="BE15" i="4"/>
  <c r="J14" i="4"/>
  <c r="Y14" i="4" s="1"/>
  <c r="N66" i="1"/>
  <c r="F14" i="4" s="1"/>
  <c r="U14" i="4" s="1"/>
  <c r="N62" i="1"/>
  <c r="F13" i="4" s="1"/>
  <c r="E46" i="3"/>
  <c r="P19" i="4"/>
  <c r="AE19" i="4" s="1"/>
  <c r="P18" i="4"/>
  <c r="AE18" i="4" s="1"/>
  <c r="P17" i="4"/>
  <c r="AE17" i="4" s="1"/>
  <c r="P16" i="4"/>
  <c r="AE16" i="4" s="1"/>
  <c r="R66" i="4"/>
  <c r="F3" i="12"/>
  <c r="F3" i="6"/>
  <c r="H3" i="5"/>
  <c r="E3" i="1"/>
  <c r="E5" i="13"/>
  <c r="C51" i="3"/>
  <c r="D9" i="4"/>
  <c r="F44" i="3"/>
  <c r="P46" i="4"/>
  <c r="P66" i="4"/>
  <c r="O46" i="4"/>
  <c r="O66" i="4"/>
  <c r="N46" i="4"/>
  <c r="AC46" i="4"/>
  <c r="M46" i="4"/>
  <c r="M66" i="4"/>
  <c r="L46" i="4"/>
  <c r="L66" i="4"/>
  <c r="K46" i="4"/>
  <c r="K66" i="4"/>
  <c r="J46" i="4"/>
  <c r="J66" i="4"/>
  <c r="I46" i="4"/>
  <c r="H46" i="4"/>
  <c r="H66" i="4"/>
  <c r="G46" i="4"/>
  <c r="G66" i="4"/>
  <c r="F46" i="4"/>
  <c r="F66" i="4"/>
  <c r="E46" i="4"/>
  <c r="K17" i="3"/>
  <c r="D45" i="4"/>
  <c r="A43" i="3"/>
  <c r="BK46" i="4"/>
  <c r="BJ46" i="4"/>
  <c r="BI46" i="4"/>
  <c r="BH46" i="4"/>
  <c r="BG46" i="4"/>
  <c r="BF46" i="4"/>
  <c r="BD46" i="4"/>
  <c r="BC46" i="4"/>
  <c r="BB46" i="4"/>
  <c r="BA46" i="4"/>
  <c r="AZ46" i="4"/>
  <c r="AY46" i="4"/>
  <c r="AX46" i="4"/>
  <c r="AV46" i="4"/>
  <c r="AU46" i="4"/>
  <c r="AT46" i="4"/>
  <c r="AS46" i="4"/>
  <c r="AR46" i="4"/>
  <c r="AQ46" i="4"/>
  <c r="AO46" i="4"/>
  <c r="AN46" i="4"/>
  <c r="AM46" i="4"/>
  <c r="AL46" i="4"/>
  <c r="AK46" i="4"/>
  <c r="AJ46" i="4"/>
  <c r="AI46" i="4"/>
  <c r="R46" i="4"/>
  <c r="AG46" i="4" s="1"/>
  <c r="AF46" i="4"/>
  <c r="P45" i="4"/>
  <c r="J45" i="4"/>
  <c r="I45" i="4"/>
  <c r="H45" i="4"/>
  <c r="BK47" i="4"/>
  <c r="BK45" i="4" s="1"/>
  <c r="BJ47" i="4"/>
  <c r="BJ45" i="4" s="1"/>
  <c r="BI47" i="4"/>
  <c r="BI45" i="4" s="1"/>
  <c r="BH47" i="4"/>
  <c r="BH45" i="4" s="1"/>
  <c r="BG47" i="4"/>
  <c r="BG45" i="4" s="1"/>
  <c r="BF47" i="4"/>
  <c r="BF45" i="4" s="1"/>
  <c r="BD47" i="4"/>
  <c r="BD45" i="4" s="1"/>
  <c r="BC47" i="4"/>
  <c r="BC45" i="4" s="1"/>
  <c r="BB47" i="4"/>
  <c r="BB45" i="4" s="1"/>
  <c r="BA47" i="4"/>
  <c r="BA45" i="4" s="1"/>
  <c r="AZ47" i="4"/>
  <c r="AZ45" i="4" s="1"/>
  <c r="AY47" i="4"/>
  <c r="AY45" i="4" s="1"/>
  <c r="AX47" i="4"/>
  <c r="AX45" i="4" s="1"/>
  <c r="AV47" i="4"/>
  <c r="AV45" i="4" s="1"/>
  <c r="AU47" i="4"/>
  <c r="AU45" i="4" s="1"/>
  <c r="AT47" i="4"/>
  <c r="AT45" i="4" s="1"/>
  <c r="AS47" i="4"/>
  <c r="AS45" i="4" s="1"/>
  <c r="AR47" i="4"/>
  <c r="AR45" i="4" s="1"/>
  <c r="AQ47" i="4"/>
  <c r="AQ45" i="4" s="1"/>
  <c r="AO47" i="4"/>
  <c r="AO45" i="4" s="1"/>
  <c r="AN47" i="4"/>
  <c r="AN45" i="4" s="1"/>
  <c r="AM47" i="4"/>
  <c r="AM45" i="4" s="1"/>
  <c r="AL47" i="4"/>
  <c r="AL45" i="4" s="1"/>
  <c r="AK47" i="4"/>
  <c r="AK45" i="4" s="1"/>
  <c r="AJ47" i="4"/>
  <c r="AJ45" i="4" s="1"/>
  <c r="AI47" i="4"/>
  <c r="AI45" i="4" s="1"/>
  <c r="R47" i="4"/>
  <c r="R45" i="4" s="1"/>
  <c r="AG45" i="4" s="1"/>
  <c r="Q45" i="4"/>
  <c r="AF45" i="4"/>
  <c r="O45" i="4"/>
  <c r="N45" i="4"/>
  <c r="M45" i="4"/>
  <c r="L45" i="4"/>
  <c r="K45" i="4"/>
  <c r="G45" i="4"/>
  <c r="F45" i="4"/>
  <c r="E45" i="4"/>
  <c r="AW45" i="4"/>
  <c r="AH45" i="4"/>
  <c r="S45" i="4"/>
  <c r="C32" i="13"/>
  <c r="C28" i="13"/>
  <c r="C25" i="13"/>
  <c r="C22" i="13"/>
  <c r="C15" i="13"/>
  <c r="A38" i="3"/>
  <c r="A64" i="3"/>
  <c r="A33" i="3"/>
  <c r="A63" i="3"/>
  <c r="A28" i="3"/>
  <c r="A62" i="3"/>
  <c r="A23" i="3"/>
  <c r="A61" i="3"/>
  <c r="A18" i="3"/>
  <c r="A60" i="3"/>
  <c r="A13" i="3"/>
  <c r="A59" i="3"/>
  <c r="A8" i="3"/>
  <c r="A58" i="3"/>
  <c r="C50" i="13"/>
  <c r="C46" i="13"/>
  <c r="C39" i="13"/>
  <c r="C35" i="13"/>
  <c r="C18" i="13"/>
  <c r="C10" i="13"/>
  <c r="U46" i="4"/>
  <c r="AD46" i="4"/>
  <c r="Y46" i="4"/>
  <c r="Z46" i="4"/>
  <c r="AA46" i="4"/>
  <c r="V46" i="4"/>
  <c r="AA47" i="4"/>
  <c r="AE47" i="4"/>
  <c r="W47" i="4"/>
  <c r="X47" i="4"/>
  <c r="AB47" i="4"/>
  <c r="T47" i="4"/>
  <c r="Z47" i="4"/>
  <c r="V47" i="4"/>
  <c r="U47" i="4"/>
  <c r="AC47" i="4"/>
  <c r="Y47" i="4"/>
  <c r="AD47" i="4"/>
  <c r="S54" i="4"/>
  <c r="S53" i="4"/>
  <c r="S52" i="4"/>
  <c r="BK44" i="4"/>
  <c r="BJ44" i="4"/>
  <c r="BI44" i="4"/>
  <c r="BH44" i="4"/>
  <c r="BG44" i="4"/>
  <c r="BF44" i="4"/>
  <c r="BD44" i="4"/>
  <c r="BC44" i="4"/>
  <c r="BB44" i="4"/>
  <c r="BA44" i="4"/>
  <c r="AZ44" i="4"/>
  <c r="AY44" i="4"/>
  <c r="AX44" i="4"/>
  <c r="BK43" i="4"/>
  <c r="BJ43" i="4"/>
  <c r="BI43" i="4"/>
  <c r="BH43" i="4"/>
  <c r="BG43" i="4"/>
  <c r="BF43" i="4"/>
  <c r="BD43" i="4"/>
  <c r="BC43" i="4"/>
  <c r="BB43" i="4"/>
  <c r="BA43" i="4"/>
  <c r="AZ43" i="4"/>
  <c r="AY43" i="4"/>
  <c r="AX43" i="4"/>
  <c r="BK42" i="4"/>
  <c r="BJ42" i="4"/>
  <c r="BI42" i="4"/>
  <c r="BH42" i="4"/>
  <c r="BG42" i="4"/>
  <c r="BF42" i="4"/>
  <c r="BD42" i="4"/>
  <c r="BC42" i="4"/>
  <c r="BB42" i="4"/>
  <c r="BA42" i="4"/>
  <c r="AZ42" i="4"/>
  <c r="AY42" i="4"/>
  <c r="AX42" i="4"/>
  <c r="BK41" i="4"/>
  <c r="BJ41" i="4"/>
  <c r="BI41" i="4"/>
  <c r="BH41" i="4"/>
  <c r="BG41" i="4"/>
  <c r="BF41" i="4"/>
  <c r="BD41" i="4"/>
  <c r="BC41" i="4"/>
  <c r="BB41" i="4"/>
  <c r="BA41" i="4"/>
  <c r="AZ41" i="4"/>
  <c r="AY41" i="4"/>
  <c r="AX41" i="4"/>
  <c r="BK40" i="4"/>
  <c r="BJ40" i="4"/>
  <c r="BI40" i="4"/>
  <c r="BH40" i="4"/>
  <c r="BG40" i="4"/>
  <c r="BF40" i="4"/>
  <c r="BD40" i="4"/>
  <c r="BC40" i="4"/>
  <c r="BB40" i="4"/>
  <c r="BA40" i="4"/>
  <c r="AZ40" i="4"/>
  <c r="AY40" i="4"/>
  <c r="AX40" i="4"/>
  <c r="BK38" i="4"/>
  <c r="BJ38" i="4"/>
  <c r="BI38" i="4"/>
  <c r="BH38" i="4"/>
  <c r="BG38" i="4"/>
  <c r="BF38" i="4"/>
  <c r="BD38" i="4"/>
  <c r="BC38" i="4"/>
  <c r="BB38" i="4"/>
  <c r="BA38" i="4"/>
  <c r="AZ38" i="4"/>
  <c r="AY38" i="4"/>
  <c r="AX38" i="4"/>
  <c r="BK37" i="4"/>
  <c r="BJ37" i="4"/>
  <c r="BI37" i="4"/>
  <c r="BH37" i="4"/>
  <c r="BG37" i="4"/>
  <c r="BF37" i="4"/>
  <c r="BD37" i="4"/>
  <c r="BC37" i="4"/>
  <c r="BB37" i="4"/>
  <c r="BA37" i="4"/>
  <c r="AZ37" i="4"/>
  <c r="AY37" i="4"/>
  <c r="AX37" i="4"/>
  <c r="BK36" i="4"/>
  <c r="BJ36" i="4"/>
  <c r="BI36" i="4"/>
  <c r="BH36" i="4"/>
  <c r="BG36" i="4"/>
  <c r="BF36" i="4"/>
  <c r="BD36" i="4"/>
  <c r="BC36" i="4"/>
  <c r="BB36" i="4"/>
  <c r="BA36" i="4"/>
  <c r="AZ36" i="4"/>
  <c r="AY36" i="4"/>
  <c r="AX36" i="4"/>
  <c r="BK35" i="4"/>
  <c r="BJ35" i="4"/>
  <c r="BI35" i="4"/>
  <c r="BH35" i="4"/>
  <c r="BG35" i="4"/>
  <c r="BF35" i="4"/>
  <c r="BD35" i="4"/>
  <c r="BC35" i="4"/>
  <c r="BB35" i="4"/>
  <c r="BA35" i="4"/>
  <c r="AZ35" i="4"/>
  <c r="AY35" i="4"/>
  <c r="AX35" i="4"/>
  <c r="BK34" i="4"/>
  <c r="BJ34" i="4"/>
  <c r="BI34" i="4"/>
  <c r="BH34" i="4"/>
  <c r="BG34" i="4"/>
  <c r="BF34" i="4"/>
  <c r="BD34" i="4"/>
  <c r="BC34" i="4"/>
  <c r="BB34" i="4"/>
  <c r="BA34" i="4"/>
  <c r="AZ34" i="4"/>
  <c r="AY34" i="4"/>
  <c r="AX34" i="4"/>
  <c r="BK32" i="4"/>
  <c r="BJ32" i="4"/>
  <c r="BI32" i="4"/>
  <c r="BH32" i="4"/>
  <c r="BG32" i="4"/>
  <c r="BF32" i="4"/>
  <c r="BD32" i="4"/>
  <c r="BC32" i="4"/>
  <c r="BB32" i="4"/>
  <c r="BA32" i="4"/>
  <c r="AZ32" i="4"/>
  <c r="AY32" i="4"/>
  <c r="AX32" i="4"/>
  <c r="BK31" i="4"/>
  <c r="BJ31" i="4"/>
  <c r="BI31" i="4"/>
  <c r="BH31" i="4"/>
  <c r="BG31" i="4"/>
  <c r="BF31" i="4"/>
  <c r="BD31" i="4"/>
  <c r="BC31" i="4"/>
  <c r="BB31" i="4"/>
  <c r="BA31" i="4"/>
  <c r="AZ31" i="4"/>
  <c r="AY31" i="4"/>
  <c r="AX31" i="4"/>
  <c r="BK30" i="4"/>
  <c r="BJ30" i="4"/>
  <c r="BI30" i="4"/>
  <c r="BH30" i="4"/>
  <c r="BG30" i="4"/>
  <c r="BF30" i="4"/>
  <c r="BD30" i="4"/>
  <c r="BC30" i="4"/>
  <c r="BB30" i="4"/>
  <c r="BA30" i="4"/>
  <c r="AZ30" i="4"/>
  <c r="AY30" i="4"/>
  <c r="AX30" i="4"/>
  <c r="BK29" i="4"/>
  <c r="BJ29" i="4"/>
  <c r="BI29" i="4"/>
  <c r="BH29" i="4"/>
  <c r="BG29" i="4"/>
  <c r="BF29" i="4"/>
  <c r="BD29" i="4"/>
  <c r="BC29" i="4"/>
  <c r="BB29" i="4"/>
  <c r="BA29" i="4"/>
  <c r="AZ29" i="4"/>
  <c r="AY29" i="4"/>
  <c r="AX29" i="4"/>
  <c r="BK28" i="4"/>
  <c r="BJ28" i="4"/>
  <c r="BI28" i="4"/>
  <c r="BH28" i="4"/>
  <c r="BG28" i="4"/>
  <c r="BF28" i="4"/>
  <c r="BD28" i="4"/>
  <c r="BC28" i="4"/>
  <c r="BB28" i="4"/>
  <c r="BA28" i="4"/>
  <c r="AZ28" i="4"/>
  <c r="AY28" i="4"/>
  <c r="AX28" i="4"/>
  <c r="BK26" i="4"/>
  <c r="BJ26" i="4"/>
  <c r="BI26" i="4"/>
  <c r="BH26" i="4"/>
  <c r="BG26" i="4"/>
  <c r="BF26" i="4"/>
  <c r="BD26" i="4"/>
  <c r="BC26" i="4"/>
  <c r="BB26" i="4"/>
  <c r="BA26" i="4"/>
  <c r="AZ26" i="4"/>
  <c r="AY26" i="4"/>
  <c r="AX26" i="4"/>
  <c r="BK25" i="4"/>
  <c r="BJ25" i="4"/>
  <c r="BI25" i="4"/>
  <c r="BH25" i="4"/>
  <c r="BG25" i="4"/>
  <c r="BF25" i="4"/>
  <c r="BD25" i="4"/>
  <c r="BC25" i="4"/>
  <c r="BB25" i="4"/>
  <c r="BA25" i="4"/>
  <c r="AZ25" i="4"/>
  <c r="AY25" i="4"/>
  <c r="AX25" i="4"/>
  <c r="BK24" i="4"/>
  <c r="BJ24" i="4"/>
  <c r="BI24" i="4"/>
  <c r="BH24" i="4"/>
  <c r="BG24" i="4"/>
  <c r="BF24" i="4"/>
  <c r="BD24" i="4"/>
  <c r="BC24" i="4"/>
  <c r="BB24" i="4"/>
  <c r="BA24" i="4"/>
  <c r="AZ24" i="4"/>
  <c r="AY24" i="4"/>
  <c r="AX24" i="4"/>
  <c r="P71" i="3" s="1"/>
  <c r="BK23" i="4"/>
  <c r="BJ23" i="4"/>
  <c r="BI23" i="4"/>
  <c r="BH23" i="4"/>
  <c r="BG23" i="4"/>
  <c r="BF23" i="4"/>
  <c r="BD23" i="4"/>
  <c r="BC23" i="4"/>
  <c r="BB23" i="4"/>
  <c r="BA23" i="4"/>
  <c r="AZ23" i="4"/>
  <c r="AY23" i="4"/>
  <c r="AX23" i="4"/>
  <c r="BK22" i="4"/>
  <c r="BJ22" i="4"/>
  <c r="BI22" i="4"/>
  <c r="BH22" i="4"/>
  <c r="BG22" i="4"/>
  <c r="BF22" i="4"/>
  <c r="BD22" i="4"/>
  <c r="BC22" i="4"/>
  <c r="BB22" i="4"/>
  <c r="BA22" i="4"/>
  <c r="AZ22" i="4"/>
  <c r="AY22" i="4"/>
  <c r="AX22" i="4"/>
  <c r="BK20" i="4"/>
  <c r="BJ20" i="4"/>
  <c r="BI20" i="4"/>
  <c r="BH20" i="4"/>
  <c r="BG20" i="4"/>
  <c r="BF20" i="4"/>
  <c r="BD20" i="4"/>
  <c r="BC20" i="4"/>
  <c r="BB20" i="4"/>
  <c r="BA20" i="4"/>
  <c r="AZ20" i="4"/>
  <c r="AY20" i="4"/>
  <c r="AX20" i="4"/>
  <c r="BK19" i="4"/>
  <c r="BJ19" i="4"/>
  <c r="BI19" i="4"/>
  <c r="BH19" i="4"/>
  <c r="BG19" i="4"/>
  <c r="BF19" i="4"/>
  <c r="BD19" i="4"/>
  <c r="BC19" i="4"/>
  <c r="BB19" i="4"/>
  <c r="BA19" i="4"/>
  <c r="AZ19" i="4"/>
  <c r="AY19" i="4"/>
  <c r="AX19" i="4"/>
  <c r="BK18" i="4"/>
  <c r="BJ18" i="4"/>
  <c r="BI18" i="4"/>
  <c r="BH18" i="4"/>
  <c r="BG18" i="4"/>
  <c r="BF18" i="4"/>
  <c r="BD18" i="4"/>
  <c r="BC18" i="4"/>
  <c r="BB18" i="4"/>
  <c r="BA18" i="4"/>
  <c r="AZ18" i="4"/>
  <c r="AY18" i="4"/>
  <c r="AX18" i="4"/>
  <c r="BK17" i="4"/>
  <c r="BJ17" i="4"/>
  <c r="BI17" i="4"/>
  <c r="BH17" i="4"/>
  <c r="BG17" i="4"/>
  <c r="BF17" i="4"/>
  <c r="BD17" i="4"/>
  <c r="BC17" i="4"/>
  <c r="BB17" i="4"/>
  <c r="BA17" i="4"/>
  <c r="AZ17" i="4"/>
  <c r="AY17" i="4"/>
  <c r="AX17" i="4"/>
  <c r="BK16" i="4"/>
  <c r="BJ16" i="4"/>
  <c r="BI16" i="4"/>
  <c r="BH16" i="4"/>
  <c r="BG16" i="4"/>
  <c r="BF16" i="4"/>
  <c r="BD16" i="4"/>
  <c r="BC16" i="4"/>
  <c r="BB16" i="4"/>
  <c r="BA16" i="4"/>
  <c r="AZ16" i="4"/>
  <c r="AY16" i="4"/>
  <c r="AX16" i="4"/>
  <c r="BK14" i="4"/>
  <c r="BJ14" i="4"/>
  <c r="BI14" i="4"/>
  <c r="BH14" i="4"/>
  <c r="BG14" i="4"/>
  <c r="BF14" i="4"/>
  <c r="BD14" i="4"/>
  <c r="BC14" i="4"/>
  <c r="BB14" i="4"/>
  <c r="BA14" i="4"/>
  <c r="AZ14" i="4"/>
  <c r="AY14" i="4"/>
  <c r="AX14" i="4"/>
  <c r="BK13" i="4"/>
  <c r="BJ13" i="4"/>
  <c r="BI13" i="4"/>
  <c r="BH13" i="4"/>
  <c r="BG13" i="4"/>
  <c r="BF13" i="4"/>
  <c r="BD13" i="4"/>
  <c r="BC13" i="4"/>
  <c r="BB13" i="4"/>
  <c r="BA13" i="4"/>
  <c r="AZ13" i="4"/>
  <c r="AY13" i="4"/>
  <c r="AX13" i="4"/>
  <c r="BK12" i="4"/>
  <c r="BJ12" i="4"/>
  <c r="BI12" i="4"/>
  <c r="BH12" i="4"/>
  <c r="BG12" i="4"/>
  <c r="BF12" i="4"/>
  <c r="BD12" i="4"/>
  <c r="BC12" i="4"/>
  <c r="BB12" i="4"/>
  <c r="BA12" i="4"/>
  <c r="AZ12" i="4"/>
  <c r="AY12" i="4"/>
  <c r="AX12" i="4"/>
  <c r="BK11" i="4"/>
  <c r="BJ11" i="4"/>
  <c r="BI11" i="4"/>
  <c r="BH11" i="4"/>
  <c r="BG11" i="4"/>
  <c r="BF11" i="4"/>
  <c r="BD11" i="4"/>
  <c r="BC11" i="4"/>
  <c r="BB11" i="4"/>
  <c r="BA11" i="4"/>
  <c r="AZ11" i="4"/>
  <c r="AY11" i="4"/>
  <c r="AX11" i="4"/>
  <c r="BK10" i="4"/>
  <c r="BJ10" i="4"/>
  <c r="BI10" i="4"/>
  <c r="BH10" i="4"/>
  <c r="BG10" i="4"/>
  <c r="BF10" i="4"/>
  <c r="BD10" i="4"/>
  <c r="BC10" i="4"/>
  <c r="BB10" i="4"/>
  <c r="BA10" i="4"/>
  <c r="AZ10" i="4"/>
  <c r="AY10" i="4"/>
  <c r="AX10" i="4"/>
  <c r="BK8" i="4"/>
  <c r="BJ8" i="4"/>
  <c r="BI8" i="4"/>
  <c r="BH8" i="4"/>
  <c r="BG8" i="4"/>
  <c r="BF8" i="4"/>
  <c r="BD8" i="4"/>
  <c r="BC8" i="4"/>
  <c r="BB8" i="4"/>
  <c r="BA8" i="4"/>
  <c r="AZ8" i="4"/>
  <c r="AY8" i="4"/>
  <c r="AX8" i="4"/>
  <c r="BK7" i="4"/>
  <c r="BJ7" i="4"/>
  <c r="BI7" i="4"/>
  <c r="BH7" i="4"/>
  <c r="BG7" i="4"/>
  <c r="BF7" i="4"/>
  <c r="BD7" i="4"/>
  <c r="BC7" i="4"/>
  <c r="BB7" i="4"/>
  <c r="BA7" i="4"/>
  <c r="AZ7" i="4"/>
  <c r="AY7" i="4"/>
  <c r="AX7" i="4"/>
  <c r="BK6" i="4"/>
  <c r="BJ6" i="4"/>
  <c r="BI6" i="4"/>
  <c r="BH6" i="4"/>
  <c r="BG6" i="4"/>
  <c r="BF6" i="4"/>
  <c r="BD6" i="4"/>
  <c r="BC6" i="4"/>
  <c r="BB6" i="4"/>
  <c r="BA6" i="4"/>
  <c r="AZ6" i="4"/>
  <c r="AY6" i="4"/>
  <c r="AX6" i="4"/>
  <c r="BK5" i="4"/>
  <c r="BJ5" i="4"/>
  <c r="BI5" i="4"/>
  <c r="BH5" i="4"/>
  <c r="BG5" i="4"/>
  <c r="BF5" i="4"/>
  <c r="BD5" i="4"/>
  <c r="BC5" i="4"/>
  <c r="BB5" i="4"/>
  <c r="BA5" i="4"/>
  <c r="AZ5" i="4"/>
  <c r="AY5" i="4"/>
  <c r="AX5" i="4"/>
  <c r="BK4" i="4"/>
  <c r="BJ4" i="4"/>
  <c r="BI4" i="4"/>
  <c r="BH4" i="4"/>
  <c r="BG4" i="4"/>
  <c r="BF4" i="4"/>
  <c r="BD4" i="4"/>
  <c r="BC4" i="4"/>
  <c r="BB4" i="4"/>
  <c r="BA4" i="4"/>
  <c r="AZ4" i="4"/>
  <c r="AY4" i="4"/>
  <c r="AX4" i="4"/>
  <c r="AV44" i="4"/>
  <c r="AV43" i="4"/>
  <c r="AV42" i="4"/>
  <c r="AV41" i="4"/>
  <c r="AV40" i="4"/>
  <c r="AV38" i="4"/>
  <c r="AV37" i="4"/>
  <c r="AV36" i="4"/>
  <c r="AV35" i="4"/>
  <c r="AV34" i="4"/>
  <c r="AV32" i="4"/>
  <c r="AV31" i="4"/>
  <c r="AV30" i="4"/>
  <c r="AV29" i="4"/>
  <c r="AV28" i="4"/>
  <c r="AV26" i="4"/>
  <c r="AV25" i="4"/>
  <c r="AV24" i="4"/>
  <c r="AV23" i="4"/>
  <c r="AV22" i="4"/>
  <c r="AV20" i="4"/>
  <c r="AV19" i="4"/>
  <c r="AV18" i="4"/>
  <c r="AV17" i="4"/>
  <c r="AV16" i="4"/>
  <c r="AV14" i="4"/>
  <c r="AV13" i="4"/>
  <c r="AV12" i="4"/>
  <c r="AV11" i="4"/>
  <c r="AV10" i="4"/>
  <c r="AV8" i="4"/>
  <c r="AV7" i="4"/>
  <c r="AV6" i="4"/>
  <c r="AV5" i="4"/>
  <c r="AV4" i="4"/>
  <c r="AU44" i="4"/>
  <c r="AU43" i="4"/>
  <c r="AU42" i="4"/>
  <c r="AU41" i="4"/>
  <c r="AU40" i="4"/>
  <c r="AU38" i="4"/>
  <c r="AU37" i="4"/>
  <c r="AU36" i="4"/>
  <c r="AU35" i="4"/>
  <c r="AU34" i="4"/>
  <c r="AU32" i="4"/>
  <c r="AU31" i="4"/>
  <c r="AU30" i="4"/>
  <c r="AU29" i="4"/>
  <c r="AU28" i="4"/>
  <c r="AU26" i="4"/>
  <c r="AU25" i="4"/>
  <c r="AU24" i="4"/>
  <c r="AU23" i="4"/>
  <c r="AU22" i="4"/>
  <c r="AU20" i="4"/>
  <c r="AU19" i="4"/>
  <c r="AU18" i="4"/>
  <c r="AU17" i="4"/>
  <c r="AU16" i="4"/>
  <c r="AU14" i="4"/>
  <c r="AU13" i="4"/>
  <c r="AU12" i="4"/>
  <c r="AU11" i="4"/>
  <c r="AU10" i="4"/>
  <c r="AU8" i="4"/>
  <c r="AU7" i="4"/>
  <c r="AU6" i="4"/>
  <c r="AU5" i="4"/>
  <c r="AU4" i="4"/>
  <c r="AT44" i="4"/>
  <c r="AT43" i="4"/>
  <c r="AT42" i="4"/>
  <c r="AT41" i="4"/>
  <c r="AT40" i="4"/>
  <c r="AT38" i="4"/>
  <c r="AT37" i="4"/>
  <c r="AT36" i="4"/>
  <c r="AT35" i="4"/>
  <c r="AT34" i="4"/>
  <c r="AT32" i="4"/>
  <c r="AT31" i="4"/>
  <c r="AT30" i="4"/>
  <c r="AT29" i="4"/>
  <c r="AT28" i="4"/>
  <c r="AT26" i="4"/>
  <c r="AT25" i="4"/>
  <c r="AT24" i="4"/>
  <c r="AT23" i="4"/>
  <c r="AT22" i="4"/>
  <c r="AT20" i="4"/>
  <c r="AT19" i="4"/>
  <c r="AT18" i="4"/>
  <c r="AT17" i="4"/>
  <c r="AT16" i="4"/>
  <c r="AT14" i="4"/>
  <c r="AT13" i="4"/>
  <c r="AT12" i="4"/>
  <c r="AT11" i="4"/>
  <c r="AT10" i="4"/>
  <c r="AT8" i="4"/>
  <c r="AT7" i="4"/>
  <c r="AT6" i="4"/>
  <c r="AT5" i="4"/>
  <c r="AT4" i="4"/>
  <c r="AS44" i="4"/>
  <c r="AS43" i="4"/>
  <c r="AS42" i="4"/>
  <c r="AS41" i="4"/>
  <c r="AS40" i="4"/>
  <c r="AS38" i="4"/>
  <c r="AS37" i="4"/>
  <c r="AS36" i="4"/>
  <c r="AS35" i="4"/>
  <c r="AS34" i="4"/>
  <c r="AS32" i="4"/>
  <c r="AS31" i="4"/>
  <c r="AS30" i="4"/>
  <c r="AS29" i="4"/>
  <c r="AS28" i="4"/>
  <c r="AS26" i="4"/>
  <c r="AS25" i="4"/>
  <c r="AS24" i="4"/>
  <c r="AS23" i="4"/>
  <c r="AS22" i="4"/>
  <c r="AS20" i="4"/>
  <c r="AS19" i="4"/>
  <c r="AS18" i="4"/>
  <c r="AS17" i="4"/>
  <c r="AS16" i="4"/>
  <c r="AS14" i="4"/>
  <c r="AS13" i="4"/>
  <c r="AS12" i="4"/>
  <c r="AS11" i="4"/>
  <c r="AS10" i="4"/>
  <c r="AS8" i="4"/>
  <c r="AS7" i="4"/>
  <c r="AS6" i="4"/>
  <c r="AS5" i="4"/>
  <c r="AS4" i="4"/>
  <c r="AR44" i="4"/>
  <c r="AR43" i="4"/>
  <c r="AR42" i="4"/>
  <c r="AR41" i="4"/>
  <c r="AR40" i="4"/>
  <c r="AR38" i="4"/>
  <c r="AR37" i="4"/>
  <c r="AR36" i="4"/>
  <c r="AR35" i="4"/>
  <c r="AR34" i="4"/>
  <c r="AR32" i="4"/>
  <c r="AR31" i="4"/>
  <c r="AR30" i="4"/>
  <c r="AR29" i="4"/>
  <c r="AR28" i="4"/>
  <c r="AR26" i="4"/>
  <c r="AR25" i="4"/>
  <c r="AR24" i="4"/>
  <c r="AR23" i="4"/>
  <c r="AR22" i="4"/>
  <c r="AR20" i="4"/>
  <c r="AR19" i="4"/>
  <c r="AR18" i="4"/>
  <c r="AR17" i="4"/>
  <c r="AR16" i="4"/>
  <c r="AR14" i="4"/>
  <c r="AR13" i="4"/>
  <c r="AR12" i="4"/>
  <c r="AR11" i="4"/>
  <c r="AR10" i="4"/>
  <c r="AR8" i="4"/>
  <c r="AR7" i="4"/>
  <c r="AR6" i="4"/>
  <c r="AR5" i="4"/>
  <c r="AR4" i="4"/>
  <c r="AQ44" i="4"/>
  <c r="AQ43" i="4"/>
  <c r="AQ42" i="4"/>
  <c r="AQ41" i="4"/>
  <c r="AQ40" i="4"/>
  <c r="AQ38" i="4"/>
  <c r="AQ37" i="4"/>
  <c r="AQ36" i="4"/>
  <c r="AQ35" i="4"/>
  <c r="AQ34" i="4"/>
  <c r="AQ32" i="4"/>
  <c r="AQ31" i="4"/>
  <c r="AQ30" i="4"/>
  <c r="AQ29" i="4"/>
  <c r="AQ28" i="4"/>
  <c r="AQ26" i="4"/>
  <c r="AQ25" i="4"/>
  <c r="AQ24" i="4"/>
  <c r="AQ23" i="4"/>
  <c r="AQ22" i="4"/>
  <c r="AQ20" i="4"/>
  <c r="AQ19" i="4"/>
  <c r="AQ18" i="4"/>
  <c r="AQ17" i="4"/>
  <c r="AQ16" i="4"/>
  <c r="AQ14" i="4"/>
  <c r="AQ13" i="4"/>
  <c r="AQ12" i="4"/>
  <c r="AQ11" i="4"/>
  <c r="AQ10" i="4"/>
  <c r="AQ8" i="4"/>
  <c r="AQ7" i="4"/>
  <c r="AQ6" i="4"/>
  <c r="AQ5" i="4"/>
  <c r="AQ4" i="4"/>
  <c r="AO44" i="4"/>
  <c r="AO43" i="4"/>
  <c r="AO42" i="4"/>
  <c r="AO41" i="4"/>
  <c r="AO40" i="4"/>
  <c r="AO38" i="4"/>
  <c r="AO37" i="4"/>
  <c r="AO36" i="4"/>
  <c r="AO35" i="4"/>
  <c r="AO34" i="4"/>
  <c r="AO32" i="4"/>
  <c r="AO31" i="4"/>
  <c r="AO30" i="4"/>
  <c r="AO29" i="4"/>
  <c r="AO28" i="4"/>
  <c r="AO26" i="4"/>
  <c r="AO25" i="4"/>
  <c r="AO24" i="4"/>
  <c r="AO23" i="4"/>
  <c r="AO22" i="4"/>
  <c r="AO20" i="4"/>
  <c r="AO19" i="4"/>
  <c r="AO18" i="4"/>
  <c r="AO17" i="4"/>
  <c r="AO16" i="4"/>
  <c r="AO14" i="4"/>
  <c r="AO13" i="4"/>
  <c r="AO12" i="4"/>
  <c r="AO11" i="4"/>
  <c r="AO10" i="4"/>
  <c r="AO8" i="4"/>
  <c r="AO7" i="4"/>
  <c r="AO6" i="4"/>
  <c r="AO5" i="4"/>
  <c r="AO4" i="4"/>
  <c r="AN44" i="4"/>
  <c r="AN43" i="4"/>
  <c r="AN42" i="4"/>
  <c r="AN41" i="4"/>
  <c r="AN40" i="4"/>
  <c r="AN38" i="4"/>
  <c r="AN37" i="4"/>
  <c r="AN36" i="4"/>
  <c r="AN35" i="4"/>
  <c r="AN34" i="4"/>
  <c r="AN32" i="4"/>
  <c r="AN31" i="4"/>
  <c r="AN30" i="4"/>
  <c r="AN29" i="4"/>
  <c r="AN28" i="4"/>
  <c r="AN26" i="4"/>
  <c r="AN25" i="4"/>
  <c r="AN24" i="4"/>
  <c r="AN23" i="4"/>
  <c r="AN22" i="4"/>
  <c r="AN20" i="4"/>
  <c r="AN19" i="4"/>
  <c r="AN18" i="4"/>
  <c r="AN17" i="4"/>
  <c r="AN16" i="4"/>
  <c r="AN14" i="4"/>
  <c r="AN13" i="4"/>
  <c r="AN12" i="4"/>
  <c r="AN11" i="4"/>
  <c r="AN10" i="4"/>
  <c r="AN8" i="4"/>
  <c r="AN7" i="4"/>
  <c r="AN6" i="4"/>
  <c r="AN5" i="4"/>
  <c r="AN4" i="4"/>
  <c r="AM44" i="4"/>
  <c r="AM43" i="4"/>
  <c r="AM42" i="4"/>
  <c r="AM41" i="4"/>
  <c r="AM40" i="4"/>
  <c r="AM38" i="4"/>
  <c r="AM37" i="4"/>
  <c r="AM36" i="4"/>
  <c r="AM35" i="4"/>
  <c r="AM34" i="4"/>
  <c r="AM32" i="4"/>
  <c r="AM31" i="4"/>
  <c r="AM30" i="4"/>
  <c r="AM29" i="4"/>
  <c r="AM28" i="4"/>
  <c r="AM26" i="4"/>
  <c r="AM25" i="4"/>
  <c r="AM24" i="4"/>
  <c r="AM23" i="4"/>
  <c r="AM22" i="4"/>
  <c r="AM20" i="4"/>
  <c r="AM19" i="4"/>
  <c r="AM18" i="4"/>
  <c r="AM17" i="4"/>
  <c r="AM16" i="4"/>
  <c r="AM14" i="4"/>
  <c r="AM13" i="4"/>
  <c r="AM12" i="4"/>
  <c r="AM11" i="4"/>
  <c r="AM10" i="4"/>
  <c r="AM8" i="4"/>
  <c r="AM7" i="4"/>
  <c r="AM6" i="4"/>
  <c r="AM5" i="4"/>
  <c r="AM4" i="4"/>
  <c r="AL44" i="4"/>
  <c r="AL43" i="4"/>
  <c r="AL42" i="4"/>
  <c r="AL41" i="4"/>
  <c r="AL40" i="4"/>
  <c r="AL38" i="4"/>
  <c r="AL37" i="4"/>
  <c r="AL36" i="4"/>
  <c r="AL35" i="4"/>
  <c r="AL34" i="4"/>
  <c r="AL32" i="4"/>
  <c r="AL31" i="4"/>
  <c r="AL30" i="4"/>
  <c r="AL29" i="4"/>
  <c r="AL28" i="4"/>
  <c r="AL26" i="4"/>
  <c r="AL25" i="4"/>
  <c r="AL24" i="4"/>
  <c r="AL23" i="4"/>
  <c r="AL22" i="4"/>
  <c r="AL20" i="4"/>
  <c r="AL19" i="4"/>
  <c r="AL18" i="4"/>
  <c r="AL17" i="4"/>
  <c r="AL16" i="4"/>
  <c r="AL14" i="4"/>
  <c r="AL13" i="4"/>
  <c r="AL12" i="4"/>
  <c r="AL11" i="4"/>
  <c r="AL10" i="4"/>
  <c r="AL8" i="4"/>
  <c r="AL7" i="4"/>
  <c r="AL6" i="4"/>
  <c r="AL5" i="4"/>
  <c r="AL4" i="4"/>
  <c r="AK44" i="4"/>
  <c r="AK43" i="4"/>
  <c r="AK42" i="4"/>
  <c r="AK41" i="4"/>
  <c r="AK40" i="4"/>
  <c r="AK38" i="4"/>
  <c r="AK37" i="4"/>
  <c r="AK36" i="4"/>
  <c r="AK35" i="4"/>
  <c r="AK34" i="4"/>
  <c r="AK32" i="4"/>
  <c r="AK31" i="4"/>
  <c r="AK30" i="4"/>
  <c r="AK29" i="4"/>
  <c r="AK28" i="4"/>
  <c r="AK26" i="4"/>
  <c r="AK25" i="4"/>
  <c r="AK24" i="4"/>
  <c r="AK23" i="4"/>
  <c r="AK22" i="4"/>
  <c r="AK20" i="4"/>
  <c r="AK19" i="4"/>
  <c r="AK18" i="4"/>
  <c r="AK17" i="4"/>
  <c r="AK16" i="4"/>
  <c r="AK14" i="4"/>
  <c r="AK13" i="4"/>
  <c r="AK12" i="4"/>
  <c r="AK11" i="4"/>
  <c r="AK10" i="4"/>
  <c r="AK8" i="4"/>
  <c r="AK7" i="4"/>
  <c r="AK6" i="4"/>
  <c r="AK5" i="4"/>
  <c r="AK4" i="4"/>
  <c r="AJ44" i="4"/>
  <c r="AJ43" i="4"/>
  <c r="AJ42" i="4"/>
  <c r="AJ41" i="4"/>
  <c r="AJ40" i="4"/>
  <c r="AJ38" i="4"/>
  <c r="AJ37" i="4"/>
  <c r="AJ36" i="4"/>
  <c r="AJ35" i="4"/>
  <c r="AJ34" i="4"/>
  <c r="AJ32" i="4"/>
  <c r="AJ31" i="4"/>
  <c r="AJ30" i="4"/>
  <c r="AJ29" i="4"/>
  <c r="AJ28" i="4"/>
  <c r="AJ26" i="4"/>
  <c r="AJ25" i="4"/>
  <c r="AJ24" i="4"/>
  <c r="AJ23" i="4"/>
  <c r="AJ22" i="4"/>
  <c r="AJ20" i="4"/>
  <c r="AJ19" i="4"/>
  <c r="AJ18" i="4"/>
  <c r="AJ17" i="4"/>
  <c r="AJ16" i="4"/>
  <c r="AJ14" i="4"/>
  <c r="AJ13" i="4"/>
  <c r="AJ12" i="4"/>
  <c r="AJ11" i="4"/>
  <c r="AJ10" i="4"/>
  <c r="AJ8" i="4"/>
  <c r="AJ7" i="4"/>
  <c r="AJ6" i="4"/>
  <c r="AJ5" i="4"/>
  <c r="AJ4" i="4"/>
  <c r="AI44" i="4"/>
  <c r="AI38" i="4"/>
  <c r="AI32" i="4"/>
  <c r="AI26" i="4"/>
  <c r="AI20" i="4"/>
  <c r="AI14" i="4"/>
  <c r="AI8" i="4"/>
  <c r="AI7" i="4"/>
  <c r="AI6" i="4"/>
  <c r="AI5" i="4"/>
  <c r="AI4" i="4"/>
  <c r="AW3" i="4"/>
  <c r="AH3" i="4"/>
  <c r="S3" i="4"/>
  <c r="D3" i="4"/>
  <c r="AW39" i="4"/>
  <c r="AW33" i="4"/>
  <c r="AW27" i="4"/>
  <c r="AW21" i="4"/>
  <c r="AW15" i="4"/>
  <c r="AW9" i="4"/>
  <c r="AH39" i="4"/>
  <c r="AH33" i="4"/>
  <c r="AH27" i="4"/>
  <c r="AH21" i="4"/>
  <c r="AH15" i="4"/>
  <c r="AH9" i="4"/>
  <c r="S39" i="4"/>
  <c r="S33" i="4"/>
  <c r="S27" i="4"/>
  <c r="S21" i="4"/>
  <c r="S15" i="4"/>
  <c r="S9" i="4"/>
  <c r="R75" i="4"/>
  <c r="D69" i="4"/>
  <c r="CH185" i="1"/>
  <c r="R44" i="4" s="1"/>
  <c r="AG44" i="4" s="1"/>
  <c r="CB185" i="1"/>
  <c r="Q44" i="4" s="1"/>
  <c r="AF44" i="4" s="1"/>
  <c r="P44" i="4"/>
  <c r="AE44" i="4" s="1"/>
  <c r="O44" i="4"/>
  <c r="AD44" i="4" s="1"/>
  <c r="N44" i="4"/>
  <c r="AC44" i="4" s="1"/>
  <c r="M44" i="4"/>
  <c r="AB44" i="4" s="1"/>
  <c r="L44" i="4"/>
  <c r="AA44" i="4" s="1"/>
  <c r="K44" i="4"/>
  <c r="Z44" i="4" s="1"/>
  <c r="J44" i="4"/>
  <c r="Y44" i="4" s="1"/>
  <c r="I44" i="4"/>
  <c r="X44" i="4" s="1"/>
  <c r="H44" i="4"/>
  <c r="W44" i="4" s="1"/>
  <c r="G44" i="4"/>
  <c r="V44" i="4" s="1"/>
  <c r="N185" i="1"/>
  <c r="F44" i="4" s="1"/>
  <c r="U44" i="4" s="1"/>
  <c r="H185" i="1"/>
  <c r="E44" i="4" s="1"/>
  <c r="T44" i="4" s="1"/>
  <c r="CH163" i="1"/>
  <c r="R38" i="4" s="1"/>
  <c r="AG38" i="4" s="1"/>
  <c r="CB163" i="1"/>
  <c r="Q38" i="4" s="1"/>
  <c r="AF38" i="4" s="1"/>
  <c r="P38" i="4"/>
  <c r="AE38" i="4" s="1"/>
  <c r="O38" i="4"/>
  <c r="AD38" i="4" s="1"/>
  <c r="N38" i="4"/>
  <c r="AC38" i="4" s="1"/>
  <c r="M38" i="4"/>
  <c r="L38" i="4"/>
  <c r="AA38" i="4" s="1"/>
  <c r="J38" i="4"/>
  <c r="Y38" i="4" s="1"/>
  <c r="N163" i="1"/>
  <c r="F38" i="4" s="1"/>
  <c r="U38" i="4" s="1"/>
  <c r="H163" i="1"/>
  <c r="E38" i="4" s="1"/>
  <c r="T38" i="4" s="1"/>
  <c r="CH140" i="1"/>
  <c r="R32" i="4" s="1"/>
  <c r="AG32" i="4" s="1"/>
  <c r="CB140" i="1"/>
  <c r="Q32" i="4" s="1"/>
  <c r="AF32" i="4" s="1"/>
  <c r="O32" i="4"/>
  <c r="AD32" i="4" s="1"/>
  <c r="N32" i="4"/>
  <c r="AC32" i="4" s="1"/>
  <c r="M32" i="4"/>
  <c r="AB32" i="4" s="1"/>
  <c r="K32" i="4"/>
  <c r="Z32" i="4" s="1"/>
  <c r="I32" i="4"/>
  <c r="X32" i="4" s="1"/>
  <c r="N140" i="1"/>
  <c r="H140" i="1"/>
  <c r="E32" i="4" s="1"/>
  <c r="T32" i="4" s="1"/>
  <c r="CH114" i="1"/>
  <c r="R26" i="4" s="1"/>
  <c r="AG26" i="4" s="1"/>
  <c r="CB114" i="1"/>
  <c r="Q26" i="4" s="1"/>
  <c r="AF26" i="4" s="1"/>
  <c r="BV114" i="1"/>
  <c r="BP114" i="1"/>
  <c r="O26" i="4" s="1"/>
  <c r="AD26" i="4" s="1"/>
  <c r="BJ114" i="1"/>
  <c r="BD114" i="1"/>
  <c r="M26" i="4" s="1"/>
  <c r="AX114" i="1"/>
  <c r="AP26" i="4" s="1"/>
  <c r="AR114" i="1"/>
  <c r="K26" i="4" s="1"/>
  <c r="Z26" i="4" s="1"/>
  <c r="AF114" i="1"/>
  <c r="I26" i="4" s="1"/>
  <c r="Z114" i="1"/>
  <c r="T114" i="1"/>
  <c r="G26" i="4" s="1"/>
  <c r="V26" i="4" s="1"/>
  <c r="H114" i="1"/>
  <c r="E26" i="4" s="1"/>
  <c r="T26" i="4" s="1"/>
  <c r="CH92" i="1"/>
  <c r="R20" i="4" s="1"/>
  <c r="AG20" i="4" s="1"/>
  <c r="CB92" i="1"/>
  <c r="Q20" i="4" s="1"/>
  <c r="AF20" i="4" s="1"/>
  <c r="P20" i="4"/>
  <c r="AE20" i="4" s="1"/>
  <c r="M20" i="4"/>
  <c r="AB20" i="4" s="1"/>
  <c r="K20" i="4"/>
  <c r="Z20" i="4" s="1"/>
  <c r="J20" i="4"/>
  <c r="Y20" i="4" s="1"/>
  <c r="H92" i="1"/>
  <c r="E20" i="4" s="1"/>
  <c r="T20" i="4" s="1"/>
  <c r="CH66" i="1"/>
  <c r="R14" i="4" s="1"/>
  <c r="AG14" i="4" s="1"/>
  <c r="CB66" i="1"/>
  <c r="Q14" i="4" s="1"/>
  <c r="AF14" i="4" s="1"/>
  <c r="P14" i="4"/>
  <c r="AE14" i="4" s="1"/>
  <c r="O14" i="4"/>
  <c r="AD14" i="4" s="1"/>
  <c r="N14" i="4"/>
  <c r="AC14" i="4" s="1"/>
  <c r="M14" i="4"/>
  <c r="AB14" i="4" s="1"/>
  <c r="K14" i="4"/>
  <c r="Z14" i="4" s="1"/>
  <c r="G14" i="4"/>
  <c r="V14" i="4" s="1"/>
  <c r="H66" i="1"/>
  <c r="E14" i="4" s="1"/>
  <c r="CH37" i="1"/>
  <c r="R8" i="4" s="1"/>
  <c r="P8" i="4"/>
  <c r="AE8" i="4" s="1"/>
  <c r="O8" i="4"/>
  <c r="AD8" i="4" s="1"/>
  <c r="N8" i="4"/>
  <c r="AC8" i="4" s="1"/>
  <c r="M8" i="4"/>
  <c r="AB8" i="4" s="1"/>
  <c r="L8" i="4"/>
  <c r="AA8" i="4" s="1"/>
  <c r="J8" i="4"/>
  <c r="Y8" i="4" s="1"/>
  <c r="G8" i="4"/>
  <c r="V8" i="4" s="1"/>
  <c r="N37" i="1"/>
  <c r="F8" i="4" s="1"/>
  <c r="H37" i="1"/>
  <c r="E8" i="4" s="1"/>
  <c r="T8" i="4" s="1"/>
  <c r="V4" i="5"/>
  <c r="R65" i="4"/>
  <c r="CH181" i="1"/>
  <c r="R43" i="4" s="1"/>
  <c r="AG43" i="4" s="1"/>
  <c r="CH176" i="1"/>
  <c r="R42" i="4" s="1"/>
  <c r="AG42" i="4" s="1"/>
  <c r="CH171" i="1"/>
  <c r="R41" i="4" s="1"/>
  <c r="AG41" i="4" s="1"/>
  <c r="CH167" i="1"/>
  <c r="R40" i="4" s="1"/>
  <c r="CH159" i="1"/>
  <c r="R37" i="4" s="1"/>
  <c r="AG37" i="4" s="1"/>
  <c r="CH152" i="1"/>
  <c r="R36" i="4" s="1"/>
  <c r="AG36" i="4" s="1"/>
  <c r="CH148" i="1"/>
  <c r="R35" i="4" s="1"/>
  <c r="AG35" i="4" s="1"/>
  <c r="CH144" i="1"/>
  <c r="R34" i="4" s="1"/>
  <c r="CH135" i="1"/>
  <c r="R31" i="4" s="1"/>
  <c r="AG31" i="4" s="1"/>
  <c r="CH128" i="1"/>
  <c r="R30" i="4" s="1"/>
  <c r="AG30" i="4" s="1"/>
  <c r="CH123" i="1"/>
  <c r="R29" i="4" s="1"/>
  <c r="AG29" i="4" s="1"/>
  <c r="CH118" i="1"/>
  <c r="R28" i="4" s="1"/>
  <c r="CH109" i="1"/>
  <c r="R25" i="4" s="1"/>
  <c r="AG25" i="4" s="1"/>
  <c r="CH104" i="1"/>
  <c r="R24" i="4" s="1"/>
  <c r="AG24" i="4" s="1"/>
  <c r="CH101" i="1"/>
  <c r="R23" i="4" s="1"/>
  <c r="AG23" i="4" s="1"/>
  <c r="CH98" i="1"/>
  <c r="R22" i="4" s="1"/>
  <c r="AG22" i="4" s="1"/>
  <c r="CH87" i="1"/>
  <c r="R19" i="4" s="1"/>
  <c r="AG19" i="4" s="1"/>
  <c r="CH80" i="1"/>
  <c r="R18" i="4" s="1"/>
  <c r="CH75" i="1"/>
  <c r="R17" i="4" s="1"/>
  <c r="CH71" i="1"/>
  <c r="R16" i="4" s="1"/>
  <c r="CH62" i="1"/>
  <c r="R13" i="4" s="1"/>
  <c r="CH55" i="1"/>
  <c r="R12" i="4" s="1"/>
  <c r="AG12" i="4" s="1"/>
  <c r="CH49" i="1"/>
  <c r="R11" i="4" s="1"/>
  <c r="AG11" i="4" s="1"/>
  <c r="CH44" i="1"/>
  <c r="R10" i="4" s="1"/>
  <c r="AG10" i="4" s="1"/>
  <c r="CH31" i="1"/>
  <c r="R7" i="4" s="1"/>
  <c r="CH24" i="1"/>
  <c r="R6" i="4" s="1"/>
  <c r="AG6" i="4" s="1"/>
  <c r="CH17" i="1"/>
  <c r="R5" i="4" s="1"/>
  <c r="AG5" i="4" s="1"/>
  <c r="CH11" i="1"/>
  <c r="R4" i="4" s="1"/>
  <c r="AG4" i="4" s="1"/>
  <c r="CB181" i="1"/>
  <c r="Q43" i="4" s="1"/>
  <c r="AF43" i="4" s="1"/>
  <c r="CB176" i="1"/>
  <c r="Q42" i="4" s="1"/>
  <c r="AF42" i="4" s="1"/>
  <c r="CB171" i="1"/>
  <c r="Q41" i="4" s="1"/>
  <c r="AF41" i="4" s="1"/>
  <c r="CB167" i="1"/>
  <c r="Q40" i="4" s="1"/>
  <c r="AF40" i="4" s="1"/>
  <c r="CB159" i="1"/>
  <c r="Q37" i="4" s="1"/>
  <c r="AF37" i="4" s="1"/>
  <c r="CB152" i="1"/>
  <c r="Q36" i="4" s="1"/>
  <c r="AF36" i="4" s="1"/>
  <c r="CB148" i="1"/>
  <c r="Q35" i="4" s="1"/>
  <c r="AF35" i="4" s="1"/>
  <c r="CB144" i="1"/>
  <c r="Q34" i="4" s="1"/>
  <c r="CB135" i="1"/>
  <c r="Q31" i="4" s="1"/>
  <c r="AF31" i="4" s="1"/>
  <c r="CB128" i="1"/>
  <c r="Q30" i="4" s="1"/>
  <c r="AF30" i="4" s="1"/>
  <c r="CB123" i="1"/>
  <c r="Q29" i="4" s="1"/>
  <c r="AF29" i="4" s="1"/>
  <c r="CB118" i="1"/>
  <c r="Q28" i="4" s="1"/>
  <c r="AF28" i="4" s="1"/>
  <c r="CB109" i="1"/>
  <c r="Q25" i="4" s="1"/>
  <c r="AF25" i="4" s="1"/>
  <c r="CB104" i="1"/>
  <c r="Q24" i="4" s="1"/>
  <c r="AF24" i="4" s="1"/>
  <c r="CB101" i="1"/>
  <c r="Q23" i="4" s="1"/>
  <c r="AF23" i="4" s="1"/>
  <c r="CB98" i="1"/>
  <c r="Q22" i="4" s="1"/>
  <c r="CB62" i="1"/>
  <c r="Q13" i="4" s="1"/>
  <c r="AF13" i="4" s="1"/>
  <c r="CB55" i="1"/>
  <c r="Q12" i="4" s="1"/>
  <c r="AF12" i="4" s="1"/>
  <c r="CB49" i="1"/>
  <c r="Q11" i="4" s="1"/>
  <c r="R62" i="4"/>
  <c r="R63" i="4"/>
  <c r="R64" i="4"/>
  <c r="R71" i="4"/>
  <c r="R70" i="4"/>
  <c r="R74" i="4"/>
  <c r="R72" i="4"/>
  <c r="R69" i="4"/>
  <c r="R73" i="4"/>
  <c r="R76" i="4"/>
  <c r="AA32" i="4"/>
  <c r="Y32" i="4"/>
  <c r="AE32" i="4"/>
  <c r="U32" i="4"/>
  <c r="W32" i="4"/>
  <c r="Y26" i="4"/>
  <c r="AE26" i="4"/>
  <c r="U26" i="4"/>
  <c r="W26" i="4"/>
  <c r="AA26" i="4"/>
  <c r="AC26" i="4"/>
  <c r="AI13" i="4"/>
  <c r="AI43" i="4"/>
  <c r="AI42" i="4"/>
  <c r="AI41" i="4"/>
  <c r="AI40" i="4"/>
  <c r="AI37" i="4"/>
  <c r="AI36" i="4"/>
  <c r="AI35" i="4"/>
  <c r="AI34" i="4"/>
  <c r="AI31" i="4"/>
  <c r="AI30" i="4"/>
  <c r="AI29" i="4"/>
  <c r="AI28" i="4"/>
  <c r="AI25" i="4"/>
  <c r="AI24" i="4"/>
  <c r="AI23" i="4"/>
  <c r="AI22" i="4"/>
  <c r="AI19" i="4"/>
  <c r="AI18" i="4"/>
  <c r="AI17" i="4"/>
  <c r="AI16" i="4"/>
  <c r="AI12" i="4"/>
  <c r="AI11" i="4"/>
  <c r="AI10" i="4"/>
  <c r="R67" i="4"/>
  <c r="D39" i="4"/>
  <c r="D75" i="4"/>
  <c r="D33" i="4"/>
  <c r="D74" i="4"/>
  <c r="D27" i="4"/>
  <c r="D73" i="4"/>
  <c r="D21" i="4"/>
  <c r="D72" i="4"/>
  <c r="D15" i="4"/>
  <c r="D71" i="4"/>
  <c r="D70" i="4"/>
  <c r="G52" i="3"/>
  <c r="P43" i="4"/>
  <c r="AE43" i="4" s="1"/>
  <c r="P42" i="4"/>
  <c r="AE42" i="4" s="1"/>
  <c r="P41" i="4"/>
  <c r="AE41" i="4" s="1"/>
  <c r="P40" i="4"/>
  <c r="AE40" i="4" s="1"/>
  <c r="P37" i="4"/>
  <c r="AE37" i="4" s="1"/>
  <c r="P36" i="4"/>
  <c r="AE36" i="4" s="1"/>
  <c r="P35" i="4"/>
  <c r="AE35" i="4" s="1"/>
  <c r="P34" i="4"/>
  <c r="AE34" i="4" s="1"/>
  <c r="AE31" i="4"/>
  <c r="AE30" i="4"/>
  <c r="AE29" i="4"/>
  <c r="AE28" i="4"/>
  <c r="BV109" i="1"/>
  <c r="AE25" i="4"/>
  <c r="BV104" i="1"/>
  <c r="AE24" i="4"/>
  <c r="BV101" i="1"/>
  <c r="AE23" i="4"/>
  <c r="BV98" i="1"/>
  <c r="AE22" i="4"/>
  <c r="P13" i="4"/>
  <c r="AE13" i="4" s="1"/>
  <c r="P12" i="4"/>
  <c r="AE12" i="4" s="1"/>
  <c r="P11" i="4"/>
  <c r="AE11" i="4" s="1"/>
  <c r="P10" i="4"/>
  <c r="AE10" i="4" s="1"/>
  <c r="P6" i="4"/>
  <c r="AE6" i="4" s="1"/>
  <c r="P5" i="4"/>
  <c r="AE5" i="4" s="1"/>
  <c r="P4" i="4"/>
  <c r="AE4" i="4" s="1"/>
  <c r="O43" i="4"/>
  <c r="AD43" i="4" s="1"/>
  <c r="O42" i="4"/>
  <c r="AD42" i="4" s="1"/>
  <c r="O41" i="4"/>
  <c r="AD41" i="4" s="1"/>
  <c r="O40" i="4"/>
  <c r="AD40" i="4" s="1"/>
  <c r="O37" i="4"/>
  <c r="AD37" i="4" s="1"/>
  <c r="O36" i="4"/>
  <c r="O35" i="4"/>
  <c r="AD35" i="4" s="1"/>
  <c r="O34" i="4"/>
  <c r="AD34" i="4" s="1"/>
  <c r="O31" i="4"/>
  <c r="AD31" i="4" s="1"/>
  <c r="O30" i="4"/>
  <c r="AD30" i="4" s="1"/>
  <c r="O29" i="4"/>
  <c r="AD29" i="4" s="1"/>
  <c r="O28" i="4"/>
  <c r="AD28" i="4" s="1"/>
  <c r="BP109" i="1"/>
  <c r="O25" i="4" s="1"/>
  <c r="BP104" i="1"/>
  <c r="O24" i="4" s="1"/>
  <c r="AD24" i="4" s="1"/>
  <c r="BP101" i="1"/>
  <c r="O23" i="4" s="1"/>
  <c r="BP98" i="1"/>
  <c r="O22" i="4" s="1"/>
  <c r="AD19" i="4"/>
  <c r="AD18" i="4"/>
  <c r="O13" i="4"/>
  <c r="AD13" i="4" s="1"/>
  <c r="O12" i="4"/>
  <c r="AD12" i="4" s="1"/>
  <c r="O11" i="4"/>
  <c r="AD11" i="4" s="1"/>
  <c r="O10" i="4"/>
  <c r="O7" i="4"/>
  <c r="AD7" i="4" s="1"/>
  <c r="O6" i="4"/>
  <c r="AD6" i="4" s="1"/>
  <c r="O5" i="4"/>
  <c r="AD5" i="4" s="1"/>
  <c r="O4" i="4"/>
  <c r="AD4" i="4" s="1"/>
  <c r="N43" i="4"/>
  <c r="AC43" i="4" s="1"/>
  <c r="N42" i="4"/>
  <c r="AC42" i="4" s="1"/>
  <c r="N41" i="4"/>
  <c r="N40" i="4"/>
  <c r="AC40" i="4" s="1"/>
  <c r="N37" i="4"/>
  <c r="AC37" i="4" s="1"/>
  <c r="N36" i="4"/>
  <c r="AC36" i="4" s="1"/>
  <c r="N35" i="4"/>
  <c r="N34" i="4"/>
  <c r="N31" i="4"/>
  <c r="AC31" i="4" s="1"/>
  <c r="N30" i="4"/>
  <c r="N29" i="4"/>
  <c r="AC29" i="4" s="1"/>
  <c r="N28" i="4"/>
  <c r="AC28" i="4" s="1"/>
  <c r="BJ109" i="1"/>
  <c r="AC25" i="4"/>
  <c r="AC24" i="4"/>
  <c r="AC23" i="4"/>
  <c r="AC22" i="4"/>
  <c r="N19" i="4"/>
  <c r="AC19" i="4" s="1"/>
  <c r="N18" i="4"/>
  <c r="AC18" i="4" s="1"/>
  <c r="N17" i="4"/>
  <c r="AC17" i="4" s="1"/>
  <c r="N16" i="4"/>
  <c r="N13" i="4"/>
  <c r="AC13" i="4" s="1"/>
  <c r="N12" i="4"/>
  <c r="AC12" i="4" s="1"/>
  <c r="N11" i="4"/>
  <c r="AC11" i="4" s="1"/>
  <c r="N10" i="4"/>
  <c r="N7" i="4"/>
  <c r="AC7" i="4" s="1"/>
  <c r="N6" i="4"/>
  <c r="AC6" i="4" s="1"/>
  <c r="N5" i="4"/>
  <c r="AC5" i="4" s="1"/>
  <c r="N4" i="4"/>
  <c r="AC4" i="4" s="1"/>
  <c r="M43" i="4"/>
  <c r="AB43" i="4" s="1"/>
  <c r="M42" i="4"/>
  <c r="AB42" i="4" s="1"/>
  <c r="M41" i="4"/>
  <c r="AB41" i="4" s="1"/>
  <c r="M40" i="4"/>
  <c r="AB40" i="4" s="1"/>
  <c r="M37" i="4"/>
  <c r="AB37" i="4" s="1"/>
  <c r="M36" i="4"/>
  <c r="AB36" i="4" s="1"/>
  <c r="M35" i="4"/>
  <c r="AB35" i="4" s="1"/>
  <c r="M34" i="4"/>
  <c r="AB34" i="4" s="1"/>
  <c r="M31" i="4"/>
  <c r="AB31" i="4" s="1"/>
  <c r="M30" i="4"/>
  <c r="AB30" i="4" s="1"/>
  <c r="M29" i="4"/>
  <c r="AB29" i="4" s="1"/>
  <c r="M28" i="4"/>
  <c r="AB28" i="4" s="1"/>
  <c r="BD109" i="1"/>
  <c r="M25" i="4" s="1"/>
  <c r="BD104" i="1"/>
  <c r="M24" i="4" s="1"/>
  <c r="AB24" i="4" s="1"/>
  <c r="BD101" i="1"/>
  <c r="M23" i="4" s="1"/>
  <c r="AB23" i="4" s="1"/>
  <c r="BD98" i="1"/>
  <c r="M22" i="4" s="1"/>
  <c r="M19" i="4"/>
  <c r="AB19" i="4" s="1"/>
  <c r="M18" i="4"/>
  <c r="AB18" i="4" s="1"/>
  <c r="M17" i="4"/>
  <c r="AB17" i="4" s="1"/>
  <c r="M16" i="4"/>
  <c r="AB16" i="4" s="1"/>
  <c r="M13" i="4"/>
  <c r="AB13" i="4" s="1"/>
  <c r="M12" i="4"/>
  <c r="AB12" i="4" s="1"/>
  <c r="M11" i="4"/>
  <c r="AB11" i="4" s="1"/>
  <c r="M10" i="4"/>
  <c r="AB10" i="4" s="1"/>
  <c r="M7" i="4"/>
  <c r="AB7" i="4" s="1"/>
  <c r="M6" i="4"/>
  <c r="AB6" i="4" s="1"/>
  <c r="M5" i="4"/>
  <c r="AB5" i="4" s="1"/>
  <c r="L36" i="4"/>
  <c r="AA36" i="4" s="1"/>
  <c r="AX109" i="1"/>
  <c r="AP25" i="4" s="1"/>
  <c r="AX104" i="1"/>
  <c r="AP24" i="4" s="1"/>
  <c r="AP7" i="4"/>
  <c r="K42" i="4"/>
  <c r="Z42" i="4" s="1"/>
  <c r="K37" i="4"/>
  <c r="Z37" i="4" s="1"/>
  <c r="K36" i="4"/>
  <c r="Z36" i="4" s="1"/>
  <c r="K35" i="4"/>
  <c r="Z35" i="4" s="1"/>
  <c r="K31" i="4"/>
  <c r="Z31" i="4" s="1"/>
  <c r="AR109" i="1"/>
  <c r="K25" i="4" s="1"/>
  <c r="Z25" i="4" s="1"/>
  <c r="AR104" i="1"/>
  <c r="K24" i="4" s="1"/>
  <c r="Z24" i="4" s="1"/>
  <c r="AR101" i="1"/>
  <c r="K23" i="4" s="1"/>
  <c r="Z23" i="4" s="1"/>
  <c r="AR98" i="1"/>
  <c r="K22" i="4" s="1"/>
  <c r="K19" i="4"/>
  <c r="Z19" i="4" s="1"/>
  <c r="K17" i="4"/>
  <c r="Z17" i="4" s="1"/>
  <c r="K13" i="4"/>
  <c r="Z13" i="4" s="1"/>
  <c r="K10" i="4"/>
  <c r="Z10" i="4" s="1"/>
  <c r="K7" i="4"/>
  <c r="Z7" i="4" s="1"/>
  <c r="K6" i="4"/>
  <c r="Z6" i="4" s="1"/>
  <c r="J43" i="4"/>
  <c r="Y43" i="4" s="1"/>
  <c r="J42" i="4"/>
  <c r="Y42" i="4" s="1"/>
  <c r="J41" i="4"/>
  <c r="Y41" i="4" s="1"/>
  <c r="J40" i="4"/>
  <c r="Y40" i="4" s="1"/>
  <c r="J37" i="4"/>
  <c r="Y37" i="4" s="1"/>
  <c r="J36" i="4"/>
  <c r="Y36" i="4" s="1"/>
  <c r="J35" i="4"/>
  <c r="Y35" i="4" s="1"/>
  <c r="J34" i="4"/>
  <c r="Y34" i="4" s="1"/>
  <c r="Y31" i="4"/>
  <c r="Y30" i="4"/>
  <c r="Y29" i="4"/>
  <c r="Y28" i="4"/>
  <c r="Y25" i="4"/>
  <c r="Y24" i="4"/>
  <c r="Y23" i="4"/>
  <c r="Y22" i="4"/>
  <c r="J19" i="4"/>
  <c r="Y19" i="4" s="1"/>
  <c r="J18" i="4"/>
  <c r="Y18" i="4" s="1"/>
  <c r="J17" i="4"/>
  <c r="Y17" i="4" s="1"/>
  <c r="J16" i="4"/>
  <c r="Y16" i="4" s="1"/>
  <c r="J13" i="4"/>
  <c r="Y13" i="4" s="1"/>
  <c r="J12" i="4"/>
  <c r="Y12" i="4" s="1"/>
  <c r="J11" i="4"/>
  <c r="Y11" i="4" s="1"/>
  <c r="J10" i="4"/>
  <c r="Y10" i="4" s="1"/>
  <c r="J7" i="4"/>
  <c r="Y7" i="4" s="1"/>
  <c r="J6" i="4"/>
  <c r="Y6" i="4" s="1"/>
  <c r="J5" i="4"/>
  <c r="Y5" i="4" s="1"/>
  <c r="J4" i="4"/>
  <c r="Y4" i="4" s="1"/>
  <c r="I42" i="4"/>
  <c r="X42" i="4" s="1"/>
  <c r="I41" i="4"/>
  <c r="X41" i="4" s="1"/>
  <c r="I40" i="4"/>
  <c r="X40" i="4" s="1"/>
  <c r="I37" i="4"/>
  <c r="X37" i="4" s="1"/>
  <c r="I36" i="4"/>
  <c r="X36" i="4" s="1"/>
  <c r="I35" i="4"/>
  <c r="X35" i="4" s="1"/>
  <c r="AF109" i="1"/>
  <c r="I25" i="4" s="1"/>
  <c r="X25" i="4" s="1"/>
  <c r="AF104" i="1"/>
  <c r="I24" i="4" s="1"/>
  <c r="X24" i="4" s="1"/>
  <c r="AF101" i="1"/>
  <c r="I23" i="4" s="1"/>
  <c r="AF98" i="1"/>
  <c r="I22" i="4" s="1"/>
  <c r="I19" i="4"/>
  <c r="X19" i="4" s="1"/>
  <c r="I18" i="4"/>
  <c r="X18" i="4" s="1"/>
  <c r="I17" i="4"/>
  <c r="X17" i="4" s="1"/>
  <c r="I16" i="4"/>
  <c r="X16" i="4" s="1"/>
  <c r="I7" i="4"/>
  <c r="X7" i="4" s="1"/>
  <c r="I5" i="4"/>
  <c r="I4" i="4"/>
  <c r="X4" i="4" s="1"/>
  <c r="H43" i="4"/>
  <c r="W43" i="4" s="1"/>
  <c r="H41" i="4"/>
  <c r="W41" i="4" s="1"/>
  <c r="W31" i="4"/>
  <c r="W30" i="4"/>
  <c r="W29" i="4"/>
  <c r="W28" i="4"/>
  <c r="Z109" i="1"/>
  <c r="W25" i="4"/>
  <c r="Z104" i="1"/>
  <c r="W24" i="4"/>
  <c r="Z101" i="1"/>
  <c r="W23" i="4"/>
  <c r="Z98" i="1"/>
  <c r="W22" i="4"/>
  <c r="H19" i="4"/>
  <c r="W19" i="4" s="1"/>
  <c r="H6" i="4"/>
  <c r="W6" i="4" s="1"/>
  <c r="H5" i="4"/>
  <c r="W5" i="4" s="1"/>
  <c r="H4" i="4"/>
  <c r="W4" i="4" s="1"/>
  <c r="G43" i="4"/>
  <c r="V43" i="4" s="1"/>
  <c r="G40" i="4"/>
  <c r="V40" i="4" s="1"/>
  <c r="G31" i="4"/>
  <c r="G30" i="4"/>
  <c r="V30" i="4" s="1"/>
  <c r="G28" i="4"/>
  <c r="V28" i="4" s="1"/>
  <c r="T109" i="1"/>
  <c r="G25" i="4" s="1"/>
  <c r="V25" i="4" s="1"/>
  <c r="T104" i="1"/>
  <c r="G24" i="4" s="1"/>
  <c r="V24" i="4" s="1"/>
  <c r="T101" i="1"/>
  <c r="G23" i="4" s="1"/>
  <c r="T98" i="1"/>
  <c r="G22" i="4" s="1"/>
  <c r="V22" i="4" s="1"/>
  <c r="G17" i="4"/>
  <c r="V17" i="4" s="1"/>
  <c r="G13" i="4"/>
  <c r="V13" i="4" s="1"/>
  <c r="G12" i="4"/>
  <c r="G11" i="4"/>
  <c r="G10" i="4"/>
  <c r="V10" i="4" s="1"/>
  <c r="G7" i="4"/>
  <c r="V7" i="4" s="1"/>
  <c r="G6" i="4"/>
  <c r="V6" i="4" s="1"/>
  <c r="G5" i="4"/>
  <c r="V5" i="4" s="1"/>
  <c r="G4" i="4"/>
  <c r="V4" i="4" s="1"/>
  <c r="N181" i="1"/>
  <c r="F43" i="4" s="1"/>
  <c r="U43" i="4" s="1"/>
  <c r="N176" i="1"/>
  <c r="F42" i="4" s="1"/>
  <c r="N171" i="1"/>
  <c r="F41" i="4" s="1"/>
  <c r="U41" i="4" s="1"/>
  <c r="N167" i="1"/>
  <c r="F40" i="4" s="1"/>
  <c r="U40" i="4" s="1"/>
  <c r="N159" i="1"/>
  <c r="F37" i="4" s="1"/>
  <c r="U37" i="4" s="1"/>
  <c r="N152" i="1"/>
  <c r="F36" i="4" s="1"/>
  <c r="U36" i="4" s="1"/>
  <c r="N148" i="1"/>
  <c r="F35" i="4" s="1"/>
  <c r="U35" i="4" s="1"/>
  <c r="N144" i="1"/>
  <c r="F34" i="4" s="1"/>
  <c r="N135" i="1"/>
  <c r="U31" i="4"/>
  <c r="N128" i="1"/>
  <c r="U30" i="4"/>
  <c r="N123" i="1"/>
  <c r="U29" i="4"/>
  <c r="N118" i="1"/>
  <c r="U28" i="4"/>
  <c r="U25" i="4"/>
  <c r="U24" i="4"/>
  <c r="U23" i="4"/>
  <c r="U22" i="4"/>
  <c r="N55" i="1"/>
  <c r="F12" i="4" s="1"/>
  <c r="U12" i="4" s="1"/>
  <c r="N49" i="1"/>
  <c r="F11" i="4" s="1"/>
  <c r="U11" i="4" s="1"/>
  <c r="N44" i="1"/>
  <c r="F10" i="4" s="1"/>
  <c r="N31" i="1"/>
  <c r="F7" i="4" s="1"/>
  <c r="U7" i="4" s="1"/>
  <c r="N24" i="1"/>
  <c r="F6" i="4" s="1"/>
  <c r="N17" i="1"/>
  <c r="F5" i="4" s="1"/>
  <c r="N11" i="1"/>
  <c r="F4" i="4" s="1"/>
  <c r="AP23" i="4"/>
  <c r="AP22" i="4"/>
  <c r="AA22" i="4"/>
  <c r="AA23" i="4"/>
  <c r="AA31" i="4"/>
  <c r="AA24" i="4"/>
  <c r="AA25" i="4"/>
  <c r="AA28" i="4"/>
  <c r="L17" i="4"/>
  <c r="AA17" i="4" s="1"/>
  <c r="AA29" i="4"/>
  <c r="L18" i="4"/>
  <c r="AA18" i="4" s="1"/>
  <c r="AA30" i="4"/>
  <c r="AE7" i="4"/>
  <c r="P27" i="4"/>
  <c r="F21" i="4"/>
  <c r="F72" i="4"/>
  <c r="J21" i="4"/>
  <c r="F27" i="4"/>
  <c r="F73" i="4"/>
  <c r="H27" i="4"/>
  <c r="J27" i="4"/>
  <c r="H21" i="4"/>
  <c r="N21" i="4"/>
  <c r="P21" i="4"/>
  <c r="H152" i="1"/>
  <c r="E36" i="4" s="1"/>
  <c r="T36" i="4" s="1"/>
  <c r="AE27" i="4"/>
  <c r="P73" i="4"/>
  <c r="AE21" i="4"/>
  <c r="P72" i="4"/>
  <c r="AC21" i="4"/>
  <c r="N72" i="4"/>
  <c r="Y21" i="4"/>
  <c r="J72" i="4"/>
  <c r="Y27" i="4"/>
  <c r="J73" i="4"/>
  <c r="AE45" i="4"/>
  <c r="AC45" i="4"/>
  <c r="Z45" i="4"/>
  <c r="Y45" i="4"/>
  <c r="W27" i="4"/>
  <c r="H73" i="4"/>
  <c r="W21" i="4"/>
  <c r="H72" i="4"/>
  <c r="BE21" i="4"/>
  <c r="L21" i="4"/>
  <c r="L27" i="4"/>
  <c r="U21" i="4"/>
  <c r="U27" i="4"/>
  <c r="H31" i="1"/>
  <c r="E7" i="4" s="1"/>
  <c r="AA21" i="4"/>
  <c r="L72" i="4"/>
  <c r="AA27" i="4"/>
  <c r="L73" i="4"/>
  <c r="X45" i="4"/>
  <c r="V45" i="4"/>
  <c r="AD45" i="4"/>
  <c r="AB45" i="4"/>
  <c r="U45" i="4"/>
  <c r="W45" i="4"/>
  <c r="AA45" i="4"/>
  <c r="H11" i="1"/>
  <c r="E4" i="4" s="1"/>
  <c r="H17" i="1"/>
  <c r="E5" i="4" s="1"/>
  <c r="H24" i="1"/>
  <c r="E6" i="4" s="1"/>
  <c r="H44" i="1"/>
  <c r="E10" i="4" s="1"/>
  <c r="T10" i="4" s="1"/>
  <c r="H49" i="1"/>
  <c r="E11" i="4" s="1"/>
  <c r="H55" i="1"/>
  <c r="E12" i="4" s="1"/>
  <c r="T12" i="4" s="1"/>
  <c r="H62" i="1"/>
  <c r="E13" i="4" s="1"/>
  <c r="T13" i="4" s="1"/>
  <c r="H71" i="1"/>
  <c r="E16" i="4" s="1"/>
  <c r="H75" i="1"/>
  <c r="E17" i="4" s="1"/>
  <c r="T17" i="4" s="1"/>
  <c r="H80" i="1"/>
  <c r="E18" i="4" s="1"/>
  <c r="H87" i="1"/>
  <c r="E19" i="4" s="1"/>
  <c r="T19" i="4" s="1"/>
  <c r="H98" i="1"/>
  <c r="E22" i="4" s="1"/>
  <c r="E24" i="3" s="1"/>
  <c r="H101" i="1"/>
  <c r="E23" i="4" s="1"/>
  <c r="T23" i="4" s="1"/>
  <c r="H104" i="1"/>
  <c r="E24" i="4" s="1"/>
  <c r="H109" i="1"/>
  <c r="E25" i="4" s="1"/>
  <c r="T25" i="4" s="1"/>
  <c r="H118" i="1"/>
  <c r="E28" i="4" s="1"/>
  <c r="T28" i="4" s="1"/>
  <c r="H123" i="1"/>
  <c r="E29" i="4" s="1"/>
  <c r="T29" i="4" s="1"/>
  <c r="H128" i="1"/>
  <c r="E30" i="4" s="1"/>
  <c r="T30" i="4" s="1"/>
  <c r="H135" i="1"/>
  <c r="E31" i="4" s="1"/>
  <c r="T31" i="4" s="1"/>
  <c r="H144" i="1"/>
  <c r="E34" i="4" s="1"/>
  <c r="T34" i="4" s="1"/>
  <c r="H148" i="1"/>
  <c r="E35" i="4" s="1"/>
  <c r="H159" i="1"/>
  <c r="E37" i="4" s="1"/>
  <c r="T37" i="4" s="1"/>
  <c r="H167" i="1"/>
  <c r="E40" i="4" s="1"/>
  <c r="H171" i="1"/>
  <c r="E41" i="4" s="1"/>
  <c r="T41" i="4" s="1"/>
  <c r="H176" i="1"/>
  <c r="E42" i="4" s="1"/>
  <c r="T42" i="4" s="1"/>
  <c r="H181" i="1"/>
  <c r="E43" i="4" s="1"/>
  <c r="T45" i="4"/>
  <c r="AE46" i="4"/>
  <c r="E43" i="3"/>
  <c r="I66" i="4"/>
  <c r="N66" i="4"/>
  <c r="AB46" i="4"/>
  <c r="X46" i="4"/>
  <c r="W46" i="4"/>
  <c r="T46" i="4"/>
  <c r="E66" i="4"/>
  <c r="AP38" i="4"/>
  <c r="BE38" i="4"/>
  <c r="O20" i="4"/>
  <c r="AD20" i="4" s="1"/>
  <c r="AP41" i="4"/>
  <c r="AP44" i="4"/>
  <c r="BE44" i="4"/>
  <c r="AP5" i="4"/>
  <c r="L41" i="4"/>
  <c r="AA41" i="4" s="1"/>
  <c r="AF47" i="4"/>
  <c r="BE7" i="4"/>
  <c r="L7" i="4"/>
  <c r="AA7" i="4" s="1"/>
  <c r="BE4" i="4"/>
  <c r="L6" i="4"/>
  <c r="AA6" i="4" s="1"/>
  <c r="AP8" i="4"/>
  <c r="BE8" i="4"/>
  <c r="AC35" i="4"/>
  <c r="AB38" i="4"/>
  <c r="N20" i="4"/>
  <c r="AC20" i="4" s="1"/>
  <c r="P59" i="3" l="1"/>
  <c r="O68" i="3"/>
  <c r="BE36" i="4"/>
  <c r="AP13" i="4"/>
  <c r="AP6" i="4"/>
  <c r="AP4" i="4"/>
  <c r="L17" i="3"/>
  <c r="BE40" i="4"/>
  <c r="P81" i="3" s="1"/>
  <c r="BE47" i="4"/>
  <c r="BE45" i="4" s="1"/>
  <c r="BE46" i="4"/>
  <c r="O82" i="3"/>
  <c r="AP40" i="4"/>
  <c r="AP39" i="4" s="1"/>
  <c r="AP46" i="4"/>
  <c r="L40" i="4"/>
  <c r="AA40" i="4" s="1"/>
  <c r="BE35" i="4"/>
  <c r="P78" i="3" s="1"/>
  <c r="L13" i="4"/>
  <c r="AA13" i="4" s="1"/>
  <c r="L5" i="4"/>
  <c r="AA5" i="4" s="1"/>
  <c r="AP12" i="4"/>
  <c r="O63" i="3" s="1"/>
  <c r="X30" i="4"/>
  <c r="E31" i="3"/>
  <c r="P58" i="3"/>
  <c r="AQ3" i="4"/>
  <c r="E10" i="3"/>
  <c r="P60" i="3"/>
  <c r="O69" i="3"/>
  <c r="P68" i="3"/>
  <c r="M68" i="3" s="1"/>
  <c r="O70" i="3"/>
  <c r="O58" i="3"/>
  <c r="O60" i="3"/>
  <c r="P67" i="3"/>
  <c r="BE43" i="4"/>
  <c r="L42" i="4"/>
  <c r="AA42" i="4" s="1"/>
  <c r="L43" i="4"/>
  <c r="AA43" i="4" s="1"/>
  <c r="BE42" i="4"/>
  <c r="P83" i="3" s="1"/>
  <c r="AP35" i="4"/>
  <c r="E35" i="3"/>
  <c r="O79" i="3"/>
  <c r="I33" i="4"/>
  <c r="X33" i="4" s="1"/>
  <c r="BE34" i="4"/>
  <c r="P77" i="3" s="1"/>
  <c r="AR33" i="4"/>
  <c r="AP34" i="4"/>
  <c r="O77" i="3" s="1"/>
  <c r="AV21" i="4"/>
  <c r="P72" i="3"/>
  <c r="BE32" i="4"/>
  <c r="O71" i="3"/>
  <c r="M71" i="3" s="1"/>
  <c r="P70" i="3"/>
  <c r="E12" i="3"/>
  <c r="P66" i="3"/>
  <c r="E63" i="3" s="1"/>
  <c r="L16" i="4"/>
  <c r="AA16" i="4" s="1"/>
  <c r="O67" i="3"/>
  <c r="O3" i="4"/>
  <c r="O69" i="4" s="1"/>
  <c r="O66" i="3"/>
  <c r="P65" i="3"/>
  <c r="O15" i="4"/>
  <c r="AD15" i="4" s="1"/>
  <c r="O64" i="3"/>
  <c r="P64" i="3"/>
  <c r="L14" i="4"/>
  <c r="AA14" i="4" s="1"/>
  <c r="BE14" i="4"/>
  <c r="E15" i="3"/>
  <c r="O59" i="3"/>
  <c r="M59" i="3" s="1"/>
  <c r="AM39" i="4"/>
  <c r="X29" i="4"/>
  <c r="BC33" i="4"/>
  <c r="AS21" i="4"/>
  <c r="AU33" i="4"/>
  <c r="P69" i="3"/>
  <c r="P76" i="3"/>
  <c r="P82" i="3"/>
  <c r="AG47" i="4"/>
  <c r="G33" i="4"/>
  <c r="V33" i="4" s="1"/>
  <c r="K39" i="4"/>
  <c r="Z39" i="4" s="1"/>
  <c r="N33" i="4"/>
  <c r="AC33" i="4" s="1"/>
  <c r="O75" i="3"/>
  <c r="O83" i="3"/>
  <c r="P79" i="3"/>
  <c r="BK15" i="4"/>
  <c r="BF39" i="4"/>
  <c r="BG33" i="4"/>
  <c r="AU27" i="4"/>
  <c r="AV27" i="4"/>
  <c r="AR9" i="4"/>
  <c r="BE3" i="4"/>
  <c r="AS39" i="4"/>
  <c r="AV39" i="4"/>
  <c r="BC39" i="4"/>
  <c r="AQ39" i="4"/>
  <c r="AT39" i="4"/>
  <c r="BK39" i="4"/>
  <c r="BI39" i="4"/>
  <c r="AC34" i="4"/>
  <c r="J33" i="4"/>
  <c r="J74" i="4" s="1"/>
  <c r="K33" i="4"/>
  <c r="Z33" i="4" s="1"/>
  <c r="AV33" i="4"/>
  <c r="BJ33" i="4"/>
  <c r="BK27" i="4"/>
  <c r="BF21" i="4"/>
  <c r="BI21" i="4"/>
  <c r="BG21" i="4"/>
  <c r="E25" i="3"/>
  <c r="AK21" i="4"/>
  <c r="AQ21" i="4"/>
  <c r="AR21" i="4"/>
  <c r="BC21" i="4"/>
  <c r="AU21" i="4"/>
  <c r="K15" i="4"/>
  <c r="Z15" i="4" s="1"/>
  <c r="AP20" i="4"/>
  <c r="AO15" i="4"/>
  <c r="AR15" i="4"/>
  <c r="BC15" i="4"/>
  <c r="AD16" i="4"/>
  <c r="BG9" i="4"/>
  <c r="J3" i="4"/>
  <c r="J69" i="4" s="1"/>
  <c r="P52" i="4"/>
  <c r="P63" i="4" s="1"/>
  <c r="AP3" i="4"/>
  <c r="O9" i="4"/>
  <c r="AD9" i="4" s="1"/>
  <c r="J9" i="4"/>
  <c r="Y9" i="4" s="1"/>
  <c r="AX9" i="4"/>
  <c r="AD10" i="4"/>
  <c r="AQ9" i="4"/>
  <c r="K9" i="4"/>
  <c r="Z9" i="4" s="1"/>
  <c r="G9" i="4"/>
  <c r="V9" i="4" s="1"/>
  <c r="N9" i="4"/>
  <c r="AC9" i="4" s="1"/>
  <c r="AS9" i="4"/>
  <c r="AU9" i="4"/>
  <c r="BK9" i="4"/>
  <c r="BG3" i="4"/>
  <c r="P3" i="4"/>
  <c r="P69" i="4" s="1"/>
  <c r="AV3" i="4"/>
  <c r="K3" i="4"/>
  <c r="K69" i="4" s="1"/>
  <c r="R39" i="4"/>
  <c r="AG39" i="4" s="1"/>
  <c r="AG40" i="4"/>
  <c r="J39" i="4"/>
  <c r="AR39" i="4"/>
  <c r="I39" i="4"/>
  <c r="X39" i="4" s="1"/>
  <c r="N39" i="4"/>
  <c r="N75" i="4" s="1"/>
  <c r="J54" i="4"/>
  <c r="J65" i="4" s="1"/>
  <c r="J53" i="4"/>
  <c r="J64" i="4" s="1"/>
  <c r="BH39" i="4"/>
  <c r="AS33" i="4"/>
  <c r="BK33" i="4"/>
  <c r="N54" i="4"/>
  <c r="N65" i="4" s="1"/>
  <c r="BE29" i="4"/>
  <c r="P74" i="3" s="1"/>
  <c r="AO27" i="4"/>
  <c r="R27" i="4"/>
  <c r="AG27" i="4" s="1"/>
  <c r="N52" i="4"/>
  <c r="N63" i="4" s="1"/>
  <c r="K27" i="4"/>
  <c r="K73" i="4" s="1"/>
  <c r="G27" i="4"/>
  <c r="V27" i="4" s="1"/>
  <c r="E27" i="3"/>
  <c r="BH21" i="4"/>
  <c r="AN21" i="4"/>
  <c r="AO21" i="4"/>
  <c r="AP21" i="4"/>
  <c r="BK21" i="4"/>
  <c r="J51" i="4"/>
  <c r="J62" i="4" s="1"/>
  <c r="AT15" i="4"/>
  <c r="BF15" i="4"/>
  <c r="BI15" i="4"/>
  <c r="BG15" i="4"/>
  <c r="M15" i="4"/>
  <c r="M71" i="4" s="1"/>
  <c r="N15" i="4"/>
  <c r="AC15" i="4" s="1"/>
  <c r="AV15" i="4"/>
  <c r="BE12" i="4"/>
  <c r="P63" i="3" s="1"/>
  <c r="BH9" i="4"/>
  <c r="AV9" i="4"/>
  <c r="V11" i="4"/>
  <c r="N55" i="4"/>
  <c r="AC10" i="4"/>
  <c r="AR3" i="4"/>
  <c r="AT3" i="4"/>
  <c r="BK3" i="4"/>
  <c r="N3" i="4"/>
  <c r="N53" i="4"/>
  <c r="N64" i="4" s="1"/>
  <c r="BJ21" i="4"/>
  <c r="O53" i="4"/>
  <c r="O64" i="4" s="1"/>
  <c r="BC27" i="4"/>
  <c r="BD21" i="4"/>
  <c r="AS3" i="4"/>
  <c r="AS15" i="4"/>
  <c r="AP37" i="4"/>
  <c r="O80" i="3" s="1"/>
  <c r="BJ27" i="4"/>
  <c r="AS27" i="4"/>
  <c r="BG39" i="4"/>
  <c r="BC9" i="4"/>
  <c r="AY27" i="4"/>
  <c r="E36" i="3"/>
  <c r="AX21" i="4"/>
  <c r="O72" i="3"/>
  <c r="AI15" i="4"/>
  <c r="AI27" i="4"/>
  <c r="AI39" i="4"/>
  <c r="AI9" i="4"/>
  <c r="T43" i="4"/>
  <c r="E26" i="3"/>
  <c r="T24" i="4"/>
  <c r="AX15" i="4"/>
  <c r="O81" i="3"/>
  <c r="AY15" i="4"/>
  <c r="AJ15" i="4"/>
  <c r="AZ15" i="4"/>
  <c r="AZ21" i="4"/>
  <c r="H39" i="4"/>
  <c r="H75" i="4" s="1"/>
  <c r="W42" i="4"/>
  <c r="AL33" i="4"/>
  <c r="AL15" i="4"/>
  <c r="BA33" i="4"/>
  <c r="BB39" i="4"/>
  <c r="AM21" i="4"/>
  <c r="AN3" i="4"/>
  <c r="BB15" i="4"/>
  <c r="BB27" i="4"/>
  <c r="AL21" i="4"/>
  <c r="BA21" i="4"/>
  <c r="V23" i="4"/>
  <c r="G52" i="4"/>
  <c r="G63" i="4" s="1"/>
  <c r="AJ27" i="4"/>
  <c r="AJ3" i="4"/>
  <c r="AY3" i="4"/>
  <c r="AJ33" i="4"/>
  <c r="T18" i="4"/>
  <c r="E21" i="3"/>
  <c r="E40" i="3"/>
  <c r="AI21" i="4"/>
  <c r="E20" i="3"/>
  <c r="O74" i="3"/>
  <c r="AX39" i="4"/>
  <c r="O65" i="3"/>
  <c r="E37" i="3"/>
  <c r="O84" i="3"/>
  <c r="AX27" i="4"/>
  <c r="T4" i="4"/>
  <c r="S66" i="4"/>
  <c r="BA39" i="4"/>
  <c r="AN39" i="4"/>
  <c r="BJ39" i="4"/>
  <c r="AZ39" i="4"/>
  <c r="AU39" i="4"/>
  <c r="H52" i="4"/>
  <c r="H63" i="4" s="1"/>
  <c r="AL39" i="4"/>
  <c r="AK39" i="4"/>
  <c r="AJ39" i="4"/>
  <c r="AO39" i="4"/>
  <c r="BD39" i="4"/>
  <c r="AY39" i="4"/>
  <c r="AY33" i="4"/>
  <c r="AI33" i="4"/>
  <c r="AX33" i="4"/>
  <c r="AZ33" i="4"/>
  <c r="AM33" i="4"/>
  <c r="BB33" i="4"/>
  <c r="BH33" i="4"/>
  <c r="AO33" i="4"/>
  <c r="BD33" i="4"/>
  <c r="BF33" i="4"/>
  <c r="AN33" i="4"/>
  <c r="AQ33" i="4"/>
  <c r="AT33" i="4"/>
  <c r="AK33" i="4"/>
  <c r="BE30" i="4"/>
  <c r="P75" i="3" s="1"/>
  <c r="BH27" i="4"/>
  <c r="AL27" i="4"/>
  <c r="AR27" i="4"/>
  <c r="BI27" i="4"/>
  <c r="AT27" i="4"/>
  <c r="AN27" i="4"/>
  <c r="AZ27" i="4"/>
  <c r="AK27" i="4"/>
  <c r="BD27" i="4"/>
  <c r="Q27" i="4"/>
  <c r="AF27" i="4" s="1"/>
  <c r="BE28" i="4"/>
  <c r="P73" i="3" s="1"/>
  <c r="BA27" i="4"/>
  <c r="BG27" i="4"/>
  <c r="BF27" i="4"/>
  <c r="AQ27" i="4"/>
  <c r="AM27" i="4"/>
  <c r="M53" i="4"/>
  <c r="M64" i="4" s="1"/>
  <c r="X23" i="4"/>
  <c r="I52" i="4"/>
  <c r="I63" i="4" s="1"/>
  <c r="BB21" i="4"/>
  <c r="G21" i="4"/>
  <c r="G72" i="4" s="1"/>
  <c r="G53" i="4"/>
  <c r="G64" i="4" s="1"/>
  <c r="AJ21" i="4"/>
  <c r="AY21" i="4"/>
  <c r="AN15" i="4"/>
  <c r="BA15" i="4"/>
  <c r="BH15" i="4"/>
  <c r="AU15" i="4"/>
  <c r="BJ15" i="4"/>
  <c r="AQ15" i="4"/>
  <c r="BD15" i="4"/>
  <c r="AM15" i="4"/>
  <c r="AK15" i="4"/>
  <c r="AA12" i="4"/>
  <c r="BA9" i="4"/>
  <c r="AJ9" i="4"/>
  <c r="H9" i="4"/>
  <c r="H70" i="4" s="1"/>
  <c r="BD9" i="4"/>
  <c r="AO9" i="4"/>
  <c r="AT9" i="4"/>
  <c r="BJ9" i="4"/>
  <c r="AM9" i="4"/>
  <c r="AL9" i="4"/>
  <c r="F43" i="3"/>
  <c r="AY9" i="4"/>
  <c r="AA11" i="4"/>
  <c r="BE11" i="4"/>
  <c r="P62" i="3" s="1"/>
  <c r="AP11" i="4"/>
  <c r="O62" i="3" s="1"/>
  <c r="BI9" i="4"/>
  <c r="BF9" i="4"/>
  <c r="AN9" i="4"/>
  <c r="BB9" i="4"/>
  <c r="AK9" i="4"/>
  <c r="AZ9" i="4"/>
  <c r="BC3" i="4"/>
  <c r="BD3" i="4"/>
  <c r="AU3" i="4"/>
  <c r="BJ3" i="4"/>
  <c r="BB3" i="4"/>
  <c r="AX3" i="4"/>
  <c r="AI3" i="4"/>
  <c r="BH3" i="4"/>
  <c r="AL3" i="4"/>
  <c r="BA3" i="4"/>
  <c r="BF3" i="4"/>
  <c r="AM3" i="4"/>
  <c r="O57" i="3"/>
  <c r="P57" i="3"/>
  <c r="AO3" i="4"/>
  <c r="AK3" i="4"/>
  <c r="AZ3" i="4"/>
  <c r="U42" i="4"/>
  <c r="F39" i="4"/>
  <c r="E39" i="4"/>
  <c r="T40" i="4"/>
  <c r="K75" i="4"/>
  <c r="K52" i="4"/>
  <c r="K63" i="4" s="1"/>
  <c r="P39" i="4"/>
  <c r="M39" i="4"/>
  <c r="Q39" i="4"/>
  <c r="AC41" i="4"/>
  <c r="P55" i="4"/>
  <c r="G39" i="4"/>
  <c r="P53" i="4"/>
  <c r="P64" i="4" s="1"/>
  <c r="O39" i="4"/>
  <c r="Q33" i="4"/>
  <c r="AF34" i="4"/>
  <c r="T35" i="4"/>
  <c r="E33" i="4"/>
  <c r="AG34" i="4"/>
  <c r="R33" i="4"/>
  <c r="AG33" i="4" s="1"/>
  <c r="L33" i="4"/>
  <c r="AA37" i="4"/>
  <c r="U34" i="4"/>
  <c r="F33" i="4"/>
  <c r="O33" i="4"/>
  <c r="M33" i="4"/>
  <c r="O78" i="3"/>
  <c r="BI33" i="4"/>
  <c r="E34" i="3"/>
  <c r="H54" i="4"/>
  <c r="H65" i="4" s="1"/>
  <c r="H33" i="4"/>
  <c r="AD36" i="4"/>
  <c r="BE37" i="4"/>
  <c r="P80" i="3" s="1"/>
  <c r="H55" i="4"/>
  <c r="AE49" i="4"/>
  <c r="P33" i="4"/>
  <c r="E27" i="4"/>
  <c r="O27" i="4"/>
  <c r="AP31" i="4"/>
  <c r="AP27" i="4" s="1"/>
  <c r="E32" i="3"/>
  <c r="X31" i="4"/>
  <c r="V31" i="4"/>
  <c r="AC30" i="4"/>
  <c r="M27" i="4"/>
  <c r="AG28" i="4"/>
  <c r="O73" i="3"/>
  <c r="N27" i="4"/>
  <c r="E21" i="4"/>
  <c r="T22" i="4"/>
  <c r="AB25" i="4"/>
  <c r="M54" i="4"/>
  <c r="M65" i="4" s="1"/>
  <c r="X26" i="4"/>
  <c r="Q21" i="4"/>
  <c r="AF22" i="4"/>
  <c r="O52" i="4"/>
  <c r="O63" i="4" s="1"/>
  <c r="AD23" i="4"/>
  <c r="K21" i="4"/>
  <c r="Z22" i="4"/>
  <c r="Z49" i="4" s="1"/>
  <c r="AD25" i="4"/>
  <c r="O54" i="4"/>
  <c r="O65" i="4" s="1"/>
  <c r="M21" i="4"/>
  <c r="AB22" i="4"/>
  <c r="M55" i="4"/>
  <c r="AB26" i="4"/>
  <c r="I21" i="4"/>
  <c r="X22" i="4"/>
  <c r="AD22" i="4"/>
  <c r="O51" i="4"/>
  <c r="O62" i="4" s="1"/>
  <c r="O21" i="4"/>
  <c r="K53" i="4"/>
  <c r="K64" i="4" s="1"/>
  <c r="R21" i="4"/>
  <c r="AG21" i="4" s="1"/>
  <c r="AT21" i="4"/>
  <c r="G55" i="4"/>
  <c r="T16" i="4"/>
  <c r="E51" i="4"/>
  <c r="E62" i="4" s="1"/>
  <c r="E15" i="4"/>
  <c r="F15" i="4"/>
  <c r="U16" i="4"/>
  <c r="AG16" i="4"/>
  <c r="R15" i="4"/>
  <c r="AG15" i="4" s="1"/>
  <c r="AP15" i="4"/>
  <c r="R52" i="4"/>
  <c r="AG17" i="4"/>
  <c r="R53" i="4"/>
  <c r="AG18" i="4"/>
  <c r="J52" i="4"/>
  <c r="J63" i="4" s="1"/>
  <c r="Y49" i="4"/>
  <c r="K51" i="4"/>
  <c r="K62" i="4" s="1"/>
  <c r="I15" i="4"/>
  <c r="H15" i="4"/>
  <c r="AC16" i="4"/>
  <c r="Q15" i="4"/>
  <c r="M52" i="4"/>
  <c r="M63" i="4" s="1"/>
  <c r="P15" i="4"/>
  <c r="J15" i="4"/>
  <c r="F53" i="4"/>
  <c r="F64" i="4" s="1"/>
  <c r="N51" i="4"/>
  <c r="N62" i="4" s="1"/>
  <c r="P51" i="4"/>
  <c r="P62" i="4" s="1"/>
  <c r="G15" i="4"/>
  <c r="L19" i="4"/>
  <c r="E22" i="3" s="1"/>
  <c r="U10" i="4"/>
  <c r="F9" i="4"/>
  <c r="U13" i="4"/>
  <c r="F54" i="4"/>
  <c r="F65" i="4" s="1"/>
  <c r="AF11" i="4"/>
  <c r="Q9" i="4"/>
  <c r="Q52" i="4"/>
  <c r="Q63" i="4" s="1"/>
  <c r="AG13" i="4"/>
  <c r="R9" i="4"/>
  <c r="AG9" i="4" s="1"/>
  <c r="T14" i="4"/>
  <c r="E55" i="4"/>
  <c r="E9" i="4"/>
  <c r="T11" i="4"/>
  <c r="K54" i="4"/>
  <c r="K65" i="4" s="1"/>
  <c r="H53" i="4"/>
  <c r="H64" i="4" s="1"/>
  <c r="P9" i="4"/>
  <c r="M9" i="4"/>
  <c r="V49" i="4"/>
  <c r="V12" i="4"/>
  <c r="K55" i="4"/>
  <c r="P54" i="4"/>
  <c r="W49" i="4"/>
  <c r="AF6" i="4"/>
  <c r="Q53" i="4"/>
  <c r="F3" i="4"/>
  <c r="F51" i="4"/>
  <c r="U4" i="4"/>
  <c r="F52" i="4"/>
  <c r="U5" i="4"/>
  <c r="R55" i="4"/>
  <c r="AG8" i="4"/>
  <c r="Q3" i="4"/>
  <c r="AF4" i="4"/>
  <c r="Q51" i="4"/>
  <c r="F55" i="4"/>
  <c r="U8" i="4"/>
  <c r="E3" i="4"/>
  <c r="T5" i="4"/>
  <c r="E52" i="4"/>
  <c r="T6" i="4"/>
  <c r="E53" i="4"/>
  <c r="Q54" i="4"/>
  <c r="AF7" i="4"/>
  <c r="AG7" i="4"/>
  <c r="R54" i="4"/>
  <c r="Q55" i="4"/>
  <c r="AF8" i="4"/>
  <c r="T7" i="4"/>
  <c r="E54" i="4"/>
  <c r="G51" i="4"/>
  <c r="X5" i="4"/>
  <c r="H3" i="4"/>
  <c r="H51" i="4"/>
  <c r="O55" i="4"/>
  <c r="J55" i="4"/>
  <c r="U6" i="4"/>
  <c r="G3" i="4"/>
  <c r="R3" i="4"/>
  <c r="BI3" i="4"/>
  <c r="G54" i="4"/>
  <c r="R51" i="4"/>
  <c r="L53" i="4" l="1"/>
  <c r="L64" i="4" s="1"/>
  <c r="E41" i="3"/>
  <c r="G74" i="4"/>
  <c r="Z27" i="4"/>
  <c r="L55" i="4"/>
  <c r="Y3" i="4"/>
  <c r="L52" i="4"/>
  <c r="L63" i="4" s="1"/>
  <c r="L3" i="4"/>
  <c r="L69" i="4" s="1"/>
  <c r="E42" i="3"/>
  <c r="M82" i="3"/>
  <c r="L39" i="4"/>
  <c r="AA39" i="4" s="1"/>
  <c r="E39" i="3"/>
  <c r="BE39" i="4"/>
  <c r="P84" i="3"/>
  <c r="D64" i="3" s="1"/>
  <c r="E19" i="3"/>
  <c r="E18" i="3" s="1"/>
  <c r="B60" i="3" s="1"/>
  <c r="N71" i="4"/>
  <c r="O71" i="4"/>
  <c r="M77" i="3"/>
  <c r="I74" i="4"/>
  <c r="M60" i="3"/>
  <c r="AC49" i="4"/>
  <c r="O76" i="3"/>
  <c r="M76" i="3" s="1"/>
  <c r="D58" i="3"/>
  <c r="M69" i="3"/>
  <c r="M67" i="3"/>
  <c r="M58" i="3"/>
  <c r="M70" i="3"/>
  <c r="M78" i="3"/>
  <c r="M72" i="3"/>
  <c r="M79" i="3"/>
  <c r="AP33" i="4"/>
  <c r="BE33" i="4"/>
  <c r="N74" i="4"/>
  <c r="V21" i="4"/>
  <c r="D60" i="3"/>
  <c r="M66" i="3"/>
  <c r="AD3" i="4"/>
  <c r="M73" i="3"/>
  <c r="K48" i="4"/>
  <c r="K67" i="4" s="1"/>
  <c r="C60" i="3"/>
  <c r="M64" i="3"/>
  <c r="O70" i="4"/>
  <c r="G70" i="4"/>
  <c r="M62" i="3"/>
  <c r="M63" i="3"/>
  <c r="D61" i="3"/>
  <c r="M74" i="3"/>
  <c r="M75" i="3"/>
  <c r="M83" i="3"/>
  <c r="G73" i="4"/>
  <c r="Y33" i="4"/>
  <c r="D63" i="3"/>
  <c r="M80" i="3"/>
  <c r="AC39" i="4"/>
  <c r="J48" i="4"/>
  <c r="J67" i="4" s="1"/>
  <c r="K74" i="4"/>
  <c r="AG49" i="4"/>
  <c r="AD49" i="4"/>
  <c r="K71" i="4"/>
  <c r="K70" i="4"/>
  <c r="J70" i="4"/>
  <c r="N70" i="4"/>
  <c r="Z3" i="4"/>
  <c r="AE3" i="4"/>
  <c r="I75" i="4"/>
  <c r="N48" i="4"/>
  <c r="N67" i="4" s="1"/>
  <c r="Y39" i="4"/>
  <c r="J75" i="4"/>
  <c r="E23" i="3"/>
  <c r="F23" i="3" s="1"/>
  <c r="U49" i="4"/>
  <c r="AB15" i="4"/>
  <c r="N69" i="4"/>
  <c r="AC3" i="4"/>
  <c r="M65" i="3"/>
  <c r="C61" i="3"/>
  <c r="C64" i="3"/>
  <c r="M81" i="3"/>
  <c r="W39" i="4"/>
  <c r="W9" i="4"/>
  <c r="E33" i="3"/>
  <c r="F33" i="3" s="1"/>
  <c r="T49" i="4"/>
  <c r="BE27" i="4"/>
  <c r="Q73" i="4"/>
  <c r="M57" i="3"/>
  <c r="C58" i="3"/>
  <c r="C63" i="3"/>
  <c r="O75" i="4"/>
  <c r="AD39" i="4"/>
  <c r="D62" i="3"/>
  <c r="AF39" i="4"/>
  <c r="Q75" i="4"/>
  <c r="E75" i="4"/>
  <c r="T39" i="4"/>
  <c r="AB39" i="4"/>
  <c r="M75" i="4"/>
  <c r="AE39" i="4"/>
  <c r="P75" i="4"/>
  <c r="G75" i="4"/>
  <c r="V39" i="4"/>
  <c r="U39" i="4"/>
  <c r="F75" i="4"/>
  <c r="L74" i="4"/>
  <c r="AA33" i="4"/>
  <c r="AB33" i="4"/>
  <c r="M74" i="4"/>
  <c r="T33" i="4"/>
  <c r="E74" i="4"/>
  <c r="AE33" i="4"/>
  <c r="P74" i="4"/>
  <c r="H74" i="4"/>
  <c r="W33" i="4"/>
  <c r="O74" i="4"/>
  <c r="AD33" i="4"/>
  <c r="F74" i="4"/>
  <c r="U33" i="4"/>
  <c r="AF33" i="4"/>
  <c r="Q74" i="4"/>
  <c r="E73" i="4"/>
  <c r="T27" i="4"/>
  <c r="N73" i="4"/>
  <c r="AC27" i="4"/>
  <c r="AB27" i="4"/>
  <c r="M73" i="4"/>
  <c r="AD27" i="4"/>
  <c r="O73" i="4"/>
  <c r="O72" i="4"/>
  <c r="O48" i="4"/>
  <c r="O67" i="4" s="1"/>
  <c r="AD21" i="4"/>
  <c r="AB21" i="4"/>
  <c r="M72" i="4"/>
  <c r="Q72" i="4"/>
  <c r="AF21" i="4"/>
  <c r="AF49" i="4"/>
  <c r="X21" i="4"/>
  <c r="I72" i="4"/>
  <c r="K72" i="4"/>
  <c r="Z21" i="4"/>
  <c r="E72" i="4"/>
  <c r="T21" i="4"/>
  <c r="F71" i="4"/>
  <c r="U15" i="4"/>
  <c r="E71" i="4"/>
  <c r="T15" i="4"/>
  <c r="AA19" i="4"/>
  <c r="L54" i="4"/>
  <c r="L65" i="4" s="1"/>
  <c r="L15" i="4"/>
  <c r="H71" i="4"/>
  <c r="W15" i="4"/>
  <c r="V15" i="4"/>
  <c r="G71" i="4"/>
  <c r="Y15" i="4"/>
  <c r="J71" i="4"/>
  <c r="X15" i="4"/>
  <c r="I71" i="4"/>
  <c r="AE15" i="4"/>
  <c r="P71" i="4"/>
  <c r="Q71" i="4"/>
  <c r="AF15" i="4"/>
  <c r="P65" i="4"/>
  <c r="P48" i="4"/>
  <c r="P67" i="4" s="1"/>
  <c r="P70" i="4"/>
  <c r="AE9" i="4"/>
  <c r="E70" i="4"/>
  <c r="T9" i="4"/>
  <c r="AF9" i="4"/>
  <c r="Q70" i="4"/>
  <c r="AB9" i="4"/>
  <c r="M70" i="4"/>
  <c r="F70" i="4"/>
  <c r="U9" i="4"/>
  <c r="W3" i="4"/>
  <c r="H69" i="4"/>
  <c r="H48" i="4"/>
  <c r="H67" i="4" s="1"/>
  <c r="F62" i="4"/>
  <c r="AG3" i="4"/>
  <c r="AG48" i="4" s="1"/>
  <c r="R48" i="4"/>
  <c r="F63" i="4"/>
  <c r="Q62" i="4"/>
  <c r="V3" i="4"/>
  <c r="G69" i="4"/>
  <c r="G48" i="4"/>
  <c r="G67" i="4" s="1"/>
  <c r="Q48" i="4"/>
  <c r="Q67" i="4" s="1"/>
  <c r="Q69" i="4"/>
  <c r="AF3" i="4"/>
  <c r="E65" i="4"/>
  <c r="F48" i="4"/>
  <c r="F67" i="4" s="1"/>
  <c r="F69" i="4"/>
  <c r="U3" i="4"/>
  <c r="T3" i="4"/>
  <c r="E48" i="4"/>
  <c r="E67" i="4" s="1"/>
  <c r="E69" i="4"/>
  <c r="H62" i="4"/>
  <c r="Q65" i="4"/>
  <c r="G65" i="4"/>
  <c r="G62" i="4"/>
  <c r="E64" i="4"/>
  <c r="Q64" i="4"/>
  <c r="AA3" i="4"/>
  <c r="E63" i="4"/>
  <c r="K11" i="3" l="1"/>
  <c r="E38" i="3"/>
  <c r="F38" i="3" s="1"/>
  <c r="L75" i="4"/>
  <c r="M84" i="3"/>
  <c r="H61" i="3" s="1"/>
  <c r="E70" i="3" s="1"/>
  <c r="C62" i="3"/>
  <c r="Z48" i="4"/>
  <c r="H59" i="3"/>
  <c r="E68" i="3" s="1"/>
  <c r="H60" i="3"/>
  <c r="E69" i="3" s="1"/>
  <c r="L11" i="3"/>
  <c r="AC48" i="4"/>
  <c r="Y48" i="4"/>
  <c r="K76" i="4"/>
  <c r="J76" i="4"/>
  <c r="P76" i="4"/>
  <c r="AE48" i="4"/>
  <c r="B61" i="3"/>
  <c r="N76" i="4"/>
  <c r="B63" i="3"/>
  <c r="F18" i="3"/>
  <c r="W48" i="4"/>
  <c r="S75" i="4"/>
  <c r="G76" i="4"/>
  <c r="F76" i="4"/>
  <c r="V48" i="4"/>
  <c r="AD48" i="4"/>
  <c r="S63" i="4"/>
  <c r="H76" i="4"/>
  <c r="S74" i="4"/>
  <c r="AF48" i="4"/>
  <c r="S72" i="4"/>
  <c r="O76" i="4"/>
  <c r="T48" i="4"/>
  <c r="S71" i="4"/>
  <c r="U48" i="4"/>
  <c r="AA15" i="4"/>
  <c r="L71" i="4"/>
  <c r="Q76" i="4"/>
  <c r="E76" i="4"/>
  <c r="B64" i="3" l="1"/>
  <c r="I8" i="4"/>
  <c r="X8" i="4" s="1"/>
  <c r="I6" i="4"/>
  <c r="E11" i="3" s="1"/>
  <c r="I3" i="4"/>
  <c r="X3" i="4" l="1"/>
  <c r="I69" i="4"/>
  <c r="X6" i="4"/>
  <c r="I13" i="4" l="1"/>
  <c r="X13" i="4"/>
  <c r="I54" i="4" l="1"/>
  <c r="K15" i="3" s="1"/>
  <c r="E17" i="3"/>
  <c r="I14" i="4"/>
  <c r="I55" i="4" s="1"/>
  <c r="X14" i="4" l="1"/>
  <c r="I65" i="4"/>
  <c r="S65" i="4" s="1"/>
  <c r="L15" i="3"/>
  <c r="L13" i="3"/>
  <c r="K13" i="3"/>
  <c r="E16" i="3"/>
  <c r="BE10" i="4"/>
  <c r="BE9" i="4" s="1"/>
  <c r="AP10" i="4"/>
  <c r="AP9" i="4" s="1"/>
  <c r="L10" i="4"/>
  <c r="L51" i="4" l="1"/>
  <c r="L62" i="4" s="1"/>
  <c r="AA10" i="4"/>
  <c r="AA49" i="4" s="1"/>
  <c r="O61" i="3"/>
  <c r="C59" i="3" s="1"/>
  <c r="P61" i="3"/>
  <c r="E14" i="3"/>
  <c r="E13" i="3" s="1"/>
  <c r="L9" i="4"/>
  <c r="O85" i="3" l="1"/>
  <c r="L48" i="4"/>
  <c r="L67" i="4" s="1"/>
  <c r="AA9" i="4"/>
  <c r="AA48" i="4" s="1"/>
  <c r="L70" i="4"/>
  <c r="L76" i="4" s="1"/>
  <c r="B59" i="3"/>
  <c r="F13" i="3"/>
  <c r="D59" i="3"/>
  <c r="M61" i="3"/>
  <c r="H58" i="3" s="1"/>
  <c r="E67" i="3" s="1"/>
  <c r="P85" i="3"/>
  <c r="E71" i="3" l="1"/>
  <c r="G68" i="3"/>
  <c r="G69" i="3"/>
  <c r="G70" i="3"/>
  <c r="F67" i="3"/>
  <c r="F68" i="3" s="1"/>
  <c r="F69" i="3" s="1"/>
  <c r="F70" i="3" s="1"/>
  <c r="G67" i="3"/>
  <c r="H67" i="3" s="1"/>
  <c r="H68" i="3" l="1"/>
  <c r="H69" i="3" s="1"/>
  <c r="H70" i="3" s="1"/>
  <c r="M4" i="4"/>
  <c r="E9" i="3" s="1"/>
  <c r="E8" i="3" s="1"/>
  <c r="AB4" i="4"/>
  <c r="AB49" i="4" s="1"/>
  <c r="B58" i="3" l="1"/>
  <c r="F8" i="3"/>
  <c r="M51" i="4"/>
  <c r="K9" i="3" s="1"/>
  <c r="M3" i="4"/>
  <c r="M69" i="4" l="1"/>
  <c r="AB3" i="4"/>
  <c r="AB48" i="4" s="1"/>
  <c r="M48" i="4"/>
  <c r="M67" i="4" s="1"/>
  <c r="M62" i="4"/>
  <c r="L9" i="3" s="1"/>
  <c r="S69" i="4" l="1"/>
  <c r="M76" i="4"/>
  <c r="AF55" i="1" l="1"/>
  <c r="AF118" i="1"/>
  <c r="I28" i="4"/>
  <c r="E29" i="3"/>
  <c r="E28" i="3"/>
  <c r="E45" i="3"/>
  <c r="G57" i="4"/>
  <c r="O58" i="4"/>
  <c r="J60" i="4"/>
  <c r="O59" i="4"/>
  <c r="P60" i="4"/>
  <c r="N58" i="4"/>
  <c r="K60" i="4"/>
  <c r="X28" i="4"/>
  <c r="F45" i="3"/>
  <c r="G58" i="4"/>
  <c r="K59" i="4"/>
  <c r="E47" i="3"/>
  <c r="R59" i="4"/>
  <c r="M59" i="4"/>
  <c r="I58" i="4"/>
  <c r="O60" i="4"/>
  <c r="H59" i="4"/>
  <c r="N60" i="4"/>
  <c r="I51" i="4"/>
  <c r="I27" i="4"/>
  <c r="I48" i="4"/>
  <c r="G59" i="4"/>
  <c r="J59" i="4"/>
  <c r="L19" i="3"/>
  <c r="I73" i="4"/>
  <c r="Q58" i="4"/>
  <c r="L59" i="4"/>
  <c r="I60" i="4"/>
  <c r="H58" i="4"/>
  <c r="E59" i="4"/>
  <c r="P58" i="4"/>
  <c r="E58" i="4"/>
  <c r="M58" i="4"/>
  <c r="P59" i="4"/>
  <c r="F60" i="4"/>
  <c r="K57" i="4"/>
  <c r="K19" i="3"/>
  <c r="N57" i="4"/>
  <c r="I12" i="4"/>
  <c r="I9" i="4"/>
  <c r="I70" i="4"/>
  <c r="I76" i="4"/>
  <c r="S73" i="4"/>
  <c r="B62" i="3"/>
  <c r="S70" i="4"/>
  <c r="S76" i="4"/>
  <c r="X9" i="4"/>
  <c r="X48" i="4"/>
  <c r="I62" i="4"/>
  <c r="X49" i="4"/>
  <c r="O57" i="4"/>
  <c r="F28" i="3"/>
  <c r="L58" i="4"/>
  <c r="M57" i="4"/>
  <c r="F59" i="4"/>
  <c r="N59" i="4"/>
  <c r="L57" i="4"/>
  <c r="H60" i="4"/>
  <c r="R58" i="4"/>
  <c r="F58" i="4"/>
  <c r="R57" i="4"/>
  <c r="S62" i="4"/>
  <c r="I67" i="4"/>
  <c r="I53" i="4"/>
  <c r="I59" i="4"/>
  <c r="I57" i="4"/>
  <c r="X27" i="4"/>
  <c r="S67" i="4"/>
  <c r="H57" i="4"/>
  <c r="F57" i="4"/>
  <c r="K58" i="4"/>
  <c r="Q57" i="4"/>
  <c r="I64" i="4"/>
  <c r="S64" i="4"/>
  <c r="G60" i="4"/>
  <c r="Q59" i="4"/>
  <c r="R60" i="4"/>
  <c r="M60" i="4"/>
  <c r="E60" i="4"/>
  <c r="J57" i="4"/>
  <c r="P57" i="4"/>
  <c r="L60" i="4"/>
  <c r="Q60" i="4"/>
  <c r="J58" i="4"/>
  <c r="E57" i="4"/>
  <c r="X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Alberto Antolin Eleuterio</author>
  </authors>
  <commentList>
    <comment ref="E8" authorId="0" shapeId="0" xr:uid="{8A62E625-DC69-411F-96AB-2B2563ED2BC0}">
      <text>
        <r>
          <rPr>
            <b/>
            <sz val="9"/>
            <color indexed="81"/>
            <rFont val="Tahoma"/>
            <family val="2"/>
          </rPr>
          <t>Alberto Antolin Eleuterio:</t>
        </r>
        <r>
          <rPr>
            <sz val="9"/>
            <color indexed="81"/>
            <rFont val="Tahoma"/>
            <family val="2"/>
          </rPr>
          <t xml:space="preserve">
La calibración se compara con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<sst xmlns="http://schemas.openxmlformats.org/spreadsheetml/2006/main" count="3662" uniqueCount="1203">
  <si>
    <t xml:space="preserve"> INFORME AUDITORÍA INTERNA MENSUAL</t>
  </si>
  <si>
    <t xml:space="preserve">  PG 369.02 HOUSE KEEPING</t>
  </si>
  <si>
    <t>Informe Housekeeping</t>
  </si>
  <si>
    <t xml:space="preserve"> </t>
  </si>
  <si>
    <t xml:space="preserve">  Ed.5</t>
  </si>
  <si>
    <t xml:space="preserve">PLANTA: </t>
  </si>
  <si>
    <t>MARCILLA</t>
  </si>
  <si>
    <t>AÑO:</t>
  </si>
  <si>
    <t>MES:</t>
  </si>
  <si>
    <t>septiembre</t>
  </si>
  <si>
    <t>Realizada por:</t>
  </si>
  <si>
    <t xml:space="preserve">  Pág. 1 de 6</t>
  </si>
  <si>
    <t>Áreas</t>
  </si>
  <si>
    <t>Puntuación</t>
  </si>
  <si>
    <t>Total Secciones</t>
  </si>
  <si>
    <t>%</t>
  </si>
  <si>
    <t>Infraestructuras</t>
  </si>
  <si>
    <t>Infraestructura</t>
  </si>
  <si>
    <t>Orden</t>
  </si>
  <si>
    <t>Limpieza</t>
  </si>
  <si>
    <t>BP Manipulación</t>
  </si>
  <si>
    <t>Buenas Prácticas</t>
  </si>
  <si>
    <t>Sistemas y Procesos</t>
  </si>
  <si>
    <t>PROMEDIO MES</t>
  </si>
  <si>
    <t xml:space="preserve">TOTAL     </t>
  </si>
  <si>
    <t xml:space="preserve">Total Puntos Posibles     </t>
  </si>
  <si>
    <t xml:space="preserve"> % Puntos  Obtenidos     </t>
  </si>
  <si>
    <t xml:space="preserve">  Pág. 2 de 6</t>
  </si>
  <si>
    <t>NC TOTALES:</t>
  </si>
  <si>
    <t>CIERRE AACC AUDIT "ON TIME":</t>
  </si>
  <si>
    <t>AACC CERRADAS:</t>
  </si>
  <si>
    <t>AACC PENDIENTES D CIERRE:</t>
  </si>
  <si>
    <t>Area Auditada</t>
  </si>
  <si>
    <t xml:space="preserve">Puntuación </t>
  </si>
  <si>
    <t xml:space="preserve">NC Menores    </t>
  </si>
  <si>
    <t>NC 
Mayores</t>
  </si>
  <si>
    <t>NC Totales</t>
  </si>
  <si>
    <t>Global</t>
  </si>
  <si>
    <t>NC Total</t>
  </si>
  <si>
    <t>A</t>
  </si>
  <si>
    <t>B</t>
  </si>
  <si>
    <t>C</t>
  </si>
  <si>
    <t>GENERAL</t>
  </si>
  <si>
    <t>NC</t>
  </si>
  <si>
    <t>NC. Acum.</t>
  </si>
  <si>
    <t>% Total</t>
  </si>
  <si>
    <t>% Acumulado</t>
  </si>
  <si>
    <t>D</t>
  </si>
  <si>
    <t>E</t>
  </si>
  <si>
    <t>F</t>
  </si>
  <si>
    <t>G</t>
  </si>
  <si>
    <t>AÑO</t>
  </si>
  <si>
    <t>PLANTA</t>
  </si>
  <si>
    <t>FECHA</t>
  </si>
  <si>
    <t>Correcto</t>
  </si>
  <si>
    <t>AUDITORÍA DE SISTEMAS Y PROCESOS</t>
  </si>
  <si>
    <t>Defecto Funcional (NC m)</t>
  </si>
  <si>
    <t>Defecto Crítico (NC M)</t>
  </si>
  <si>
    <t>Prevista</t>
  </si>
  <si>
    <t>Real</t>
  </si>
  <si>
    <t>Dif</t>
  </si>
  <si>
    <t>Sección</t>
  </si>
  <si>
    <t>Cuestiones</t>
  </si>
  <si>
    <t>Qué revisar?</t>
  </si>
  <si>
    <t>Puntos</t>
  </si>
  <si>
    <t>Comentarios                                                                                       
(Incluir las evidencias revisadas así como las No Conformidades detectadas)</t>
  </si>
  <si>
    <t>EVIDENCIAS DETECTADAS</t>
  </si>
  <si>
    <t>OBSERVACIONES</t>
  </si>
  <si>
    <t>Normas relativas al establecimiento</t>
  </si>
  <si>
    <t>4.2.3</t>
  </si>
  <si>
    <r>
      <t xml:space="preserve">Protección del establecimiento y defensa alimentaria
</t>
    </r>
    <r>
      <rPr>
        <sz val="11"/>
        <rFont val="Arial"/>
        <family val="2"/>
      </rPr>
      <t>Deberá haber sistemas de protección de productos, instalaciones y marcas contra acciones malintencionadas mientras estén bajo el control del establecimiento.</t>
    </r>
  </si>
  <si>
    <t>Se debe garantizar que el acceso a las zonas de producción y almacenamiento esté reservado exclusivamente al personal autorizado.</t>
  </si>
  <si>
    <t>Se debe revisar el registro de identificación de visitas.</t>
  </si>
  <si>
    <t xml:space="preserve">Se debe comprobar el correcto funcionamiento del sistema de control de acceso de los empleados, contratistas y visitantes del establecimiento. </t>
  </si>
  <si>
    <t>En la revisión se incluirán los puntos de almacenamiento externo y entrada de productos y materias primas (incluidos los envases).</t>
  </si>
  <si>
    <t>4.7.3</t>
  </si>
  <si>
    <r>
      <t xml:space="preserve">Mantenimiento
</t>
    </r>
    <r>
      <rPr>
        <sz val="11"/>
        <rFont val="Arial"/>
        <family val="2"/>
      </rPr>
      <t>Deberá ponerse en práctica un programa de mantenimiento efectivo de las instalaciones y los equipos con el fin de evitar la contaminación y reducir la posibilidad de averías.</t>
    </r>
  </si>
  <si>
    <t xml:space="preserve">Cuando se efectúen reparaciones provisionales, estas deberán documentarse y controlarse para evitar que pueda ponerse en peligro la seguridad o la legalidad de los productos. </t>
  </si>
  <si>
    <t>Estas reparaciones provisionales deberán convertirse en permanentes tan pronto como sea posible y dentro de un plazo definido.</t>
  </si>
  <si>
    <t>El plan de seguridad alimentaria: APPCC</t>
  </si>
  <si>
    <t>2.10</t>
  </si>
  <si>
    <r>
      <t xml:space="preserve">Establecimiento de un sistema de vigilancia de cada PCC (equivalente al Paso 9 y Principio 4 del Codex Alimentarius)
</t>
    </r>
    <r>
      <rPr>
        <sz val="11"/>
        <rFont val="Arial"/>
        <family val="2"/>
      </rPr>
      <t>Comprobar el correcto registro de los PCC por los operarios de planta; estado de identificación de los equipos de control de los PCC; formación del operario en el PCC</t>
    </r>
  </si>
  <si>
    <t>Comprobar que el sistema de vigilancia es capaz de detectar cuándo un PCC deja de estar bajo control y, siempre que sea posible, proporcionar información puntual para que se puedan adoptar las medidas correctivas por el personal designado.</t>
  </si>
  <si>
    <t>En los casos en que se emplee una medición discontinua, el sistema deberá garantizar que la muestra tomada sea representativa del lote del producto.</t>
  </si>
  <si>
    <t>Los registros relacionados con la vigilancia de cada PCC deberán incluir la fecha, la hora y el resultado de la medición y deberán estar firmados por la persona responsable de la vigilancia y verificados, en su caso, por una persona autorizada.</t>
  </si>
  <si>
    <t>4.7.4</t>
  </si>
  <si>
    <t>Se debe garantizar que no se ponga en peligro ni la seguridad ni la legalidad del producto durante el mantenimiento y las operaciones de limpieza. Los trabajos de mantenimiento irán seguidos de un proceso de higienización el cual debe estar registrado.</t>
  </si>
  <si>
    <t>Antes de reiniciar las operaciones, los equipos y máquinas deben ser inspeccionados por un miembro autorizado del personal para confirmar que se han eliminado los peligros de contaminación, dejando registro de la inspección.</t>
  </si>
  <si>
    <t>4.7.5</t>
  </si>
  <si>
    <t xml:space="preserve">Los materiales y piezas utilizados para el mantenimiento de los equipos e instalaciones serán de calidad adecuada.
</t>
  </si>
  <si>
    <r>
      <t xml:space="preserve">Los materiales (como el aceite lubricante) que entrañen riesgos por contacto directo o indirecto con las materias primas (incluidos los envases primarios), los productos intermedios y los productos terminados serán aptos para uso alimentario y su condición alergénica será conocida.
</t>
    </r>
    <r>
      <rPr>
        <sz val="11"/>
        <color theme="1"/>
        <rFont val="Arial"/>
        <family val="2"/>
      </rPr>
      <t>Todo el material utilizado en los trabajos de mantenimiento y reparación será adecuado para el uso previsto y no deberá suponer riesgos de contaminación</t>
    </r>
  </si>
  <si>
    <t>4.9.5</t>
  </si>
  <si>
    <t>Control de la contaminación física y química del producto - Madera</t>
  </si>
  <si>
    <t xml:space="preserve">No se debe utilizar madera en zonas de productos expuestos. 
</t>
  </si>
  <si>
    <t xml:space="preserve">No se debe utilizar madera en herramientas de mantenimiento o producción. 
</t>
  </si>
  <si>
    <t>Cuando no sea posible evitar el uso de madera, deberá ser objeto de seguimiento continuo a fin de garantizar que se encuentra en buen estado y no presenta daños ni astillas que puedan contaminar el producto.</t>
  </si>
  <si>
    <t>4.10.5</t>
  </si>
  <si>
    <t>Equipos de selección óptica</t>
  </si>
  <si>
    <t>Deberá comprobarse cada unidad de acuerdo con las instrucciones o recomendaciones del fabricante.</t>
  </si>
  <si>
    <t xml:space="preserve"> Deberán registrarse estas comprobaciones.</t>
  </si>
  <si>
    <t>4.12</t>
  </si>
  <si>
    <r>
      <t xml:space="preserve">Residuos y eliminación de residuos
</t>
    </r>
    <r>
      <rPr>
        <sz val="11"/>
        <rFont val="Arial"/>
        <family val="2"/>
      </rPr>
      <t>La eliminación de residuos deberá llevarse a cabo con arreglo a la normativa y de manera que se prevenga su acumulación, el riesgo de contaminación y la atracción de plagas.</t>
    </r>
  </si>
  <si>
    <t>En los casos en que la eliminación de residuos clasificados exija legalmente disponer de una licencia, dicha eliminación deberá ser realizada por empresas autorizadas y se llevará un registro que estará disponible en la correspondiente auditoría.</t>
  </si>
  <si>
    <t xml:space="preserve">Los contenedores de residuos deberán estar claramente identificados, disponer de un diseño adecuado, estar en buen estado de mantenimiento, ser fáciles de limpiar y, si es necesario, desinfectados.
</t>
  </si>
  <si>
    <t>Los residuos alimentarios y de cualquier otro tipo se retirarán lo antes posible de las áreas en las que se manipulan alimentos. Se evitará la acumulación de residuos.</t>
  </si>
  <si>
    <t>4.15</t>
  </si>
  <si>
    <r>
      <t xml:space="preserve">Instalaciones de almacenamiento
</t>
    </r>
    <r>
      <rPr>
        <sz val="11"/>
        <rFont val="Arial"/>
        <family val="2"/>
      </rPr>
      <t>Todas las instalaciones destinadas al almacenamiento de materias primas, envases, productos en proceso y productos terminados deberán ser adecuadas para tal fin.</t>
    </r>
  </si>
  <si>
    <t xml:space="preserve">Las condiciones de almacenamiento de las materias primas, productos semi-terminados, productos finales, así como del material de envasado corresponderán con las especificaciones del producto y no tendrán un impacto negativo en otros productos. </t>
  </si>
  <si>
    <t>Se revisará fundamentalmente:
- La separación de productos cuando sea necesario para evitar la contaminación cruzada (física, microbiológica o por alérgenos) o la afección por olores o manchas,
- El almacenamiento de materiales alejados del suelo y de las paredes,
- Losrequisitos específicos de manipulación o apilado para evitar que se produzcan daños en el producto.</t>
  </si>
  <si>
    <t>Se debe facilitar la correcta rotación de materias primas, productos intermedios y productos terminados en almacén y velar por que los materiales se empleen en el orden correcto en relación con su fecha de fabricación y respetando el periodo de conservación establecido.</t>
  </si>
  <si>
    <t>4.16</t>
  </si>
  <si>
    <r>
      <t xml:space="preserve">Expedición y transporte
</t>
    </r>
    <r>
      <rPr>
        <sz val="11"/>
        <rFont val="Arial"/>
        <family val="2"/>
      </rPr>
      <t>Deberán existir procedimientos que garanticen que la gestión de las expediciones y de los vehículos y contenedores utilizados para el transporte de productos desde el establecimiento no presente riesgo alguno para la seguridad física, la inocuidad o la calidad de los productos.</t>
    </r>
  </si>
  <si>
    <t>Se debe mantener la seguridad y la calidad del producto durante las operaciones de carga y transporte. Podrán incluir, según proceda:
- Control de temperatura en las zonas y los vehículos de carga y descarga,
- Uso de zonas cubiertas para los vehículos en carga o descarga,
- Medidas para asegurar la carga en los palés a fin de evitar que se muevan en tránsito,
- Inspección de la carga antes de la expedición.</t>
  </si>
  <si>
    <t>Todos los vehículos o contenedores utilizados para el transporte de materias primas y el envío de productos serán aptos para este fin. Se deberá garantizar que:
· están limpios,
· no desprenden olores fuertes que puedan estropear los productos,
· su estado es apropiado para evitar daños en los productos en tránsito,
· están equipados de manera que se mantenga la temperatura requerida durante el transporte,
deberá llevarse un registro de las inspecciones.</t>
  </si>
  <si>
    <t>Control de procesos</t>
  </si>
  <si>
    <t>6.2</t>
  </si>
  <si>
    <r>
      <t xml:space="preserve">Control del etiquetado y de los envases
</t>
    </r>
    <r>
      <rPr>
        <sz val="11"/>
        <rFont val="Arial"/>
        <family val="2"/>
      </rPr>
      <t>Los controles de gestión de las actividades de etiquetado de los productos deberán garantizar que los productos se etiquetan y codifican correctamente.</t>
    </r>
  </si>
  <si>
    <t>Se debe garantizar que los productos se envasan con el envase correcto y que el etiquetado es el correcto. Dichos procedimientos deberán incluir comprobaciones:
·         al iniciar el envasado,
·         durante el ciclo de envasado,
·         al cambiar de lote de materiales de envasado,
·         al final de cada ciclo de producción.
También deberá verificarse cualquier impresión realizada durante la fase de envasado, incluyendo, según proceda:
·         la codificación de la fecha,
·         la codificación del lote,</t>
  </si>
  <si>
    <t>Deberán realizarse comprobaciones documentadas de la línea de producción antes de iniciar la actividad y siempre que se realicen cambios en el producto. Estas comprobaciones deberán garantizar que las líneas se han vaciado adecuadamente y están listas para la producción. Deberán realizarse comprobaciones documentadas siempre que se apliquen cambios en los productos para garantizar que todos los productos y envases de la producción anterior han sido retirados de la línea antes de pasar a la siguiente producción.</t>
  </si>
  <si>
    <t xml:space="preserve">Se debe realizar una comprobación de los equipos que aseguren que el sistema esté correctamente configurado y sea capaz de emitir una alerta o rechazar el producto cuando la información del envase no se ajuste a las especificaciones.
Como mínimo, los equipos deberán ser verificados:
·         al principio del ciclo de envasado,
·         al final del ciclo de envasado,
·         con la frecuencia que se determine en función de la capacidad del establecimiento para identificar, retener e impedir la distribución de cualquier material afectado en caso de avería del equipo </t>
  </si>
  <si>
    <t>6.3</t>
  </si>
  <si>
    <r>
      <t xml:space="preserve">Cantidad: control de peso, volumen y número de unidades
</t>
    </r>
    <r>
      <rPr>
        <sz val="11"/>
        <rFont val="Arial"/>
        <family val="2"/>
      </rPr>
      <t>El establecimiento deberá disponer de un sistema de control de cantidades que cumpla con los requisitos legales del país de venta del producto y cualquier otra norma del sector, así como los requisitos específicos del cliente.</t>
    </r>
  </si>
  <si>
    <t xml:space="preserve">Las comprobaciones deben estar implantadas y registradas, según un plan de muestreo que garantiza una adecuada representación del lote fabricado. </t>
  </si>
  <si>
    <t>Los resultados de estas comprobaciones deben cumplir con los criterios definidos para todos los productos preparados para ser expedidos.</t>
  </si>
  <si>
    <t xml:space="preserve"> INFORME HOUSEKEEPING</t>
  </si>
  <si>
    <t xml:space="preserve">  Pág. 3 de 6</t>
  </si>
  <si>
    <t>AUDITORÍA HOUSEKEEPING</t>
  </si>
  <si>
    <t>ene</t>
  </si>
  <si>
    <t>Fecha:</t>
  </si>
  <si>
    <t>Realizado por:</t>
  </si>
  <si>
    <t>feb</t>
  </si>
  <si>
    <t>13/02/26</t>
  </si>
  <si>
    <t>Haizea</t>
  </si>
  <si>
    <t>mar</t>
  </si>
  <si>
    <t>Maria</t>
  </si>
  <si>
    <t>abr</t>
  </si>
  <si>
    <t>may</t>
  </si>
  <si>
    <t>jun</t>
  </si>
  <si>
    <t>17/06/2026</t>
  </si>
  <si>
    <t>Eneko</t>
  </si>
  <si>
    <t>jul</t>
  </si>
  <si>
    <t>ago</t>
  </si>
  <si>
    <t>sep</t>
  </si>
  <si>
    <t>Miriam</t>
  </si>
  <si>
    <t>oct</t>
  </si>
  <si>
    <t>nov</t>
  </si>
  <si>
    <t>dic</t>
  </si>
  <si>
    <t>CAL1</t>
  </si>
  <si>
    <t>CAL2</t>
  </si>
  <si>
    <t>dd/mm/aaaa</t>
  </si>
  <si>
    <t>Nombre</t>
  </si>
  <si>
    <t>Nota</t>
  </si>
  <si>
    <t>Significado</t>
  </si>
  <si>
    <t>Por implantar/Desviación alta</t>
  </si>
  <si>
    <t>Incluirla en NC Mayor</t>
  </si>
  <si>
    <t>Incumplimiento &gt;1 punto de los definidos</t>
  </si>
  <si>
    <t>Implantado pero no 100% correcto</t>
  </si>
  <si>
    <t>Incluirla en NC Menor</t>
  </si>
  <si>
    <t>Incumplimiento 1 punto de los definidos</t>
  </si>
  <si>
    <t>Implantado y correcto 100%</t>
  </si>
  <si>
    <t>Comentarios</t>
  </si>
  <si>
    <t>No Conformidades  Menores</t>
  </si>
  <si>
    <t>No Conformidades Mayores</t>
  </si>
  <si>
    <t>Oportunidades de Mejora</t>
  </si>
  <si>
    <t>A. MEZCLAS (Cámaras, Bodegas, Sla. Mezclas, Sla. Aditivos, Sla.Glucosas)</t>
  </si>
  <si>
    <t>A.I.01</t>
  </si>
  <si>
    <t>INFRAESTRUCTURA</t>
  </si>
  <si>
    <t>PAREDES, SUELOS y TECHOS</t>
  </si>
  <si>
    <t>Desconchados, Grietas, Roturas, Agujeros, Juntas Selladas, Charcos, Extractores sin Malla Metálica o Protección Anti-Caida, etc</t>
  </si>
  <si>
    <t>Agujero pared tratamiento a linea 1.</t>
  </si>
  <si>
    <t>Placas metálicas sueltas</t>
  </si>
  <si>
    <t xml:space="preserve">Desconchado en  pared sala batidor azúcar; </t>
  </si>
  <si>
    <t>Paredes con escurriduras en sala mezclas</t>
  </si>
  <si>
    <t>Agujero pared zona almacenamiento cubos y suelo desconchado en la entrada</t>
  </si>
  <si>
    <t>A.I.02</t>
  </si>
  <si>
    <t>PUERTAS, VENTANAS, PALLETS Y ACCESOS</t>
  </si>
  <si>
    <t>Estado, Cerrado, Sellado Puerta/Acceso-Pared, Grietas, Roturas, Mosquiteras íntegras(si se abre la ventana), puertas cerradas y sin huecos en parte inferior o laterales. Revisar que los pallets se encuentran en buen estado, no hay roturas ni se han generado astillas.</t>
  </si>
  <si>
    <t>Puerta batidor abierta.</t>
  </si>
  <si>
    <t>La puerta no cierra sola</t>
  </si>
  <si>
    <t>telas de araña en deposito batidor dextrosa</t>
  </si>
  <si>
    <t>A.I.03</t>
  </si>
  <si>
    <t>LUMINARIAS</t>
  </si>
  <si>
    <t>Iluminación, Protegidas ante rotura, limpieza</t>
  </si>
  <si>
    <t>A.I.04</t>
  </si>
  <si>
    <t>Equipos de procesado (depositos, mangueras,…)</t>
  </si>
  <si>
    <t>Estado, Fugas, Oxidos</t>
  </si>
  <si>
    <t>Azucar sobre motor.</t>
  </si>
  <si>
    <t>Goma rota en manguera, pistola azul oxidada y llave oxidada en sala mezclas.</t>
  </si>
  <si>
    <t>fuga vapor de agua caliente del batidor azucar. fuga tuberia bomba cip depositos glucosas</t>
  </si>
  <si>
    <t>Manguera de agua sucia con restos negros</t>
  </si>
  <si>
    <t>A.I.05</t>
  </si>
  <si>
    <t>EQUIPOS Auxiliares (tuberías, multivías, extractores, ...)</t>
  </si>
  <si>
    <t>Estado, Fugas, Oxidos. Ausencia de precintos o reparaciones provisionales en los equipos</t>
  </si>
  <si>
    <t xml:space="preserve">Fuga de agua en una tubería; óxidos y moho en una funda de motor por fuga de vapor de agua en sala batidor azúcar </t>
  </si>
  <si>
    <t xml:space="preserve">Falta poner cofia donde se coloca tuberia </t>
  </si>
  <si>
    <t>Extractores del techo sucios</t>
  </si>
  <si>
    <t>Hay manchas óxido en el suelo</t>
  </si>
  <si>
    <t>A.I.06</t>
  </si>
  <si>
    <t>DESAGÜES</t>
  </si>
  <si>
    <t>Presencia sifón, Presencia de agua o restos acumulados (rebose), limpios</t>
  </si>
  <si>
    <t xml:space="preserve"> Aguas estancadas.</t>
  </si>
  <si>
    <t>A.O.01</t>
  </si>
  <si>
    <t>ORDEN</t>
  </si>
  <si>
    <t>MANGUERAS</t>
  </si>
  <si>
    <t>Enrolladas, Ordenadas, sin tocar el suelo, cubreboca (cofia), en buen estado.</t>
  </si>
  <si>
    <t>A.O.02</t>
  </si>
  <si>
    <t>ÚTILES LIMPIEZA Y ARMARIOS</t>
  </si>
  <si>
    <t xml:space="preserve"> Ordenados  y debidamente Identificados. Armarios Cerrados.</t>
  </si>
  <si>
    <t>A.O.03</t>
  </si>
  <si>
    <t>Materias auxiliares</t>
  </si>
  <si>
    <t>Ausencia de Palés, Garrafas, Herramientas, etc. que no estén en uso.</t>
  </si>
  <si>
    <t>garrafas si nsujetar con el candado</t>
  </si>
  <si>
    <t>A.O.04</t>
  </si>
  <si>
    <t>CEBOS/TRAMPAS</t>
  </si>
  <si>
    <t>Identificados y en buen estado. Hay plaga?</t>
  </si>
  <si>
    <t>A.O.05</t>
  </si>
  <si>
    <t>JUNTAS Y CONEXIONES MULTIVIAS, CANULAS Y REPUESTOS</t>
  </si>
  <si>
    <t>Limpios, en buen estado y guardados en su lugar</t>
  </si>
  <si>
    <t>junta tirada por el suelo sala glucosas</t>
  </si>
  <si>
    <t>A.O.06</t>
  </si>
  <si>
    <t>SEGURIDAD</t>
  </si>
  <si>
    <t>Extintores bien identificados y colocados, Cuadros Eléctricos cerrados y Candados con cadena/cubeto.</t>
  </si>
  <si>
    <t>A.O.07</t>
  </si>
  <si>
    <t>PUESTO DE TRABAJO</t>
  </si>
  <si>
    <t>Mesas de Trabajo Ordenadas, paneles de heramientas completos, Ausencia Objetos Personales y otros objetos ajenos a la actividad</t>
  </si>
  <si>
    <t>Perfil aluminio en el suelo en los depósitos de azúcar</t>
  </si>
  <si>
    <t>A.L.01</t>
  </si>
  <si>
    <t>LIMPIEZA</t>
  </si>
  <si>
    <t>Suelos, Techos, Paredes, Puertas y Ventanas. (Telerañas, polvo, plagas acumuladas, etc)</t>
  </si>
  <si>
    <t>Resto de azucar liquida zona dep 4.</t>
  </si>
  <si>
    <t>Hormigas en glucosas</t>
  </si>
  <si>
    <t>Moho en depósitos azúcar sólida  (tanto en la zona de arriba como en la zona de abajo en el  depósito viejo); Techo sucio y con moho sala batidor</t>
  </si>
  <si>
    <t>Paredes con escurriduras en sala mezclas. Suelos zona silo muy sucios</t>
  </si>
  <si>
    <t>Hormigas en glucosas y tratamiento</t>
  </si>
  <si>
    <t>A.L.02</t>
  </si>
  <si>
    <t>ARMARIOS, MANGUERAS, PUESTOS de TRABAJO y UTILES de LIMPIEZA</t>
  </si>
  <si>
    <t>Limpios, sin resto de suciedad</t>
  </si>
  <si>
    <t>A.L.03</t>
  </si>
  <si>
    <t>MAQUINARIA</t>
  </si>
  <si>
    <t>Paster, Tanques, Conducciones, Balanzas de Medida, etc.</t>
  </si>
  <si>
    <t>Fuga batidor dep 2//Fuga en los filtros de anillas//Fuga junta del tratamiento//</t>
  </si>
  <si>
    <t>A.L.04</t>
  </si>
  <si>
    <t>RESIDUOS</t>
  </si>
  <si>
    <t xml:space="preserve"> Segregación y Correcta identificación de los resíduos, Ausencia de resíduos sin clasificar, Estado de recipientes de resíduos</t>
  </si>
  <si>
    <t>A.L.05</t>
  </si>
  <si>
    <t>CEBOS</t>
  </si>
  <si>
    <t>Revisiones de los cebos de ratas, ratones, trampas de arrastrantes e insectocaptores. (No Tóxicos)</t>
  </si>
  <si>
    <t>Cebo suelto en la puerta de dentro de la sala de glucosas; Hormigas en sala de glucosas</t>
  </si>
  <si>
    <t>hormigas en glucosas</t>
  </si>
  <si>
    <t>A.L.06</t>
  </si>
  <si>
    <t>Palés, Garrafas, Herramientas, etc que sestén en uso limpios</t>
  </si>
  <si>
    <t>A.L.07</t>
  </si>
  <si>
    <t>Garraga sin candado y sin cadena detrás del tanque pulmón</t>
  </si>
  <si>
    <t>A.B.01</t>
  </si>
  <si>
    <t>BP MANIPULACIÓN</t>
  </si>
  <si>
    <t>ROPA DE TRABAJO</t>
  </si>
  <si>
    <t>Uniforme, cofia, Zapatos, etc limpios, en buen estado.</t>
  </si>
  <si>
    <t>A.B.02</t>
  </si>
  <si>
    <t>OBJ. PERSONALES</t>
  </si>
  <si>
    <t>Solo se Permiten Anillos Lisos, sin objetos que puedan Desprenderse.</t>
  </si>
  <si>
    <t>A.B.03</t>
  </si>
  <si>
    <t>EQUIPOS</t>
  </si>
  <si>
    <t>Cofias en Tuberias, En Buen Estado, Calibraciones.</t>
  </si>
  <si>
    <t>A.B.04</t>
  </si>
  <si>
    <t>EPIS</t>
  </si>
  <si>
    <t>Uso Obligatorio</t>
  </si>
  <si>
    <t>A.B.05</t>
  </si>
  <si>
    <t>FÓRMULAS</t>
  </si>
  <si>
    <t>Protección de Fórmulas Jarabes</t>
  </si>
  <si>
    <t>A.B.06</t>
  </si>
  <si>
    <t xml:space="preserve">HIGIENE </t>
  </si>
  <si>
    <t>Prohibido remangarse perneras, trabajar con heridas, comer o beber, mascar chicle, pelo dentro de la cofía, uso de cubre barbas, etc.</t>
  </si>
  <si>
    <t xml:space="preserve">FOOD DEFENSE                                                            </t>
  </si>
  <si>
    <t>PERSONAS</t>
  </si>
  <si>
    <t>Personas extrañas sin identificar en las instalaciones</t>
  </si>
  <si>
    <t>ACCESOS</t>
  </si>
  <si>
    <t>Accesos  cerrados y correcto funcionamiento del control de accesos</t>
  </si>
  <si>
    <t>MM PP</t>
  </si>
  <si>
    <t>Producto precintado en bidones, GRG, botellas, etc.. Las MMPP se precintan tras su uso</t>
  </si>
  <si>
    <t>PROCESO</t>
  </si>
  <si>
    <t>Filtros en el llenado. Bocas multivías cerradas con tapón</t>
  </si>
  <si>
    <t>CIERRES</t>
  </si>
  <si>
    <t>Candados en descargas colocados  correctamente, no rotos</t>
  </si>
  <si>
    <t xml:space="preserve">B. ALMACÉN (MMPP, MMAA, Producto Terminado y APQ) </t>
  </si>
  <si>
    <t>B.I.01</t>
  </si>
  <si>
    <t>Desconchados, Grietas, Roturas, Agujeros, Juntas Selladas, Charcos, Extractores sin Malla Metálica o Protección Ante Caida, Rodapies, etc</t>
  </si>
  <si>
    <t xml:space="preserve">Agujeros en techos zona de almacén D45-D24 y D28; Charco en carpa 2; Manilla puerta nº8 sin cubierta; </t>
  </si>
  <si>
    <t>hueco en muelle 1. Grieta en la pared del muelle 3</t>
  </si>
  <si>
    <t>B.I.02</t>
  </si>
  <si>
    <t xml:space="preserve">Puerta de acceso de carpa  2 a carpa 3 rota, se queda siempre abierta. 
Marcos de palets de lata vacía roto en carpa nueva y no respeta las distancias 
</t>
  </si>
  <si>
    <t>Puerta interior almacén almacén lata vacia no funciona</t>
  </si>
  <si>
    <t>Agujeros puerta salida carpa 2 hacia carpa 3</t>
  </si>
  <si>
    <t>puerta con grieta lateral en muelle 5</t>
  </si>
  <si>
    <t>Pallet dañado y en consecuencia producto dañado, calle D60                                                                Pallet fuera de lugar</t>
  </si>
  <si>
    <t>Palet de monster deteriorado en la calle D58</t>
  </si>
  <si>
    <t>Puerta acceso externo en cuarto de carga baterías de carretillas se queda abierta,no cierra</t>
  </si>
  <si>
    <t>B.I.03</t>
  </si>
  <si>
    <t>Luminaria fundida donde se almacén lata vacía y picos de producto terminados</t>
  </si>
  <si>
    <t xml:space="preserve">Luminaria fundida en almacén nuevo/Luminaria fundidas en zona muelle </t>
  </si>
  <si>
    <t>Luminaria en mal estado parpadeando continuamente</t>
  </si>
  <si>
    <t>B.I.04</t>
  </si>
  <si>
    <t>EQUIPOS de RETENCIÓN</t>
  </si>
  <si>
    <t>Cubetas, etc. Estado de Conservación</t>
  </si>
  <si>
    <t>B.I.05</t>
  </si>
  <si>
    <t>Presencia rejilla, Presencia de mohos o restos acumulados, limpios</t>
  </si>
  <si>
    <t>agua en la zona de aparcamiento de la barredora</t>
  </si>
  <si>
    <t xml:space="preserve">Rejillas de entrada a las carpas exteriores sucias </t>
  </si>
  <si>
    <t>B.O.01</t>
  </si>
  <si>
    <t>Enrrolladas, Ordenadas, sin tocar el suelo, cubreboca (cofia), en buen estado.</t>
  </si>
  <si>
    <t>B.O.02</t>
  </si>
  <si>
    <t>ÚTILES LIMPIEZA, ARMARIOS y PUESTOS de TRABAJO</t>
  </si>
  <si>
    <t>Ordenados y debidamente Identificados. Armmarios Cerrados.</t>
  </si>
  <si>
    <t xml:space="preserve">Útiles de limpieza sin recoger al lado cuarto de limpieza. 
</t>
  </si>
  <si>
    <t>Productos de limpieza en el rincón (donde las tuberías) en el lateral del cuarto de la limpieza; Rasqueta donde se aparca la fregadora</t>
  </si>
  <si>
    <t>B.O.03</t>
  </si>
  <si>
    <t>Aunsencia de Palés, Garrafas, Herramientas, Productos Químicos, etc. que no estén en uso.</t>
  </si>
  <si>
    <t xml:space="preserve">Tabla rota entre las calles c42 y c 43.
</t>
  </si>
  <si>
    <t>Material sin identificar al fondo carpa 3</t>
  </si>
  <si>
    <t>Pallet fuera de lugar.</t>
  </si>
  <si>
    <t>palets no usando fuera de sitio.</t>
  </si>
  <si>
    <t>B.O.04</t>
  </si>
  <si>
    <t>Identificados, en buen estado, sin plaga</t>
  </si>
  <si>
    <t>cepo roto entre almacen y carpa 2. pajaros en carpa 3</t>
  </si>
  <si>
    <t>Excrementos de pájaros en la calle W29-30</t>
  </si>
  <si>
    <t>B.O.05</t>
  </si>
  <si>
    <t>ALMACENAMIENTO PALÉS</t>
  </si>
  <si>
    <t>Separación con la pared de 0,4 - 0,5 m - correcto apilado</t>
  </si>
  <si>
    <t>Palet mal colocado en una fila al lado de la C08</t>
  </si>
  <si>
    <t>B.O.06</t>
  </si>
  <si>
    <t>Cable sin proteger</t>
  </si>
  <si>
    <t>Postes de seguridad sin uso en almacén lata vacía/Cables colgando del techo en zonas Mixto 01 y F08</t>
  </si>
  <si>
    <t>Contrapeso puerta de intermedio a Despa latas en el suelo</t>
  </si>
  <si>
    <t>B.L.01</t>
  </si>
  <si>
    <t xml:space="preserve">Telarañas donde la puerta salida patio palets/ Excrementos en suelo carpa 2/ Muchos residuos por el suelo zona muelles 1-2-3-4 (cartones, plásticos, astillas, etc); polvo en postes de seguridad puerta 11; Sala cargas de batería de carretillas con restos de basura; </t>
  </si>
  <si>
    <t>Suciedad</t>
  </si>
  <si>
    <t>Palets en mal estado con suciedad</t>
  </si>
  <si>
    <t>excrementos de pajaro en carpa</t>
  </si>
  <si>
    <t>Suelo sucio en carpa 3</t>
  </si>
  <si>
    <t>B.L.02</t>
  </si>
  <si>
    <t>Enrrolladas, Ordenadas, sin tocar el suelo, cubreboca (cofia), limpios, en buen estado.</t>
  </si>
  <si>
    <t>Recoger sin palo en muelle 9</t>
  </si>
  <si>
    <t>Palets con utensilios de mantenimiento en pasillo APQ</t>
  </si>
  <si>
    <t>Ambas puertas de almacén de lata vacia abiertas</t>
  </si>
  <si>
    <t>B.L.03</t>
  </si>
  <si>
    <t>Carretillas, Baterías, Compresores, etc.</t>
  </si>
  <si>
    <t>B.L.04</t>
  </si>
  <si>
    <t>Material de mto fuera de lugar</t>
  </si>
  <si>
    <t>Contenedor de latas con todo tipo de residuos en almacén donde los picos</t>
  </si>
  <si>
    <t>Tubos plástico sitio no identificado en carpa 2</t>
  </si>
  <si>
    <t>B.L.05</t>
  </si>
  <si>
    <t>Palés, Garrafas, Herramientas, etc que estén en uso, limpios</t>
  </si>
  <si>
    <t>B.L.06</t>
  </si>
  <si>
    <t>Revisiones de los cebos de ratas, ratones, trampas de arrastrantes e insectocutores/captores. (No Tóxicos)</t>
  </si>
  <si>
    <t>B.L.07</t>
  </si>
  <si>
    <t>Cuadro eléctrico abierto en carpa 1/ Extintor en el suela en carpa 3</t>
  </si>
  <si>
    <t>B.B.01</t>
  </si>
  <si>
    <t>Ropa, Zapatos, etc limpios, en buen estado.</t>
  </si>
  <si>
    <t>B.B.02</t>
  </si>
  <si>
    <t>B.B.03</t>
  </si>
  <si>
    <t>B.B.04</t>
  </si>
  <si>
    <t>Prohibido arremangarse perneras, trabajar con heridas, comer o beber, mascar chicle, pelo dentro del gorro, uso de cube barbas, etc.</t>
  </si>
  <si>
    <t>Candados colocados  correctamente, no rotos</t>
  </si>
  <si>
    <t>C. Taller de Mantenimiento, Sla Compresores, Sla Calderas, Sla CIP y PTA</t>
  </si>
  <si>
    <t>C.I.01</t>
  </si>
  <si>
    <t>Suelos con residuos en el taller y almacén de taller</t>
  </si>
  <si>
    <t>Suelo picado</t>
  </si>
  <si>
    <t>C.I.02</t>
  </si>
  <si>
    <t>PUERTAS, VENTANAS, ACCESOS Y PALLETS</t>
  </si>
  <si>
    <t>Estado, Cerrado, Sellado Puerta/Acceso-Pared, Grietas, Roturas, Mosquiteras etc. Revisar que los pallets se encuentran en buen estado, no hay roturas ni se han generado astillas.</t>
  </si>
  <si>
    <t>C.I.03</t>
  </si>
  <si>
    <t>C.I.04</t>
  </si>
  <si>
    <t>C.O.01</t>
  </si>
  <si>
    <t>ÚTILES LIMPIEZA y MANTENIMIENTO, ARMARIOS y PUESTOS de TRABAJOy MANGUERAS</t>
  </si>
  <si>
    <t>Ordenados y debidamente Identificados, Cerrados.</t>
  </si>
  <si>
    <t>Escoba fuera de lugar,</t>
  </si>
  <si>
    <t>Materiales desordenados</t>
  </si>
  <si>
    <t>C.O.02</t>
  </si>
  <si>
    <t>Residuos encima de muebles de aceites y grasa</t>
  </si>
  <si>
    <t xml:space="preserve">Material obstaculizando la salida; material fuera de lugar; escpacio de trabajo desordenado </t>
  </si>
  <si>
    <t>utiles fuera de su sitio.</t>
  </si>
  <si>
    <t>C.O.03</t>
  </si>
  <si>
    <t>GRASAS ALIMENTARIAS/NO ALIMENTARIAS</t>
  </si>
  <si>
    <t>Separación y Buena identifiacción</t>
  </si>
  <si>
    <t>botes sin identificar fuera de lugar</t>
  </si>
  <si>
    <t>C.O.04</t>
  </si>
  <si>
    <t>Identificados en buen estado, sin plaga</t>
  </si>
  <si>
    <t>C.O.05</t>
  </si>
  <si>
    <t>C.L.01</t>
  </si>
  <si>
    <t>C.L.02</t>
  </si>
  <si>
    <t>ARMARIOS, PUESTOS de TRABAJO y UTILES de LIMPIEZA</t>
  </si>
  <si>
    <t>Limpios, sin resto de suciedad, bien almacenados</t>
  </si>
  <si>
    <t>Carros son residuos en la parte de arriba</t>
  </si>
  <si>
    <t>desorden en puestos de trabajo</t>
  </si>
  <si>
    <t>C.L.03</t>
  </si>
  <si>
    <t>C.L.04</t>
  </si>
  <si>
    <t>C.L.05</t>
  </si>
  <si>
    <t>Palés, Garrafas, Herramientas, etc que estén en uso limpios</t>
  </si>
  <si>
    <t>C.L.06</t>
  </si>
  <si>
    <t>C.L.07</t>
  </si>
  <si>
    <t>C.B.01</t>
  </si>
  <si>
    <t>chaqueta fuera de lugar</t>
  </si>
  <si>
    <t>C.B.02</t>
  </si>
  <si>
    <t>C.B.03</t>
  </si>
  <si>
    <t>Limpios, sin oxidos y en buen estado</t>
  </si>
  <si>
    <t>C.B.04</t>
  </si>
  <si>
    <t>C.B.05</t>
  </si>
  <si>
    <t>Producto precintado en bidones, GRG, botellas, etc..</t>
  </si>
  <si>
    <t>ÚTILES y
 HERRAMIENTAS</t>
  </si>
  <si>
    <t>Herramientas y accesorios de mantenimiento identificados y controlados</t>
  </si>
  <si>
    <t>D. Laboratorio</t>
  </si>
  <si>
    <t>D.I.01</t>
  </si>
  <si>
    <t>Desconchados, Grietas, Roturas, Agujeros, Juntas Selladas, Charcos, etc</t>
  </si>
  <si>
    <t>NA</t>
  </si>
  <si>
    <t>D.I.02</t>
  </si>
  <si>
    <t>PUERTAS Y ACCESOS</t>
  </si>
  <si>
    <t>Estado, Cerrado, Grietas, Roturas, etc.</t>
  </si>
  <si>
    <t>D.I.03</t>
  </si>
  <si>
    <t>D.0.01</t>
  </si>
  <si>
    <t>ARMARIOS/NEVERAS</t>
  </si>
  <si>
    <t>Cerrados ,Ordenados e Identificados.</t>
  </si>
  <si>
    <t>D.0.02</t>
  </si>
  <si>
    <t>ÚTILES LIMPIEZA</t>
  </si>
  <si>
    <t>Almacenados y ordenados en el lugar destinado y debidamente Identificados</t>
  </si>
  <si>
    <t>D.0.03</t>
  </si>
  <si>
    <t>Mesas de Trabajo Ordenadas. Ausencia Objetos Personales y otros objetos ajenos a la actividad</t>
  </si>
  <si>
    <t>desorden en mesas de trabajo</t>
  </si>
  <si>
    <t>D.L.01</t>
  </si>
  <si>
    <t>Suelos, Techos, Paredes, Puertas y Ventanas.</t>
  </si>
  <si>
    <t xml:space="preserve">Grifo roto de agua tratada en laboratorio </t>
  </si>
  <si>
    <t>D.L.02</t>
  </si>
  <si>
    <t>RESÍDUOS</t>
  </si>
  <si>
    <t xml:space="preserve"> Segregación Correcta de los resíduos, Ausencia de resíduos sin clasificar, Estado de recipientes de resíduos</t>
  </si>
  <si>
    <t xml:space="preserve">Grifo suelto en cuarto cromatografia </t>
  </si>
  <si>
    <t>D.L.03</t>
  </si>
  <si>
    <t>DERRAMES</t>
  </si>
  <si>
    <t>Productos Químicos.</t>
  </si>
  <si>
    <t>D.L.04</t>
  </si>
  <si>
    <t>ARMARIOS/NEVERAS, UTILES de LIMPIEZA y EQUIPOS</t>
  </si>
  <si>
    <t>Epis fuera de lugar</t>
  </si>
  <si>
    <t>D.L.05</t>
  </si>
  <si>
    <t xml:space="preserve"> Garrafas, Herramientas, etc que estén en uso limpios.</t>
  </si>
  <si>
    <t>D.B.01</t>
  </si>
  <si>
    <t>D.B.02</t>
  </si>
  <si>
    <t>D.B.03</t>
  </si>
  <si>
    <t xml:space="preserve"> Fechas correctas de las Calibraciones y verificaciones realizadas.</t>
  </si>
  <si>
    <t>D.B.04</t>
  </si>
  <si>
    <t>D.B.05</t>
  </si>
  <si>
    <t>E.ENVASADO (Linea 2,8 y 9 )</t>
  </si>
  <si>
    <t>E.I.01</t>
  </si>
  <si>
    <t>Azulejos del suelo sueltos</t>
  </si>
  <si>
    <t>Suelo L8 junto a KIster 1 picado</t>
  </si>
  <si>
    <t>E.I.02</t>
  </si>
  <si>
    <t>Latas por el suelo junto al paster</t>
  </si>
  <si>
    <t xml:space="preserve">fuga tuberia paster </t>
  </si>
  <si>
    <t>E.I.03</t>
  </si>
  <si>
    <t>Estado, Fugas, oxidos.</t>
  </si>
  <si>
    <t>Tubo suelto en recorrido de tapones L9
Lata sujeta aéreo L8</t>
  </si>
  <si>
    <t>Suciedad bajo las cintas</t>
  </si>
  <si>
    <t>cosas guardadas detras cuadro luz enfardadora 3 L9. Tapa del motor enfardadora 3 L9 en el suelo</t>
  </si>
  <si>
    <t>No funciona el aire acondicionado de la caseta de la l8.</t>
  </si>
  <si>
    <t>Grifo L9 con fuga de agua</t>
  </si>
  <si>
    <t>E.I.04</t>
  </si>
  <si>
    <t xml:space="preserve">Iluminación, Protegidas ante rotura </t>
  </si>
  <si>
    <t>Luminarias fundidas en línea 8/ Luminarias fundidas en línea 9</t>
  </si>
  <si>
    <t>E.I.05</t>
  </si>
  <si>
    <t>Presencia sifón, Presencia de agua o restos acumulados (rebose)</t>
  </si>
  <si>
    <t>grifo llenadora L9 con fuga</t>
  </si>
  <si>
    <t>Suelo de L9 con mucha agua por mal  sistema de desague</t>
  </si>
  <si>
    <t>E.O.01</t>
  </si>
  <si>
    <t>ARMARIOS y UTILES de LIMPIEZA</t>
  </si>
  <si>
    <t>Armarios Cerrados. Ordenados e Identificados.</t>
  </si>
  <si>
    <t xml:space="preserve">Equipo de limpieza y armarios fuera de lugar. 
Mesa de acumulación L9. 
Útil de limpieza fuera de lugar 
Útiles de limpieza fuera de lugar L8 
Material fuera de lugar. Paletizador L8
Cubo de fregona fuera de lugar. Robot L8
</t>
  </si>
  <si>
    <t>Fregona sin uso en el robot línea 8/ 2 fregonas en un misma poste de útiles de limpieza</t>
  </si>
  <si>
    <t>Armario limpieza en linea 8: productos desordenadores y cajones que no cierran</t>
  </si>
  <si>
    <t>Productos en L9 detras de sopladora al lado de llenadora sin identificar</t>
  </si>
  <si>
    <t>E.O.02</t>
  </si>
  <si>
    <t>Cubos bajo L9.
 Manguera sin enrollar
 Paleta y material fuera de lugar Paletizador L9
 Caja fuera de lugar taponadora L9 
Escalera fuera de lugar en agrupadora L9 
Material fuera de lugar zorpack L9 
Palet fuera de lugar antes de zorpack L9 
Rejillas fuera de lugar PASTER L8 
Carro fuera de lugar. Llenadora L8</t>
  </si>
  <si>
    <t>Tubo suelto en zona paletizador linea 8</t>
  </si>
  <si>
    <t>Escalera obstaculizando manguera de incendios, pieza metalica en la linea,palets con material rechazado fuera de lugar, piezas fuera de uso fuera de lugar, herramientas fuera de lugar, manguera mal enrollada alguien podria tropezarse,</t>
  </si>
  <si>
    <t>Material de limpieza fuera de lugar en L9 llenadora</t>
  </si>
  <si>
    <t>E.O.03</t>
  </si>
  <si>
    <t>Rollos final L8</t>
  </si>
  <si>
    <t>E.O.04</t>
  </si>
  <si>
    <t>Armario eléctrico abierto</t>
  </si>
  <si>
    <t>Caja electrica y cuadro electrico, la caja sin cerrar y el cuadro con una tira de cello</t>
  </si>
  <si>
    <t>E.O.05</t>
  </si>
  <si>
    <t>Cintaas fuera de lugar en kister 2// Escalera en zona de despaletizador// Tuerca fuera de lugar// Grifo de l9 no funciona bien el pulsador, hay que levantar la chapa àra hacer que el grifo pare</t>
  </si>
  <si>
    <t>Apaño en paletizador línea 8 con residuos de material auxiliar</t>
  </si>
  <si>
    <t>Tornillos encima de cajas en linea 8, herramientas sin control en carros cambios de formato linea 8, estructuras en zona kister línea 8, carro desordenado en paletizador L8</t>
  </si>
  <si>
    <t>Ropa fuera de lugar.</t>
  </si>
  <si>
    <t>Tornillo en kister 2; objeto dentro del reciento de enfardado en L8</t>
  </si>
  <si>
    <t>E.L.01</t>
  </si>
  <si>
    <t>Polvo en el aéreo</t>
  </si>
  <si>
    <t>Cucharacha muesta detrás del paster</t>
  </si>
  <si>
    <t>Paredes línea 8 sucias</t>
  </si>
  <si>
    <t>E.L.02</t>
  </si>
  <si>
    <t>E.L.03</t>
  </si>
  <si>
    <t>Carretillas, Lineas e Envasado, etc</t>
  </si>
  <si>
    <t>Brazo kister 2 atado con cinta aislante// Mancha de producto dentro de la jaula de la L8// Elementos fuera de lugar// Estructura metálica fuera delugar// Suciedad tras expulsor L9// Palets donde no corresponde L9</t>
  </si>
  <si>
    <t>Cubos de fregona recogiendo agua de la línea 9/ Varios metacrilatos quitados en el aéreo de latas durante la producción</t>
  </si>
  <si>
    <t>suciedad en kister 2 L8</t>
  </si>
  <si>
    <t>E.L.04</t>
  </si>
  <si>
    <t>Residuo sin limpiar tras sopladora L9</t>
  </si>
  <si>
    <t>Residuos fuera de lugar en la linea</t>
  </si>
  <si>
    <t>E.L.05</t>
  </si>
  <si>
    <t>Plástico trás la kister</t>
  </si>
  <si>
    <t xml:space="preserve">Cubo fuera de lugar y sucio en L9 donde zorpack </t>
  </si>
  <si>
    <t>E.L.06</t>
  </si>
  <si>
    <t>E.L.07</t>
  </si>
  <si>
    <t>E.B.01</t>
  </si>
  <si>
    <t>E.B.02</t>
  </si>
  <si>
    <t>E.B.03</t>
  </si>
  <si>
    <t>Calibraciones</t>
  </si>
  <si>
    <t>E.B.04</t>
  </si>
  <si>
    <t>E.B.05</t>
  </si>
  <si>
    <t>Prohibido arremangarse perneras, trabajar con heridas, comer o beber, mascar chicle, pelo dentro de la cofía, uso de cubre barbas, etc.</t>
  </si>
  <si>
    <t>F. Exteriores</t>
  </si>
  <si>
    <t>F.I.01</t>
  </si>
  <si>
    <t>VALLAS/ SUELOS</t>
  </si>
  <si>
    <t>Roturas.</t>
  </si>
  <si>
    <t>Valla rota y abierta.</t>
  </si>
  <si>
    <t>F.I.02</t>
  </si>
  <si>
    <t>PUERTAS, ACCESOS Y PALLETS</t>
  </si>
  <si>
    <t>Estado, Cierre y Control. Revisar que los pallets se encuentran en buen estado, no hay roturas ni se han generado astillas.</t>
  </si>
  <si>
    <t>Palets fuera de su sitio amontonados y rotos// palets fuera de sitio</t>
  </si>
  <si>
    <t>Agujeros en la pared zona nueva de tratamientos de aguas frente a oficinas</t>
  </si>
  <si>
    <t>F.I.03</t>
  </si>
  <si>
    <t>EQUIPOS EXTERNOS</t>
  </si>
  <si>
    <t>Tanques, Tanques de Agua, etc</t>
  </si>
  <si>
    <t>Contenedor con zona electrica en mal estado.</t>
  </si>
  <si>
    <t>F.I.04</t>
  </si>
  <si>
    <t>DESAGÜES y ARQUETAS</t>
  </si>
  <si>
    <t>F.O.01</t>
  </si>
  <si>
    <t>Enrrolladas, Ordenadas, en buen estado, limpias.</t>
  </si>
  <si>
    <t>Manguera mal enrollada</t>
  </si>
  <si>
    <t>Suelo roto, peligro de caidas</t>
  </si>
  <si>
    <t>F.O.02</t>
  </si>
  <si>
    <t>Garrafa en el suelo en la zona de depósitos de nitrógeno;Producto terminado sin identificar en zona de rechazo; Bidón de sepiolita en el suelo donde el armario de productos peligrosos</t>
  </si>
  <si>
    <t>Productos químicos sin cubetos</t>
  </si>
  <si>
    <t>Bidon fuera de lugar, bidones fuera de lugar, cubo trás zona de carbónicos,</t>
  </si>
  <si>
    <t>F.O.03</t>
  </si>
  <si>
    <t>Identificados, en buen estado y Anclados. Hay plaga?</t>
  </si>
  <si>
    <t xml:space="preserve">Bidón de sepiolita sin palet </t>
  </si>
  <si>
    <t>F.O.04</t>
  </si>
  <si>
    <t>Candados con cadena/cubeto</t>
  </si>
  <si>
    <t>F.L.01</t>
  </si>
  <si>
    <t>Palets con objetos fuera de fábrica</t>
  </si>
  <si>
    <t>F.L.02</t>
  </si>
  <si>
    <t>Limpias, sin restos de suciedad</t>
  </si>
  <si>
    <t>Manguera desenrollada en zona depósito de nitrógeno</t>
  </si>
  <si>
    <t>F.L.03</t>
  </si>
  <si>
    <t>Carretillas, etc.</t>
  </si>
  <si>
    <t>F.L.04</t>
  </si>
  <si>
    <t>Residuos de mantenimiento fuera de contenedores 
Basura por el suelo donde los contenedores</t>
  </si>
  <si>
    <t xml:space="preserve">Restos de suciedad donde los contenedores de residuos / Residuos en la campa </t>
  </si>
  <si>
    <t>resto de peladuaras de canutos en el suelo. basura fuera de sitio. bolsas de flejes fuera del contenedor</t>
  </si>
  <si>
    <t>Un montón de latas en mal estado por el suelo, aceite y residuos mal olientes por el suelo.</t>
  </si>
  <si>
    <t>F.L.05</t>
  </si>
  <si>
    <t>Palés, Garrafas, Herramientas, etc que  estén en uso limpios</t>
  </si>
  <si>
    <t>restos de cintas y tuberias en patio basuras</t>
  </si>
  <si>
    <t>Palets fuera de lugar</t>
  </si>
  <si>
    <t>F.L.06</t>
  </si>
  <si>
    <t>Revisiones de los cebos de ratas, ratones, trampas de arrastrantes. (Tóxicos)</t>
  </si>
  <si>
    <t>F.L.07</t>
  </si>
  <si>
    <t>ZONAS VERDES</t>
  </si>
  <si>
    <t>Estado y Mantenimiento.</t>
  </si>
  <si>
    <t>F.B.01</t>
  </si>
  <si>
    <t>BUENAS PRÁCTICAS</t>
  </si>
  <si>
    <t>Uniforme, Cofias, Zapatos. Fumar con la ropa de Trabajo.</t>
  </si>
  <si>
    <t>F.B.02</t>
  </si>
  <si>
    <t>F.B.03</t>
  </si>
  <si>
    <t>F.B.04</t>
  </si>
  <si>
    <t>HIGIENE PERSONAL</t>
  </si>
  <si>
    <t>Lavado de manos antes de entrar a la planta, uso de cubre barbas.</t>
  </si>
  <si>
    <t>Candado depósitos carbónico Linde oxidado y abierto</t>
  </si>
  <si>
    <t>G. ZONAS COMUNES (Vestuarios, Servicios, Comedor y Cuarto de Limpieza)</t>
  </si>
  <si>
    <t>G.I.01</t>
  </si>
  <si>
    <t>Humedad techo
 Humedad en lámina techo</t>
  </si>
  <si>
    <t>Desconchado pared comedor detrás de la máquina expendedora de comida; Falta baldosas rodapies en zona fichaje operarios</t>
  </si>
  <si>
    <t>Agujero en techo vestuario mujeres</t>
  </si>
  <si>
    <t>G.I.02</t>
  </si>
  <si>
    <t>PUERTAS, VENTANAS Y ACCESOS</t>
  </si>
  <si>
    <t>Estado, Cerrado, Sellado Puerta/Acceso-Pared, Grietas, Roturas, Mosquiteras etc.</t>
  </si>
  <si>
    <t>Puerta baño mujeres sin muelle</t>
  </si>
  <si>
    <t>Manilla puerta vestuario hombres rota</t>
  </si>
  <si>
    <t>aire entrada roto</t>
  </si>
  <si>
    <t>G.I.03</t>
  </si>
  <si>
    <t>TAQUILLAS, DUCHAS y BAÑOS</t>
  </si>
  <si>
    <t>Estado, Conservación</t>
  </si>
  <si>
    <t>G.I.04</t>
  </si>
  <si>
    <t>luminaria fundida en comedor</t>
  </si>
  <si>
    <t>G.O.01</t>
  </si>
  <si>
    <t>G.O.02</t>
  </si>
  <si>
    <t>TAQUILLAS</t>
  </si>
  <si>
    <t>Cerradas y Ordenadas</t>
  </si>
  <si>
    <t>Taquillas abiertas con ropa/Taquilla con la llave puesta</t>
  </si>
  <si>
    <t>taquillas en vestuario hombres sin cerraduras numeros 43 y 31.</t>
  </si>
  <si>
    <t>G.O.03</t>
  </si>
  <si>
    <t>COMIDA/BEBIDA</t>
  </si>
  <si>
    <t xml:space="preserve">Ordenados y Guardados </t>
  </si>
  <si>
    <t>G.O.04</t>
  </si>
  <si>
    <t>Identificados y en buen estado, Hay plaga?</t>
  </si>
  <si>
    <t>G.O.05</t>
  </si>
  <si>
    <t>G.L.01</t>
  </si>
  <si>
    <t>Paredes de comedor y entrada sucias</t>
  </si>
  <si>
    <t>G.L.02</t>
  </si>
  <si>
    <t>Suelos sucios (papel, hilos, polvos)</t>
  </si>
  <si>
    <t>G.L.03</t>
  </si>
  <si>
    <t>G.L.04</t>
  </si>
  <si>
    <t>TAQUILLAS y ÚTILES LIMPIEZA</t>
  </si>
  <si>
    <t>Estado: Suciedad, Integridad,etc.</t>
  </si>
  <si>
    <t>G.L.05</t>
  </si>
  <si>
    <t>Charcos, Bebidas, etc</t>
  </si>
  <si>
    <t>G.B.01</t>
  </si>
  <si>
    <t>Uniforme, Cofias, Zapatos, etc limpios, en buen estado.</t>
  </si>
  <si>
    <t>G.B.02</t>
  </si>
  <si>
    <t>G.B.03</t>
  </si>
  <si>
    <t>Prohibido remangarse perneras, trabajar con heridas, comer o beber (excepto comedor), mascar chicle, etc.</t>
  </si>
  <si>
    <t>G.B.04</t>
  </si>
  <si>
    <t>Lavado de manos antes de entrar a la planta, tras acceso a servicios o comedor.</t>
  </si>
  <si>
    <t xml:space="preserve">  Pág. 6 de 6</t>
  </si>
  <si>
    <t>NC CERRADAS EN FECHA:</t>
  </si>
  <si>
    <t>NC CERRADAS:</t>
  </si>
  <si>
    <t>NC PENDIENTES D CIERRE:</t>
  </si>
  <si>
    <t>Nº Orden</t>
  </si>
  <si>
    <t>Fecha apertura</t>
  </si>
  <si>
    <t>NCm / NCM</t>
  </si>
  <si>
    <t>Sección Detección</t>
  </si>
  <si>
    <t>Sección Resolución</t>
  </si>
  <si>
    <t>Resumen de No Coformidades</t>
  </si>
  <si>
    <t>Análisis de Causas</t>
  </si>
  <si>
    <t>Acciones Correctivas/Preventivas a Implantar</t>
  </si>
  <si>
    <t>Responsable</t>
  </si>
  <si>
    <t>Fecha Prevista</t>
  </si>
  <si>
    <t>Fecha Real</t>
  </si>
  <si>
    <t>Estado</t>
  </si>
  <si>
    <t>Evidencias</t>
  </si>
  <si>
    <t>Desv.</t>
  </si>
  <si>
    <t>mes</t>
  </si>
  <si>
    <t>Columna9</t>
  </si>
  <si>
    <t>Columna10</t>
  </si>
  <si>
    <t>Columna11</t>
  </si>
  <si>
    <t>Columna12</t>
  </si>
  <si>
    <t>Columna13</t>
  </si>
  <si>
    <t>Mezclas</t>
  </si>
  <si>
    <t>Mantenimiento</t>
  </si>
  <si>
    <t>Puerta sala batidor abierta</t>
  </si>
  <si>
    <t>No cierra la puerta</t>
  </si>
  <si>
    <t>Reparar</t>
  </si>
  <si>
    <t>Francisco Fernandez</t>
  </si>
  <si>
    <t>Azúcar sobre motor</t>
  </si>
  <si>
    <t>El sinfín del batidor de azúcar fuga azúcar cayendo sobre el motor y el deposito</t>
  </si>
  <si>
    <t xml:space="preserve">Colocar algún recipiente para evitar la caída del producto sobre los motores </t>
  </si>
  <si>
    <t>Producción</t>
  </si>
  <si>
    <t>Restos de azúcar líquida depósito 4</t>
  </si>
  <si>
    <t>No cierra bien el toma muestras del depósito 4 de azúcar y fuga</t>
  </si>
  <si>
    <t xml:space="preserve">Reparar ya que caerá azúcar al suelo y es un nido de hormigas </t>
  </si>
  <si>
    <t>Juan Gardeta</t>
  </si>
  <si>
    <t>Agujero pared tratamiento a línea 1</t>
  </si>
  <si>
    <t>Tras eliminar la L1, ha quedado un agujero de alguna tubería en la pared de línea 1 a tratamiento</t>
  </si>
  <si>
    <t xml:space="preserve">Sellarlo </t>
  </si>
  <si>
    <t>Aguas estancadas</t>
  </si>
  <si>
    <t xml:space="preserve">Falta desagüe </t>
  </si>
  <si>
    <t>Instalar un desagüe donde la bomba de envío de los depósitos de vino. Se queda agua estanca y produce mal olor</t>
  </si>
  <si>
    <t>Envasado</t>
  </si>
  <si>
    <t>Equipo de limpieza y armarios fuera de lugar. Mesa de acumulación L9</t>
  </si>
  <si>
    <t>Desorden</t>
  </si>
  <si>
    <t>Ordenar</t>
  </si>
  <si>
    <t>Limpiar cubo</t>
  </si>
  <si>
    <t xml:space="preserve">Cubos bajo L9 </t>
  </si>
  <si>
    <t>Fugas</t>
  </si>
  <si>
    <t>Alternativa</t>
  </si>
  <si>
    <t>Útil de limpieza fuera de lugar</t>
  </si>
  <si>
    <t xml:space="preserve">Manguera sin enrollar </t>
  </si>
  <si>
    <t>Poner algo para enrollar</t>
  </si>
  <si>
    <t>Tubo suelto en recorrido de tapones L9</t>
  </si>
  <si>
    <t>Rotura</t>
  </si>
  <si>
    <t>Encajar o sellar</t>
  </si>
  <si>
    <t>Caja fuera de lugar taponadora L9</t>
  </si>
  <si>
    <t>Ordenar o tirar</t>
  </si>
  <si>
    <t>Escalera fuera de lugar en agrupadora L9</t>
  </si>
  <si>
    <t>Paleta y material fuera de lugar Paletizador L9</t>
  </si>
  <si>
    <t>Material fuera de lugar zorpack L9</t>
  </si>
  <si>
    <t>Palet fuera de lugar antes de zorpack L9</t>
  </si>
  <si>
    <t>Rejillas fuera de lugar PASTER L8</t>
  </si>
  <si>
    <t>Carro fuera de lugar. Llenadora L8</t>
  </si>
  <si>
    <t>Manguera sin enrollar Llenadora L8</t>
  </si>
  <si>
    <t>Enrollar</t>
  </si>
  <si>
    <t>Útiles de limpieza fuera de lugar L8</t>
  </si>
  <si>
    <t>Material fuera de lugar. Paletizador L8</t>
  </si>
  <si>
    <t>Mal funcionamiento</t>
  </si>
  <si>
    <t>Solucionar</t>
  </si>
  <si>
    <t>E.O.001</t>
  </si>
  <si>
    <t>Cubo de fregona fuera de lugar. Robot L8</t>
  </si>
  <si>
    <t>Lata sujeta aéreo L8</t>
  </si>
  <si>
    <t>Mala sujecion</t>
  </si>
  <si>
    <t>Arreglar</t>
  </si>
  <si>
    <t>Zonas Comunes</t>
  </si>
  <si>
    <t>La puerta de baño de mujeres no tiene muelle y al abrir la puerta no hay tope y se golpea con la pared</t>
  </si>
  <si>
    <t>Colocar muelle</t>
  </si>
  <si>
    <t>Humedad techo</t>
  </si>
  <si>
    <t>Humedad en una lámina del techo en vestuario mujeres</t>
  </si>
  <si>
    <t>Cambiar lamina</t>
  </si>
  <si>
    <t>Humedad en lámina techo</t>
  </si>
  <si>
    <t>Humedad en dos lámina en la zona de fichajes donde la máquina expendedora de epis</t>
  </si>
  <si>
    <t xml:space="preserve">Cambiar lámina </t>
  </si>
  <si>
    <t>Almacen</t>
  </si>
  <si>
    <t>Útiles de limpieza sin recoger al lado cuarto de limpieza</t>
  </si>
  <si>
    <t>Falta de orden</t>
  </si>
  <si>
    <t>Guardar en su sitio correcto</t>
  </si>
  <si>
    <t>Almacén</t>
  </si>
  <si>
    <t>Tabla rota entre las calles c42 y c 43</t>
  </si>
  <si>
    <t>Mala praxis</t>
  </si>
  <si>
    <t xml:space="preserve">Destruir </t>
  </si>
  <si>
    <t>Javier Hualde</t>
  </si>
  <si>
    <t>BO.06</t>
  </si>
  <si>
    <t xml:space="preserve">Estropeado por el tiempo </t>
  </si>
  <si>
    <t>Cubrirlo correctamente</t>
  </si>
  <si>
    <t xml:space="preserve"> Desorden </t>
  </si>
  <si>
    <t>Ordenar y tirar</t>
  </si>
  <si>
    <t>Estropeado por el uso</t>
  </si>
  <si>
    <t xml:space="preserve">Marcos de palets de lata vacía roto en carpa nueva y no respeta las distancias </t>
  </si>
  <si>
    <t>Destruir</t>
  </si>
  <si>
    <t>Estropeada por el uso</t>
  </si>
  <si>
    <t>Sustituir</t>
  </si>
  <si>
    <t>Puerta de acceso de carpa  2 a carpa 3 rota, se queda siempre abierta</t>
  </si>
  <si>
    <t>estropeada por el uso</t>
  </si>
  <si>
    <t>L.04</t>
  </si>
  <si>
    <t>Exteriores</t>
  </si>
  <si>
    <t>Residuos de mantenimiento fuera de contenedores</t>
  </si>
  <si>
    <t xml:space="preserve">Desorden </t>
  </si>
  <si>
    <t>Tirar en lugar correcto</t>
  </si>
  <si>
    <t>Basura por el suelo donde los contenedores</t>
  </si>
  <si>
    <t>Falta de limpieza</t>
  </si>
  <si>
    <t>Limpiar</t>
  </si>
  <si>
    <t>O.03</t>
  </si>
  <si>
    <t>Colocar palet debajo</t>
  </si>
  <si>
    <t>Taller de mantenimiento</t>
  </si>
  <si>
    <t>Tirar</t>
  </si>
  <si>
    <t>Laboratorio</t>
  </si>
  <si>
    <t>Colocar bien o Sustituir</t>
  </si>
  <si>
    <t>Fuga batidor deposito 2</t>
  </si>
  <si>
    <t>DEterioro.</t>
  </si>
  <si>
    <t>Reparacion de la fuga</t>
  </si>
  <si>
    <t>Li.piar hasta eliminar las hormigas</t>
  </si>
  <si>
    <t>Placas metalicas sueltas</t>
  </si>
  <si>
    <t>Anclarlas al suelo</t>
  </si>
  <si>
    <t>Fuga en los filtros de anillas</t>
  </si>
  <si>
    <t>DEerioro</t>
  </si>
  <si>
    <t>Reparar. Pierde bastante agua</t>
  </si>
  <si>
    <t>Fuga en junta del tratamiento</t>
  </si>
  <si>
    <t>deterioro</t>
  </si>
  <si>
    <t>Reparar la junta para evitar fuga</t>
  </si>
  <si>
    <t>Deterioro</t>
  </si>
  <si>
    <t>Ajustar la puerta</t>
  </si>
  <si>
    <t>Pegarlos</t>
  </si>
  <si>
    <t>Mejorar la limbiaza bajo las xintas</t>
  </si>
  <si>
    <t>Brazo kister 2 atado con cinta aislante</t>
  </si>
  <si>
    <t>reparacion provisional</t>
  </si>
  <si>
    <t>Quitar la cinta y arreglar el brazo</t>
  </si>
  <si>
    <t>Cintas fuera de lugar en kister 2</t>
  </si>
  <si>
    <t>Mantener el espacio de trabajo limpio y recogido</t>
  </si>
  <si>
    <t>Latas de otras producciones donde no deben</t>
  </si>
  <si>
    <t>No se ha retirado el material sobrante al terminar la produccion.</t>
  </si>
  <si>
    <t>Limpiar los recorridos tras la produccion</t>
  </si>
  <si>
    <t>Manxha de producto dentro de la jaula de la L8</t>
  </si>
  <si>
    <t>Falta de limpieza.</t>
  </si>
  <si>
    <t>Elementos fuera de lugar</t>
  </si>
  <si>
    <t>Recogerlos y guardar donde corresponda</t>
  </si>
  <si>
    <t>Escalera en zona de despaletizador</t>
  </si>
  <si>
    <t>No se recoge tras su uso</t>
  </si>
  <si>
    <t>Guardar la escalera en su sitio</t>
  </si>
  <si>
    <t>Motir en mal estado</t>
  </si>
  <si>
    <t>Deteriorado/ sucio  por el uso</t>
  </si>
  <si>
    <t>Limpiar o reemplazar el motor</t>
  </si>
  <si>
    <t>Estructura metálica fuera de lugar</t>
  </si>
  <si>
    <t>No se retira tras su uso</t>
  </si>
  <si>
    <t>Sacar la estructura y guardarla donde se deba</t>
  </si>
  <si>
    <t>Tuerca fuera de lugar</t>
  </si>
  <si>
    <t>Olvido</t>
  </si>
  <si>
    <t>Grardar todos los elementos una vez sean utilizados</t>
  </si>
  <si>
    <t>Suciedad tras expulsor L9</t>
  </si>
  <si>
    <t>Suciedad expulsor L9</t>
  </si>
  <si>
    <t>Salpica el agua y forma bacterias</t>
  </si>
  <si>
    <t>Palets donde no correspone L9</t>
  </si>
  <si>
    <t>Llevar los palets a su sitio</t>
  </si>
  <si>
    <t>Puerta interior almacen lata vacia no funciona</t>
  </si>
  <si>
    <t>Estropeada</t>
  </si>
  <si>
    <t>Arreglar la puerta</t>
  </si>
  <si>
    <t>Palet con objetos fuera de la fabrica</t>
  </si>
  <si>
    <t>Falta de orden y limpieza</t>
  </si>
  <si>
    <t>Recogerlo y guardarlo</t>
  </si>
  <si>
    <t>Palets con ultensilios de mantenimiento en pasillo APQ</t>
  </si>
  <si>
    <t>Recoger la zona</t>
  </si>
  <si>
    <t>Palets fuera de su sitio amontonados y rotos</t>
  </si>
  <si>
    <t>Tirar lo que no valga y recoger</t>
  </si>
  <si>
    <t>Palet fuera de sitio</t>
  </si>
  <si>
    <t>Reubicar el palet</t>
  </si>
  <si>
    <t>Cosas fuera de lugar</t>
  </si>
  <si>
    <t>Mala praxis, falta de orden y limpieza</t>
  </si>
  <si>
    <t>Guardar donde corresponda</t>
  </si>
  <si>
    <t>Grifo de L9 no funciona bien el pulsador, hay que levantar la chapa para hacer que el grifo pare</t>
  </si>
  <si>
    <t>Deterioro por el uso</t>
  </si>
  <si>
    <t>Arreglar pulsador</t>
  </si>
  <si>
    <t>Falta baldosas rodapiés zona fichajes operarios</t>
  </si>
  <si>
    <t xml:space="preserve">Colocar baldosas </t>
  </si>
  <si>
    <t xml:space="preserve">Desconchón pared comedor detrás máquina </t>
  </si>
  <si>
    <t>Tapar y pintar</t>
  </si>
  <si>
    <t>Arreglar o sustituir</t>
  </si>
  <si>
    <t>Taquillas abiertas con ropa</t>
  </si>
  <si>
    <t>Coomunicar</t>
  </si>
  <si>
    <t>Taquilla con llave puesta</t>
  </si>
  <si>
    <t>Comunicar</t>
  </si>
  <si>
    <t xml:space="preserve">Suelos sucios (papel, hilos, polvo) </t>
  </si>
  <si>
    <t>Falta limpieza</t>
  </si>
  <si>
    <t>Barrer</t>
  </si>
  <si>
    <t>Perfil aluminio en el suelo</t>
  </si>
  <si>
    <t>Retirar</t>
  </si>
  <si>
    <t>Moho en tanque azúcar ( zona de arriba y de abajo)</t>
  </si>
  <si>
    <t>Varias zonas con óxido y moho por una fuga de vapor</t>
  </si>
  <si>
    <t xml:space="preserve">Falta limpieza </t>
  </si>
  <si>
    <t xml:space="preserve">Desconchones en pared en sala batidor azúcar </t>
  </si>
  <si>
    <t>Techos muy sucios sala batidor ( hasta moho)</t>
  </si>
  <si>
    <t xml:space="preserve">Malas hierbas puerta nº 26 </t>
  </si>
  <si>
    <t xml:space="preserve">Plaga </t>
  </si>
  <si>
    <t xml:space="preserve">Garrafa sin candado y cadena detrás tanque pulmón </t>
  </si>
  <si>
    <t>Colocar cadena y candado</t>
  </si>
  <si>
    <t>Hormigas en sala glucosas al fondo donde ,a puerta</t>
  </si>
  <si>
    <t>Por el uso</t>
  </si>
  <si>
    <t xml:space="preserve">Tapar agujero </t>
  </si>
  <si>
    <t>Calidad</t>
  </si>
  <si>
    <t>Cebo suelto donde la puerta en sala glucosas</t>
  </si>
  <si>
    <t xml:space="preserve">Mala praxis </t>
  </si>
  <si>
    <t>Avisar Ezsa</t>
  </si>
  <si>
    <t>Nuria Murugarren</t>
  </si>
  <si>
    <t>Productos limpieza en rincon tuberías al lado cuarto limpieza</t>
  </si>
  <si>
    <t>Rasqueta zona aparcamiento fregadora</t>
  </si>
  <si>
    <t>Muchos restos de residuos en el muelle 1, 2,3,4 (astillas, plásticos, cartones,etc )</t>
  </si>
  <si>
    <t>Luminarias fundidas el almacén zona muelle 5</t>
  </si>
  <si>
    <t>Estropeadas por el uso</t>
  </si>
  <si>
    <t>Palet mal colocado en la fila al lado c08</t>
  </si>
  <si>
    <t>Colocar correctamente</t>
  </si>
  <si>
    <t>Varios agujeros techo en zonas de almacén: D45, D24 y D28</t>
  </si>
  <si>
    <t>Golpeaso</t>
  </si>
  <si>
    <t>Tapar</t>
  </si>
  <si>
    <t xml:space="preserve">Polvo en postes seguridad puerta 11 </t>
  </si>
  <si>
    <t>Telarañas salida patio palets</t>
  </si>
  <si>
    <t>Excrementos en suelo Carpa 2</t>
  </si>
  <si>
    <t>Presencia de pajaros</t>
  </si>
  <si>
    <t xml:space="preserve">Tapar agujeros </t>
  </si>
  <si>
    <t>Agujeros puerta salida carpa 2 a carpa 3</t>
  </si>
  <si>
    <t>Ausencia de cerramiento</t>
  </si>
  <si>
    <t>Material no identificado al fondo carpa 3</t>
  </si>
  <si>
    <t>Charco carpa 2</t>
  </si>
  <si>
    <t>Gotera</t>
  </si>
  <si>
    <t>Extintor en el suelo en carpa 3</t>
  </si>
  <si>
    <t xml:space="preserve">Organizar </t>
  </si>
  <si>
    <t>Manilla puerta 8 sin cubierta</t>
  </si>
  <si>
    <t>Caida</t>
  </si>
  <si>
    <t>Colocar nueva</t>
  </si>
  <si>
    <t>Luminaria fundida almacén nuevo</t>
  </si>
  <si>
    <t xml:space="preserve">Postes seguridad sin uso en almacen lata vacía </t>
  </si>
  <si>
    <t>Contenedor de latas aluminio con todo tipo de residuos en almacén donde los picos</t>
  </si>
  <si>
    <t xml:space="preserve">mala praxis </t>
  </si>
  <si>
    <t>Concienciar a los operarios</t>
  </si>
  <si>
    <t>Cables colgando del techo en zonas mixto 01 y F08</t>
  </si>
  <si>
    <t>Quitar</t>
  </si>
  <si>
    <t xml:space="preserve">Suelos sucios en el taller y en el almacén </t>
  </si>
  <si>
    <t xml:space="preserve">Falta de limpieza </t>
  </si>
  <si>
    <t>F.E.03</t>
  </si>
  <si>
    <t>Agujeros pared zona nueva tratamiento aguas frente a oficinas</t>
  </si>
  <si>
    <t xml:space="preserve">Ausencia de cerramiento </t>
  </si>
  <si>
    <t xml:space="preserve">Bidón sepiolita en el suelo donde armario productos peligrosos </t>
  </si>
  <si>
    <t xml:space="preserve">Colocar palet </t>
  </si>
  <si>
    <t>F.l.02</t>
  </si>
  <si>
    <t xml:space="preserve">Manguera sin enrollar tanque nitrógeno </t>
  </si>
  <si>
    <t xml:space="preserve">Enrollar </t>
  </si>
  <si>
    <t xml:space="preserve">Palet producto terminado sin identificar en zona rechazado </t>
  </si>
  <si>
    <t>Identificar o avisar a calidad cuando se saquen a la zona de rechazo</t>
  </si>
  <si>
    <t xml:space="preserve">Cubos recogiendo agua de la línea 9 </t>
  </si>
  <si>
    <t xml:space="preserve">Ausencia de desagües </t>
  </si>
  <si>
    <t xml:space="preserve">Mejorar el desagüe de esa línea </t>
  </si>
  <si>
    <t>Luminarias fundidas línea 8</t>
  </si>
  <si>
    <t>Luminarias fundidas línea 9</t>
  </si>
  <si>
    <t xml:space="preserve">Estropeado por el uso </t>
  </si>
  <si>
    <t>Cuadro eléctrico abierto carpa 1</t>
  </si>
  <si>
    <t>Cerrar con llave</t>
  </si>
  <si>
    <t>Dos escobas en un poste</t>
  </si>
  <si>
    <t>Colocar en el sitio que corresponda</t>
  </si>
  <si>
    <t>Polvo en el aereo</t>
  </si>
  <si>
    <t>Varios Metacrilatos quitado en el aéreo de latas</t>
  </si>
  <si>
    <t>Colocar</t>
  </si>
  <si>
    <t xml:space="preserve">Sala de carga de baterías de carretillas con restos de basura </t>
  </si>
  <si>
    <t>Carros del personal con residuo encima de ellos</t>
  </si>
  <si>
    <t>Recoger y limpiar</t>
  </si>
  <si>
    <t>Fregona sin uso en la zona del robot línea 8</t>
  </si>
  <si>
    <t>Colocar en su sitio</t>
  </si>
  <si>
    <t>Residuos donde los contenedores (detrás de ellos también)</t>
  </si>
  <si>
    <t>Recoger</t>
  </si>
  <si>
    <t xml:space="preserve">Manguera desenrollada zona depósito nitrógeno </t>
  </si>
  <si>
    <t>Colocar bien</t>
  </si>
  <si>
    <t>Garrafa en el suelo en la zona de depósito nitrógeno</t>
  </si>
  <si>
    <t>Colocar encima de pallet</t>
  </si>
  <si>
    <t>Residuos en la campa</t>
  </si>
  <si>
    <t xml:space="preserve">Limpiar </t>
  </si>
  <si>
    <t>Apaño en Paletizador línea 8 con residuos de material auxiliar</t>
  </si>
  <si>
    <t>recoger materiales e informar al personal de la mala praxis.</t>
  </si>
  <si>
    <t>Fuga de agua (se mirará válvula en la semana de parada técnica L9)</t>
  </si>
  <si>
    <t>Hueco en muelles de carga n1</t>
  </si>
  <si>
    <t>No sellan bien las puertas</t>
  </si>
  <si>
    <t>Grieta en muelle 3</t>
  </si>
  <si>
    <t xml:space="preserve">Pared descorchada </t>
  </si>
  <si>
    <t>Sellar</t>
  </si>
  <si>
    <t>Agua en aparcamiento de barredora</t>
  </si>
  <si>
    <t>La barredora la dejan con agua y genera charco</t>
  </si>
  <si>
    <t>Dejarla vacía antes de aparcarla</t>
  </si>
  <si>
    <t>x</t>
  </si>
  <si>
    <t>Puerta con grieta lateral</t>
  </si>
  <si>
    <t>No hay presencia de goma en la junta lateral en el muelle 5</t>
  </si>
  <si>
    <t>Sellar correctamente la puerta</t>
  </si>
  <si>
    <t>Cepo roto entre almacén y carpa 2</t>
  </si>
  <si>
    <t>Cepo roto</t>
  </si>
  <si>
    <t>Sutituir</t>
  </si>
  <si>
    <t>Pájaros en carpa 3</t>
  </si>
  <si>
    <t>Entran por puertas o juntas y no saben salir</t>
  </si>
  <si>
    <t>Poner trampas de salida</t>
  </si>
  <si>
    <t>Cosas guardadas detrás cuadro en enfardadora 3 línea 9</t>
  </si>
  <si>
    <t>Grifo fugando</t>
  </si>
  <si>
    <t>Fuga de grifo</t>
  </si>
  <si>
    <t>Tapa Motor enfardadora 3 L9 en suelo</t>
  </si>
  <si>
    <t>Reparar esa tapa</t>
  </si>
  <si>
    <t>Se han caido</t>
  </si>
  <si>
    <t>Telarañas depósito dextrosa</t>
  </si>
  <si>
    <t xml:space="preserve">Limpieza </t>
  </si>
  <si>
    <t>Fuga vapor agua caliente batidor azucar</t>
  </si>
  <si>
    <t>Fuga vapor</t>
  </si>
  <si>
    <t>Fuga tubería bomba cip depósitos glucosas a</t>
  </si>
  <si>
    <t xml:space="preserve">Fuga tubería </t>
  </si>
  <si>
    <t>Tubería suelta</t>
  </si>
  <si>
    <t>A.O. 05</t>
  </si>
  <si>
    <t>Junta por el suelo</t>
  </si>
  <si>
    <t>Junta tirada por el suelo</t>
  </si>
  <si>
    <t>Falta orden y limpieza</t>
  </si>
  <si>
    <t>Más limpieza</t>
  </si>
  <si>
    <t>Basura fuera de sitio</t>
  </si>
  <si>
    <t>Contenedores llenos y no se pueden tirar en ningún sitio</t>
  </si>
  <si>
    <t xml:space="preserve">Vaciar contenedores con más frecuencia </t>
  </si>
  <si>
    <t>Restos peladuras canutos en el suelo</t>
  </si>
  <si>
    <t>Poner doble bolsa a las peladuras</t>
  </si>
  <si>
    <t xml:space="preserve">Bolsas flejes fuera del contenedor </t>
  </si>
  <si>
    <t>Revisar si entra dentro</t>
  </si>
  <si>
    <t>Restos de cintas, tuberías en el palet</t>
  </si>
  <si>
    <t xml:space="preserve">Recoger </t>
  </si>
  <si>
    <t>Chaqueta fuera de lugar</t>
  </si>
  <si>
    <t xml:space="preserve">Dejan sudadera atada al carro de mantenimiento </t>
  </si>
  <si>
    <t>Quitar sudadera. Informar al personal de la mala praxis.</t>
  </si>
  <si>
    <t>Desorden en puestos de trabajo</t>
  </si>
  <si>
    <t>Ordenar.Informar al personal de la mala praxis.</t>
  </si>
  <si>
    <t>Botes sin identificación fuera de lugar</t>
  </si>
  <si>
    <t>D.O.03</t>
  </si>
  <si>
    <t xml:space="preserve">Desorden mesas de trabajo </t>
  </si>
  <si>
    <t>Mayor orden</t>
  </si>
  <si>
    <t xml:space="preserve">No funciona aire acondicionado </t>
  </si>
  <si>
    <t>Se ha roto</t>
  </si>
  <si>
    <t>Arreglarlo</t>
  </si>
  <si>
    <t>E.O02</t>
  </si>
  <si>
    <t xml:space="preserve">Escalera obstaculizando manguera de incendios </t>
  </si>
  <si>
    <t>Quitar la escalera</t>
  </si>
  <si>
    <t>Residuos fuera de su lugar</t>
  </si>
  <si>
    <t>Dejar los residuos donde tocan</t>
  </si>
  <si>
    <t>Residuos fuera de lugar</t>
  </si>
  <si>
    <t>Plásticos detrás de la kister</t>
  </si>
  <si>
    <t>Recoger, limpiar</t>
  </si>
  <si>
    <t>Pieza en línea 8</t>
  </si>
  <si>
    <t>Recoger, retirar pieza</t>
  </si>
  <si>
    <t>Latas por el suelo junto a paster</t>
  </si>
  <si>
    <t>Paets de producto rechazado fuera de lugar</t>
  </si>
  <si>
    <t>Recogerlo y llevarlo a su sitio</t>
  </si>
  <si>
    <t>Ropa fuera de lugar</t>
  </si>
  <si>
    <t>No dejar la chaqueta ahi</t>
  </si>
  <si>
    <t xml:space="preserve">Produccion </t>
  </si>
  <si>
    <t>Caja eléctrica y cuadro eléctrico, la caja sin cerrar, y el cuadro con una tira de celo</t>
  </si>
  <si>
    <t>Cerrarlo de manera correcta</t>
  </si>
  <si>
    <t xml:space="preserve">Recoger,limpiar </t>
  </si>
  <si>
    <t>Residuos fuera de lugar, en la linea</t>
  </si>
  <si>
    <t>Recoger,limpiar</t>
  </si>
  <si>
    <t>Piezas fuera de uso, fuera de lugar</t>
  </si>
  <si>
    <t>Recogerlas</t>
  </si>
  <si>
    <t>Herramientas fuera de lugar</t>
  </si>
  <si>
    <t xml:space="preserve">Ordenar </t>
  </si>
  <si>
    <t>Manguera mal enrollada,alguien podría tropezar</t>
  </si>
  <si>
    <t>Enrollarla bien</t>
  </si>
  <si>
    <t>Bidón fuera de lugar</t>
  </si>
  <si>
    <t>Parte eléctrica de un contenedor al Descubierto</t>
  </si>
  <si>
    <t xml:space="preserve">Estropeado </t>
  </si>
  <si>
    <t xml:space="preserve">Contenedor con zona eléctrica en mal estado </t>
  </si>
  <si>
    <t xml:space="preserve">Se ha roto </t>
  </si>
  <si>
    <t xml:space="preserve">Reparar </t>
  </si>
  <si>
    <t xml:space="preserve">Un montón de latas en mal estado por el suelo </t>
  </si>
  <si>
    <t xml:space="preserve">A alguien se le cayeron y nadie las recogió </t>
  </si>
  <si>
    <t xml:space="preserve">Bidones fuera de lugar </t>
  </si>
  <si>
    <t xml:space="preserve">Aceite y residuos mal olientes por el suelo </t>
  </si>
  <si>
    <t>Cubo tras zona de carbonicos</t>
  </si>
  <si>
    <t xml:space="preserve">Manguera mal enrollada </t>
  </si>
  <si>
    <t xml:space="preserve">Enrollar correctamente </t>
  </si>
  <si>
    <t>Vayas tiradas</t>
  </si>
  <si>
    <t>Se deterioran con el timpo.</t>
  </si>
  <si>
    <t xml:space="preserve">Vaya rota y abierta </t>
  </si>
  <si>
    <t>Reparr</t>
  </si>
  <si>
    <t>Palet dañado, y en consecuencia producto dañado ,calle D60</t>
  </si>
  <si>
    <t>Golpe</t>
  </si>
  <si>
    <t>Manipular</t>
  </si>
  <si>
    <t>Paleta fuera de lugar</t>
  </si>
  <si>
    <t>Ordenar y ponerlos en su sitio</t>
  </si>
  <si>
    <t>Escoba fuera de lugar</t>
  </si>
  <si>
    <t>Limpieza filtros</t>
  </si>
  <si>
    <t>Sustituir o limpiar.</t>
  </si>
  <si>
    <t>Puertas òxido</t>
  </si>
  <si>
    <t>Humedad en ambiente.</t>
  </si>
  <si>
    <t>Limpieza y ventilacion.</t>
  </si>
  <si>
    <t>Òxido batidor azúcar</t>
  </si>
  <si>
    <t>Envejecimiento.</t>
  </si>
  <si>
    <t>A.I.o6</t>
  </si>
  <si>
    <t>Desagües  jarabes suciedad</t>
  </si>
  <si>
    <t xml:space="preserve">Limpiez,revisión protocolos </t>
  </si>
  <si>
    <t xml:space="preserve">Revisar causas </t>
  </si>
  <si>
    <t>Goma puerta en mal estado</t>
  </si>
  <si>
    <t>Desgaste</t>
  </si>
  <si>
    <t>Cambiar</t>
  </si>
  <si>
    <t>AL04</t>
  </si>
  <si>
    <t>Depósito cortado, acumulación líquido ,entrada plagas</t>
  </si>
  <si>
    <t xml:space="preserve">Cambio depósito </t>
  </si>
  <si>
    <t>Limpieza.</t>
  </si>
  <si>
    <t>Mm PP</t>
  </si>
  <si>
    <t>Contaminación cruzada  , ingredientes mezclados, suciedad palet</t>
  </si>
  <si>
    <t xml:space="preserve"> Formación </t>
  </si>
  <si>
    <t xml:space="preserve">Dar formación </t>
  </si>
  <si>
    <t>A.i.05</t>
  </si>
  <si>
    <t>Precintos incompletos en las bañeras</t>
  </si>
  <si>
    <t xml:space="preserve">Deterioro sin revisión </t>
  </si>
  <si>
    <t xml:space="preserve">Cambiar o buscar alternativas </t>
  </si>
  <si>
    <t>Manguera sala de glucosas en el suelo</t>
  </si>
  <si>
    <t>Falta orden</t>
  </si>
  <si>
    <t>Recoger. Informar al personal de la mala praxis.</t>
  </si>
  <si>
    <t>Manguera sala glucosas en el suelo</t>
  </si>
  <si>
    <t>Hormigas glucosas</t>
  </si>
  <si>
    <t>Ver huecos , limpiezas</t>
  </si>
  <si>
    <t>Suciedad base y en los cubos de los ingredientes</t>
  </si>
  <si>
    <t>Limpieza y tapar posible entrada de plgas.</t>
  </si>
  <si>
    <t xml:space="preserve">Hormigas en glucosas </t>
  </si>
  <si>
    <t>Plagas</t>
  </si>
  <si>
    <t xml:space="preserve"> Limpiar </t>
  </si>
  <si>
    <t xml:space="preserve">Hormigas en tratamiento </t>
  </si>
  <si>
    <t xml:space="preserve">Falta poner la cofia </t>
  </si>
  <si>
    <t>Poner cofia</t>
  </si>
  <si>
    <t xml:space="preserve">Cucaracha muerta detrás del PASTER </t>
  </si>
  <si>
    <t xml:space="preserve">Vigilar plagas eliminarlas y limpiar </t>
  </si>
  <si>
    <t>Fuga tubería paster</t>
  </si>
  <si>
    <t xml:space="preserve">Arreglar la tubería </t>
  </si>
  <si>
    <t>Suciedad en kister 2 L8</t>
  </si>
  <si>
    <t>E.O.95</t>
  </si>
  <si>
    <t>Tornillo en kister 2</t>
  </si>
  <si>
    <t>Falta de organización</t>
  </si>
  <si>
    <t>Recoger herramientas o recambios tras su uso</t>
  </si>
  <si>
    <t>Objetos dentro del recinto de enfardado en L8</t>
  </si>
  <si>
    <t xml:space="preserve">No dejar material fuera de los sitios delimitados para estos </t>
  </si>
  <si>
    <t>Cubo fuera de lugar y sucio en L9 donde zorpack</t>
  </si>
  <si>
    <t>Dejar los utensilios en su sitio y limpios</t>
  </si>
  <si>
    <t>Organización</t>
  </si>
  <si>
    <t xml:space="preserve">Mantener lo materiales en sus respectivos espacios </t>
  </si>
  <si>
    <t xml:space="preserve">Ambas puertas de almacén de lata vacía abiertas </t>
  </si>
  <si>
    <t xml:space="preserve">Arreglar las puertas para seguridad </t>
  </si>
  <si>
    <t>Suciedad de fuga de palet</t>
  </si>
  <si>
    <t xml:space="preserve">Limpiar las fugas producidas </t>
  </si>
  <si>
    <t xml:space="preserve"> B.L.01</t>
  </si>
  <si>
    <t>Palets en mal estado y con fuga</t>
  </si>
  <si>
    <t xml:space="preserve">Identificar los palets afectados aviso a calidad y si se mueven limpiar el residuo producido </t>
  </si>
  <si>
    <t>Excremantos de pájaro en carpa</t>
  </si>
  <si>
    <t>Vigilar posibles nidos e intentar espantar lo pájaros que se localicen y limpiar los excrementos</t>
  </si>
  <si>
    <t xml:space="preserve">Palets en mal estado y sin identificar </t>
  </si>
  <si>
    <t>Organización y trazabilidad</t>
  </si>
  <si>
    <t xml:space="preserve">Identificar los palets y limpiar después de moverlos </t>
  </si>
  <si>
    <t>Ubicarlos en el espacio delimitado para estos</t>
  </si>
  <si>
    <t>Suelo roto peligro de caidas</t>
  </si>
  <si>
    <t xml:space="preserve">Arreglar el suelo </t>
  </si>
  <si>
    <t xml:space="preserve">Cosas bloqueando la salida </t>
  </si>
  <si>
    <t>Guardar las cosas en su respectivo lugar</t>
  </si>
  <si>
    <t>Mantener las cosas en su lugar y ordenar</t>
  </si>
  <si>
    <t>Organizar el espacio de trabajo</t>
  </si>
  <si>
    <t>Cosas fuera del taller de mantenimiento</t>
  </si>
  <si>
    <t>Orden y espacio</t>
  </si>
  <si>
    <t>Buscar un lugar para poder guardar las cosas que no caben en el taller</t>
  </si>
  <si>
    <t>Rotura pared zona almacén cubos</t>
  </si>
  <si>
    <t>Suelo desconchado entrada mezclas</t>
  </si>
  <si>
    <t xml:space="preserve">Deterioro </t>
  </si>
  <si>
    <t>Manguera de agua sucia</t>
  </si>
  <si>
    <t>Extractores sucios</t>
  </si>
  <si>
    <t>Excrementos de pájaro</t>
  </si>
  <si>
    <t>Puertas abiertas</t>
  </si>
  <si>
    <t xml:space="preserve">Mantener las puertas cerradas </t>
  </si>
  <si>
    <t>Candados tanques carbónico abiertos y oxidados</t>
  </si>
  <si>
    <t>Mala praxis y estropeados al estar en la calle</t>
  </si>
  <si>
    <t>Luminaria defectuosa en la calle D54, parpadea continuamente</t>
  </si>
  <si>
    <t>Deteriorada por el uso</t>
  </si>
  <si>
    <t xml:space="preserve">Sustituirla antes de que se funda </t>
  </si>
  <si>
    <t>Palet de monster en mal estado calle D58</t>
  </si>
  <si>
    <t>Latas rotas</t>
  </si>
  <si>
    <t>Reparar o tirar</t>
  </si>
  <si>
    <t>Luminarias fundidas</t>
  </si>
  <si>
    <t>Pared sucia</t>
  </si>
  <si>
    <t>Pintar</t>
  </si>
  <si>
    <t>Aire roto</t>
  </si>
  <si>
    <t xml:space="preserve">Pérdida de agua </t>
  </si>
  <si>
    <t xml:space="preserve">Arreglar </t>
  </si>
  <si>
    <t>Falta de orden del operario</t>
  </si>
  <si>
    <t>Uso</t>
  </si>
  <si>
    <t xml:space="preserve">Cubos en suelo L9 por mal desagüe </t>
  </si>
  <si>
    <t>Planos L9</t>
  </si>
  <si>
    <t>Mejorar sistema desagüe</t>
  </si>
  <si>
    <t>Productos sin identificar L9</t>
  </si>
  <si>
    <t>Identificar</t>
  </si>
  <si>
    <t>Armarios sin puertas</t>
  </si>
  <si>
    <t>Poner puertas</t>
  </si>
  <si>
    <t>Grifo L9 pierde agua</t>
  </si>
  <si>
    <t>Suelo picad L8 junto a kister 1</t>
  </si>
  <si>
    <t>Útiles de limpieza desordenados L8 frente a kister 1</t>
  </si>
  <si>
    <t>Tubos PASTER oxidados</t>
  </si>
  <si>
    <t>Tuberías oxidadas</t>
  </si>
  <si>
    <t xml:space="preserve">Cubrir tubos para impedir que se mojen </t>
  </si>
  <si>
    <t>PALETS FUERA DE SU SITIO CALLE H03</t>
  </si>
  <si>
    <t>Mala praxis del personal</t>
  </si>
  <si>
    <t>Retirarlos</t>
  </si>
  <si>
    <t>B.I. 02</t>
  </si>
  <si>
    <t>Cerradura estropeada</t>
  </si>
  <si>
    <t>Arreglar cerradura</t>
  </si>
  <si>
    <t>Restos producto por fuga de palets</t>
  </si>
  <si>
    <t>Mal uso</t>
  </si>
  <si>
    <t>Cambiarlas.</t>
  </si>
  <si>
    <t>falta de orden</t>
  </si>
  <si>
    <t>colocar utensilios en su sitio despues de su uso.</t>
  </si>
  <si>
    <t>utiles fuera de su sitio</t>
  </si>
  <si>
    <t>Garrafas sin sujetar con candado</t>
  </si>
  <si>
    <t>Sujetar bien</t>
  </si>
  <si>
    <t xml:space="preserve">  Ed.3</t>
  </si>
  <si>
    <t xml:space="preserve">  22/03/2021</t>
  </si>
  <si>
    <t xml:space="preserve">  Pág. 5 de 6</t>
  </si>
  <si>
    <t>KPIs HOUSEKEEPING</t>
  </si>
  <si>
    <t>- Ejecución de acciones propuestas en plazo</t>
  </si>
  <si>
    <t>- Porcentaje de Acciones Cerradas</t>
  </si>
  <si>
    <t>GRADO CUMPLIMIENTO - COMPARATIVA PLANTAS</t>
  </si>
  <si>
    <t>Alcolea (Córdoba)</t>
  </si>
  <si>
    <t>Marcilla</t>
  </si>
  <si>
    <t>Oliva</t>
  </si>
  <si>
    <t>INFRA</t>
  </si>
  <si>
    <t>LIMP</t>
  </si>
  <si>
    <t>BMP</t>
  </si>
  <si>
    <t>Sevilla</t>
  </si>
  <si>
    <t>Tafalla</t>
  </si>
  <si>
    <t>Refresco Iberia</t>
  </si>
  <si>
    <t xml:space="preserve"> INFORME HOUSEKEEPING: </t>
  </si>
  <si>
    <t>FECHA:</t>
  </si>
  <si>
    <t xml:space="preserve">  Pág. 4 de 6</t>
  </si>
  <si>
    <t xml:space="preserve"> AUDITORÍA DE CALIBRACIÓN</t>
  </si>
  <si>
    <t>Planta</t>
  </si>
  <si>
    <t>Calibración</t>
  </si>
  <si>
    <t>DESVIACIÓN</t>
  </si>
  <si>
    <t>RESULTADO</t>
  </si>
  <si>
    <t>Límite Desviación</t>
  </si>
  <si>
    <t>Resultado</t>
  </si>
  <si>
    <t>Acciones</t>
  </si>
  <si>
    <t>GLOBAL</t>
  </si>
  <si>
    <t>Puntuación Global (%)</t>
  </si>
  <si>
    <t>A.SALA ELABORACIÓN</t>
  </si>
  <si>
    <t xml:space="preserve">B. ALMACÉN (PT Y MAT AUXILIAR) </t>
  </si>
  <si>
    <t>D. TALLER MANTENIMIENTO, Sala Compresores, Sala Calderas, Sala CIP y PTA</t>
  </si>
  <si>
    <t>E. LABORATORIO</t>
  </si>
  <si>
    <t>F. ENVASADO (Linea 1-6)</t>
  </si>
  <si>
    <t>G. Exteriores</t>
  </si>
  <si>
    <t>H. ZONAS COMUNES (Vestuarios, Servicios, Comedor y Cuarto de Limpieza)</t>
  </si>
  <si>
    <t>Meses</t>
  </si>
  <si>
    <t>INFORME HOUSEKEEPING</t>
  </si>
  <si>
    <t>NCm</t>
  </si>
  <si>
    <t>NCM</t>
  </si>
  <si>
    <t>enero</t>
  </si>
  <si>
    <t>febrero</t>
  </si>
  <si>
    <t>marzo</t>
  </si>
  <si>
    <t>abril</t>
  </si>
  <si>
    <t>mayo</t>
  </si>
  <si>
    <t>junio</t>
  </si>
  <si>
    <t>julio</t>
  </si>
  <si>
    <t>agosto</t>
  </si>
  <si>
    <t>octubre</t>
  </si>
  <si>
    <t>noviembre</t>
  </si>
  <si>
    <t>diciembre</t>
  </si>
  <si>
    <t>FOOD DEFENSE</t>
  </si>
  <si>
    <t>X</t>
  </si>
  <si>
    <t>Y</t>
  </si>
  <si>
    <t>Valor Auditado</t>
  </si>
  <si>
    <t>Suma total</t>
  </si>
  <si>
    <t>TOTAL ZONAS:</t>
  </si>
  <si>
    <t>TOTAL</t>
  </si>
  <si>
    <t>TOTAL MAXIMO:</t>
  </si>
  <si>
    <t>PROMEDIO 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</si>
</sst>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0"/>
    <numFmt numFmtId="166" formatCode="0.0%"/>
  </numFmts>
  <fonts count="73" x14ac:knownFonts="1">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b/>
      <i/>
      <sz val="11"/>
      <color theme="1"/>
      <name val="Calibri"/>
      <family val="2"/>
      <scheme val="minor"/>
    </font>
    <font>
      <b/>
      <sz val="10"/>
      <name val="Arial"/>
      <family val="2"/>
    </font>
    <font>
      <b/>
      <sz val="8"/>
      <color indexed="9"/>
      <name val="Arial"/>
      <family val="2"/>
    </font>
    <font>
      <b/>
      <sz val="9"/>
      <color indexed="9"/>
      <name val="Arial"/>
      <family val="2"/>
    </font>
    <font>
      <b/>
      <sz val="9"/>
      <color indexed="56"/>
      <name val="Arial"/>
      <family val="2"/>
    </font>
    <font>
      <sz val="9"/>
      <color indexed="56"/>
      <name val="Arial"/>
      <family val="2"/>
    </font>
    <font>
      <b/>
      <sz val="14"/>
      <color theme="1"/>
      <name val="Calibri"/>
      <family val="2"/>
      <scheme val="minor"/>
    </font>
    <font>
      <b/>
      <sz val="10"/>
      <color theme="0"/>
      <name val="Calibri"/>
      <family val="2"/>
      <scheme val="minor"/>
    </font>
    <font>
      <b/>
      <i/>
      <sz val="10"/>
      <color theme="0"/>
      <name val="Calibri"/>
      <family val="2"/>
      <scheme val="minor"/>
    </font>
    <font>
      <sz val="11"/>
      <name val="Calibri"/>
      <family val="2"/>
      <scheme val="minor"/>
    </font>
    <font>
      <b/>
      <sz val="9"/>
      <color theme="1"/>
      <name val="Arial"/>
      <family val="2"/>
    </font>
    <font>
      <b/>
      <sz val="12"/>
      <color theme="1"/>
      <name val="Calibri"/>
      <family val="2"/>
      <scheme val="minor"/>
    </font>
    <font>
      <sz val="9"/>
      <color theme="1"/>
      <name val="Arial"/>
      <family val="2"/>
    </font>
    <font>
      <sz val="12"/>
      <color rgb="FF2F2F2F"/>
      <name val="Segoe UI"/>
      <family val="2"/>
    </font>
    <font>
      <b/>
      <i/>
      <sz val="12"/>
      <color theme="1"/>
      <name val="Calibri"/>
      <family val="2"/>
      <scheme val="minor"/>
    </font>
    <font>
      <sz val="14"/>
      <color theme="1"/>
      <name val="Calibri"/>
      <family val="2"/>
      <scheme val="minor"/>
    </font>
    <font>
      <b/>
      <sz val="18"/>
      <name val="Arial"/>
      <family val="2"/>
    </font>
    <font>
      <b/>
      <sz val="20"/>
      <color theme="1"/>
      <name val="Arial"/>
      <family val="2"/>
    </font>
    <font>
      <b/>
      <sz val="16"/>
      <color theme="1"/>
      <name val="Calibri"/>
      <family val="2"/>
      <scheme val="minor"/>
    </font>
    <font>
      <sz val="16"/>
      <color theme="1"/>
      <name val="Calibri"/>
      <family val="2"/>
      <scheme val="minor"/>
    </font>
    <font>
      <b/>
      <sz val="22"/>
      <color theme="1"/>
      <name val="Calibri"/>
      <family val="2"/>
      <scheme val="minor"/>
    </font>
    <font>
      <b/>
      <sz val="28"/>
      <color theme="1"/>
      <name val="Calibri"/>
      <family val="2"/>
      <scheme val="minor"/>
    </font>
    <font>
      <b/>
      <sz val="8"/>
      <name val="Arial"/>
      <family val="2"/>
    </font>
    <font>
      <b/>
      <i/>
      <sz val="10"/>
      <color theme="1"/>
      <name val="Arial"/>
      <family val="2"/>
    </font>
    <font>
      <b/>
      <sz val="14"/>
      <color theme="1"/>
      <name val="Arial"/>
      <family val="2"/>
    </font>
    <font>
      <b/>
      <i/>
      <sz val="11"/>
      <color theme="1"/>
      <name val="Arial"/>
      <family val="2"/>
    </font>
    <font>
      <sz val="11"/>
      <color theme="1"/>
      <name val="Arial"/>
      <family val="2"/>
    </font>
    <font>
      <b/>
      <sz val="11"/>
      <color theme="1"/>
      <name val="Arial"/>
      <family val="2"/>
    </font>
    <font>
      <b/>
      <sz val="11"/>
      <name val="Arial"/>
      <family val="2"/>
    </font>
    <font>
      <i/>
      <sz val="9"/>
      <name val="Arial"/>
      <family val="2"/>
    </font>
    <font>
      <i/>
      <sz val="9"/>
      <color theme="1"/>
      <name val="Arial"/>
      <family val="2"/>
    </font>
    <font>
      <b/>
      <i/>
      <sz val="10"/>
      <name val="Arial"/>
      <family val="2"/>
    </font>
    <font>
      <sz val="10"/>
      <color theme="1"/>
      <name val="Arial"/>
      <family val="2"/>
    </font>
    <font>
      <b/>
      <i/>
      <sz val="11"/>
      <name val="Arial"/>
      <family val="2"/>
    </font>
    <font>
      <i/>
      <sz val="9"/>
      <name val="Calibri"/>
      <family val="2"/>
      <scheme val="minor"/>
    </font>
    <font>
      <sz val="11"/>
      <color theme="0"/>
      <name val="Calibri"/>
      <family val="2"/>
      <scheme val="minor"/>
    </font>
    <font>
      <b/>
      <sz val="11"/>
      <name val="Calibri"/>
      <family val="2"/>
      <scheme val="minor"/>
    </font>
    <font>
      <sz val="9"/>
      <name val="Arial"/>
      <family val="2"/>
    </font>
    <font>
      <sz val="9"/>
      <name val="Calibri"/>
      <family val="2"/>
      <scheme val="minor"/>
    </font>
    <font>
      <sz val="9"/>
      <color rgb="FFFF0000"/>
      <name val="Arial"/>
      <family val="2"/>
    </font>
    <font>
      <sz val="8"/>
      <color theme="1"/>
      <name val="Calibri"/>
      <family val="2"/>
      <scheme val="minor"/>
    </font>
    <font>
      <sz val="9"/>
      <color theme="1"/>
      <name val="Calibri"/>
      <family val="2"/>
      <scheme val="minor"/>
    </font>
    <font>
      <sz val="8"/>
      <name val="Calibri"/>
      <family val="2"/>
      <scheme val="minor"/>
    </font>
    <font>
      <b/>
      <sz val="9"/>
      <color theme="0"/>
      <name val="Arial"/>
      <family val="2"/>
    </font>
    <font>
      <sz val="11"/>
      <name val="Arial"/>
      <family val="2"/>
    </font>
    <font>
      <b/>
      <sz val="10"/>
      <color indexed="9"/>
      <name val="Arial"/>
      <family val="2"/>
    </font>
    <font>
      <sz val="11"/>
      <color rgb="FFFF0000"/>
      <name val="Arial"/>
      <family val="2"/>
    </font>
    <font>
      <b/>
      <sz val="16"/>
      <color theme="1"/>
      <name val="Arial"/>
      <family val="2"/>
    </font>
    <font>
      <b/>
      <sz val="16"/>
      <color indexed="63"/>
      <name val="Arial"/>
      <family val="2"/>
    </font>
    <font>
      <sz val="14"/>
      <color rgb="FF00B050"/>
      <name val="Calibri"/>
      <family val="2"/>
      <scheme val="minor"/>
    </font>
    <font>
      <sz val="11"/>
      <color rgb="FF444444"/>
      <name val="Calibri"/>
      <family val="2"/>
    </font>
    <font>
      <i/>
      <sz val="11"/>
      <color rgb="FF000000"/>
      <name val="Calibri"/>
      <family val="2"/>
    </font>
    <font>
      <sz val="11"/>
      <color rgb="FF444444"/>
      <name val="Calibri"/>
      <family val="2"/>
      <charset val="1"/>
    </font>
    <font>
      <sz val="11"/>
      <color rgb="FF000000"/>
      <name val="Arial"/>
      <family val="2"/>
    </font>
    <font>
      <u/>
      <sz val="11"/>
      <color theme="10"/>
      <name val="Calibri"/>
      <family val="2"/>
      <scheme val="minor"/>
    </font>
    <font>
      <b/>
      <sz val="9"/>
      <name val="Arial"/>
      <family val="2"/>
    </font>
    <font>
      <b/>
      <sz val="11"/>
      <color rgb="FFFF0000"/>
      <name val="Calibri"/>
      <family val="2"/>
      <scheme val="minor"/>
    </font>
    <font>
      <b/>
      <sz val="11"/>
      <color theme="9"/>
      <name val="Calibri"/>
      <family val="2"/>
      <scheme val="minor"/>
    </font>
    <font>
      <b/>
      <sz val="12"/>
      <color theme="0"/>
      <name val="Calibri"/>
      <family val="2"/>
      <scheme val="minor"/>
    </font>
    <font>
      <b/>
      <sz val="11"/>
      <color theme="0"/>
      <name val="Calibri"/>
      <family val="2"/>
      <scheme val="minor"/>
    </font>
    <font>
      <sz val="14"/>
      <color rgb="FFFF0000"/>
      <name val="Calibri"/>
      <family val="2"/>
      <scheme val="minor"/>
    </font>
    <font>
      <i/>
      <sz val="9"/>
      <color rgb="FF000000"/>
      <name val="Arial"/>
      <family val="2"/>
    </font>
    <font>
      <b/>
      <sz val="9"/>
      <color indexed="81"/>
      <name val="Tahoma"/>
      <family val="2"/>
    </font>
    <font>
      <sz val="9"/>
      <color indexed="81"/>
      <name val="Tahoma"/>
      <family val="2"/>
    </font>
    <font>
      <sz val="14"/>
      <color theme="1"/>
      <name val="Arial"/>
      <family val="2"/>
    </font>
    <font>
      <sz val="9"/>
      <color rgb="FF000000"/>
      <name val="Arial"/>
      <family val="2"/>
    </font>
    <font>
      <sz val="11"/>
      <color theme="1"/>
      <name val="Calibri"/>
      <family val="2"/>
      <charset val="204"/>
      <scheme val="minor"/>
    </font>
    <font>
      <u/>
      <sz val="11"/>
      <color theme="10"/>
      <name val="Calibri"/>
      <family val="2"/>
      <charset val="204"/>
      <scheme val="minor"/>
    </font>
    <font>
      <i/>
      <sz val="9"/>
      <name val="Arial"/>
      <family val="2"/>
    </font>
  </fonts>
  <fills count="32">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theme="1"/>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bgColor indexed="64"/>
      </patternFill>
    </fill>
    <fill>
      <patternFill patternType="solid">
        <fgColor theme="0" tint="-0.2499465926084170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2" tint="-9.9948118533890809E-2"/>
        <bgColor theme="0"/>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rgb="FF0070C0"/>
        <bgColor indexed="64"/>
      </patternFill>
    </fill>
    <fill>
      <patternFill patternType="solid">
        <fgColor indexed="9"/>
        <bgColor indexed="64"/>
      </patternFill>
    </fill>
    <fill>
      <patternFill patternType="solid">
        <fgColor rgb="FF31EF6C"/>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0"/>
        <bgColor theme="4" tint="0.79998168889431442"/>
      </patternFill>
    </fill>
  </fills>
  <borders count="92">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right/>
      <top/>
      <bottom style="thin">
        <color indexed="64"/>
      </bottom>
      <diagonal/>
    </border>
    <border>
      <left/>
      <right/>
      <top style="medium">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bottom style="medium">
        <color indexed="64"/>
      </bottom>
      <diagonal/>
    </border>
    <border>
      <left/>
      <right style="thin">
        <color indexed="9"/>
      </right>
      <top/>
      <bottom/>
      <diagonal/>
    </border>
    <border>
      <left style="thin">
        <color indexed="64"/>
      </left>
      <right/>
      <top/>
      <bottom/>
      <diagonal/>
    </border>
    <border>
      <left/>
      <right style="thin">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thin">
        <color indexed="9"/>
      </left>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right style="thin">
        <color indexed="22"/>
      </right>
      <top style="thin">
        <color indexed="22"/>
      </top>
      <bottom style="thin">
        <color indexed="22"/>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top style="thin">
        <color theme="4" tint="0.39997558519241921"/>
      </top>
      <bottom style="thin">
        <color theme="4" tint="0.39997558519241921"/>
      </bottom>
      <diagonal/>
    </border>
    <border>
      <left/>
      <right style="thin">
        <color rgb="FF000000"/>
      </right>
      <top/>
      <bottom style="thin">
        <color rgb="FF000000"/>
      </bottom>
      <diagonal/>
    </border>
  </borders>
  <cellStyleXfs count="6">
    <xf numFmtId="0" fontId="0" fillId="0" borderId="0"/>
    <xf numFmtId="164" fontId="1" fillId="0" borderId="0" applyFont="0" applyFill="0" applyBorder="0" applyAlignment="0" applyProtection="0"/>
    <xf numFmtId="9" fontId="1" fillId="0" borderId="0" applyFont="0" applyFill="0" applyBorder="0" applyAlignment="0" applyProtection="0"/>
    <xf numFmtId="0" fontId="58" fillId="0" borderId="0" applyNumberFormat="0" applyFill="0" applyBorder="0" applyAlignment="0" applyProtection="0"/>
    <xf numFmtId="0" fontId="70" fillId="0" borderId="0"/>
    <xf numFmtId="0" fontId="71" fillId="0" borderId="0" applyNumberFormat="0" applyFill="0" applyBorder="0" applyAlignment="0" applyProtection="0"/>
  </cellStyleXfs>
  <cellXfs count="936">
    <xf numFmtId="0" fontId="0" fillId="0" borderId="0" xfId="0"/>
    <xf numFmtId="0" fontId="0" fillId="0" borderId="0" xfId="0" applyAlignment="1">
      <alignment horizontal="center" vertical="center"/>
    </xf>
    <xf numFmtId="0" fontId="3" fillId="0" borderId="39"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54" xfId="0" applyFont="1" applyBorder="1" applyAlignment="1">
      <alignment horizontal="center" vertical="center" wrapText="1"/>
    </xf>
    <xf numFmtId="0" fontId="6" fillId="3" borderId="0" xfId="0" applyFont="1" applyFill="1" applyAlignment="1">
      <alignment horizontal="center" vertical="center" wrapText="1"/>
    </xf>
    <xf numFmtId="0" fontId="6" fillId="3" borderId="58" xfId="0" applyFont="1" applyFill="1" applyBorder="1" applyAlignment="1">
      <alignment horizontal="center" vertical="center" wrapText="1"/>
    </xf>
    <xf numFmtId="0" fontId="6" fillId="3" borderId="59" xfId="0" applyFont="1" applyFill="1" applyBorder="1" applyAlignment="1">
      <alignment horizontal="center" vertical="center" wrapText="1"/>
    </xf>
    <xf numFmtId="0" fontId="6" fillId="3" borderId="60" xfId="0" quotePrefix="1" applyFont="1" applyFill="1" applyBorder="1" applyAlignment="1">
      <alignment horizontal="center" vertical="center" wrapText="1"/>
    </xf>
    <xf numFmtId="9" fontId="7" fillId="0" borderId="61" xfId="2" applyFont="1" applyFill="1" applyBorder="1" applyAlignment="1">
      <alignment horizontal="center" vertical="center"/>
    </xf>
    <xf numFmtId="9" fontId="7" fillId="0" borderId="62" xfId="2" applyFont="1" applyFill="1" applyBorder="1" applyAlignment="1">
      <alignment horizontal="center" vertical="center"/>
    </xf>
    <xf numFmtId="17" fontId="8" fillId="0" borderId="11" xfId="2" applyNumberFormat="1" applyFont="1" applyFill="1" applyBorder="1" applyAlignment="1">
      <alignment horizontal="center" vertical="center"/>
    </xf>
    <xf numFmtId="9" fontId="7" fillId="0" borderId="67" xfId="2" applyFont="1" applyFill="1" applyBorder="1" applyAlignment="1">
      <alignment horizontal="center" vertical="center"/>
    </xf>
    <xf numFmtId="9" fontId="7" fillId="0" borderId="68" xfId="2" applyFont="1" applyFill="1" applyBorder="1" applyAlignment="1">
      <alignment horizontal="center" vertical="center"/>
    </xf>
    <xf numFmtId="9" fontId="7" fillId="3" borderId="54" xfId="2" applyFont="1" applyFill="1" applyBorder="1" applyAlignment="1">
      <alignment horizontal="center" vertical="center"/>
    </xf>
    <xf numFmtId="9" fontId="7" fillId="3" borderId="69" xfId="2" applyFont="1" applyFill="1" applyBorder="1" applyAlignment="1">
      <alignment horizontal="center" vertical="center"/>
    </xf>
    <xf numFmtId="9" fontId="7" fillId="3" borderId="72" xfId="2" applyFont="1" applyFill="1" applyBorder="1" applyAlignment="1">
      <alignment horizontal="center" vertical="center"/>
    </xf>
    <xf numFmtId="17" fontId="9" fillId="4" borderId="54" xfId="2" applyNumberFormat="1" applyFont="1" applyFill="1" applyBorder="1" applyAlignment="1">
      <alignment horizontal="center"/>
    </xf>
    <xf numFmtId="14" fontId="7" fillId="3" borderId="71" xfId="2" applyNumberFormat="1" applyFont="1" applyFill="1" applyBorder="1" applyAlignment="1">
      <alignment horizontal="centerContinuous" vertical="center"/>
    </xf>
    <xf numFmtId="3" fontId="13" fillId="0" borderId="29" xfId="0" applyNumberFormat="1" applyFont="1" applyBorder="1" applyAlignment="1">
      <alignment horizontal="center"/>
    </xf>
    <xf numFmtId="0" fontId="14" fillId="0" borderId="10" xfId="0" applyFont="1" applyBorder="1"/>
    <xf numFmtId="0" fontId="0" fillId="0" borderId="4" xfId="0" applyBorder="1" applyAlignment="1">
      <alignment horizontal="center" vertical="center"/>
    </xf>
    <xf numFmtId="0" fontId="14" fillId="0" borderId="17" xfId="0" applyFont="1" applyBorder="1"/>
    <xf numFmtId="0" fontId="0" fillId="0" borderId="13" xfId="0" applyBorder="1" applyAlignment="1">
      <alignment horizontal="center" vertical="center"/>
    </xf>
    <xf numFmtId="0" fontId="0" fillId="0" borderId="31" xfId="0" applyBorder="1" applyAlignment="1">
      <alignment horizontal="center" vertical="center"/>
    </xf>
    <xf numFmtId="0" fontId="2" fillId="0" borderId="49" xfId="0" applyFont="1" applyBorder="1" applyAlignment="1">
      <alignment horizontal="center" vertical="center"/>
    </xf>
    <xf numFmtId="0" fontId="2" fillId="11" borderId="64" xfId="0" applyFont="1" applyFill="1" applyBorder="1" applyAlignment="1">
      <alignment horizontal="center"/>
    </xf>
    <xf numFmtId="0" fontId="2" fillId="8" borderId="70" xfId="0" applyFont="1" applyFill="1" applyBorder="1" applyAlignment="1">
      <alignment horizontal="center"/>
    </xf>
    <xf numFmtId="0" fontId="2" fillId="0" borderId="49" xfId="0" applyFont="1" applyBorder="1" applyAlignment="1">
      <alignment horizontal="center"/>
    </xf>
    <xf numFmtId="0" fontId="0" fillId="10" borderId="0" xfId="0" applyFill="1"/>
    <xf numFmtId="165" fontId="3" fillId="12" borderId="49" xfId="0" applyNumberFormat="1" applyFont="1" applyFill="1" applyBorder="1" applyAlignment="1">
      <alignment horizontal="center" vertical="center" wrapText="1"/>
    </xf>
    <xf numFmtId="1" fontId="3" fillId="12" borderId="49" xfId="0" applyNumberFormat="1" applyFont="1" applyFill="1" applyBorder="1" applyAlignment="1">
      <alignment horizontal="center" vertical="center" wrapText="1"/>
    </xf>
    <xf numFmtId="166" fontId="2" fillId="12" borderId="49" xfId="2" applyNumberFormat="1" applyFont="1" applyFill="1" applyBorder="1" applyAlignment="1">
      <alignment horizontal="center" vertical="center"/>
    </xf>
    <xf numFmtId="0" fontId="0" fillId="10" borderId="14" xfId="0" applyFill="1" applyBorder="1" applyAlignment="1">
      <alignment horizontal="center" vertical="center"/>
    </xf>
    <xf numFmtId="3" fontId="2" fillId="13" borderId="49" xfId="0" applyNumberFormat="1" applyFont="1" applyFill="1" applyBorder="1" applyAlignment="1">
      <alignment horizontal="center" vertical="center"/>
    </xf>
    <xf numFmtId="0" fontId="0" fillId="10" borderId="0" xfId="0" applyFill="1" applyAlignment="1">
      <alignment vertical="center"/>
    </xf>
    <xf numFmtId="165" fontId="2" fillId="12" borderId="49" xfId="1" applyNumberFormat="1" applyFont="1" applyFill="1" applyBorder="1" applyAlignment="1">
      <alignment horizontal="center" vertical="center"/>
    </xf>
    <xf numFmtId="1" fontId="2" fillId="12" borderId="49" xfId="0" applyNumberFormat="1" applyFont="1" applyFill="1" applyBorder="1" applyAlignment="1">
      <alignment horizontal="center" vertical="center"/>
    </xf>
    <xf numFmtId="0" fontId="0" fillId="0" borderId="33" xfId="0" applyBorder="1" applyAlignment="1">
      <alignment horizontal="center" vertical="center"/>
    </xf>
    <xf numFmtId="0" fontId="3" fillId="12" borderId="14" xfId="0" applyFont="1" applyFill="1" applyBorder="1" applyAlignment="1">
      <alignment vertical="center" wrapText="1"/>
    </xf>
    <xf numFmtId="0" fontId="3" fillId="12" borderId="47" xfId="0" applyFont="1" applyFill="1" applyBorder="1" applyAlignment="1">
      <alignment vertical="center" wrapText="1"/>
    </xf>
    <xf numFmtId="0" fontId="3" fillId="12" borderId="39" xfId="0" applyFont="1" applyFill="1" applyBorder="1" applyAlignment="1">
      <alignment vertical="center" wrapText="1"/>
    </xf>
    <xf numFmtId="0" fontId="17" fillId="0" borderId="0" xfId="0" applyFont="1"/>
    <xf numFmtId="0" fontId="0" fillId="0" borderId="0" xfId="0" applyAlignment="1">
      <alignment horizontal="center"/>
    </xf>
    <xf numFmtId="3" fontId="0" fillId="0" borderId="49" xfId="0" applyNumberFormat="1" applyBorder="1" applyAlignment="1">
      <alignment horizontal="center" vertical="center"/>
    </xf>
    <xf numFmtId="10" fontId="0" fillId="0" borderId="32" xfId="0" applyNumberFormat="1" applyBorder="1" applyAlignment="1">
      <alignment horizontal="center" vertical="center"/>
    </xf>
    <xf numFmtId="10" fontId="0" fillId="0" borderId="4" xfId="0" applyNumberFormat="1" applyBorder="1" applyAlignment="1">
      <alignment horizontal="center" vertical="center"/>
    </xf>
    <xf numFmtId="3" fontId="0" fillId="0" borderId="27" xfId="0" applyNumberFormat="1" applyBorder="1" applyAlignment="1">
      <alignment horizontal="center" vertical="center"/>
    </xf>
    <xf numFmtId="0" fontId="2" fillId="14" borderId="4" xfId="0" applyFont="1" applyFill="1" applyBorder="1" applyAlignment="1">
      <alignment horizontal="center"/>
    </xf>
    <xf numFmtId="10" fontId="0" fillId="0" borderId="51" xfId="0" applyNumberFormat="1" applyBorder="1" applyAlignment="1">
      <alignment horizontal="center" vertical="center"/>
    </xf>
    <xf numFmtId="10" fontId="0" fillId="0" borderId="13" xfId="0" applyNumberFormat="1" applyBorder="1" applyAlignment="1">
      <alignment horizontal="center" vertical="center"/>
    </xf>
    <xf numFmtId="0" fontId="0" fillId="0" borderId="9" xfId="0" applyBorder="1" applyAlignment="1">
      <alignment horizontal="center" vertical="center"/>
    </xf>
    <xf numFmtId="0" fontId="4" fillId="14" borderId="45" xfId="0" applyFont="1" applyFill="1" applyBorder="1" applyAlignment="1">
      <alignment horizontal="center"/>
    </xf>
    <xf numFmtId="0" fontId="0" fillId="15" borderId="14" xfId="0" applyFill="1" applyBorder="1" applyAlignment="1">
      <alignment horizontal="center" vertical="center"/>
    </xf>
    <xf numFmtId="0" fontId="0" fillId="15" borderId="49" xfId="0" applyFill="1" applyBorder="1" applyAlignment="1">
      <alignment horizontal="center" vertical="center"/>
    </xf>
    <xf numFmtId="0" fontId="0" fillId="15" borderId="39" xfId="0" applyFill="1" applyBorder="1" applyAlignment="1">
      <alignment horizontal="center" vertical="center"/>
    </xf>
    <xf numFmtId="0" fontId="2" fillId="0" borderId="0" xfId="0" applyFont="1"/>
    <xf numFmtId="3" fontId="0" fillId="0" borderId="0" xfId="0" applyNumberFormat="1" applyAlignment="1">
      <alignment horizontal="center" vertical="center"/>
    </xf>
    <xf numFmtId="0" fontId="0" fillId="0" borderId="57" xfId="0" applyBorder="1" applyAlignment="1">
      <alignment horizontal="center" vertical="center"/>
    </xf>
    <xf numFmtId="0" fontId="5" fillId="2" borderId="0" xfId="0" applyFont="1" applyFill="1" applyAlignment="1">
      <alignment horizontal="left" vertical="center"/>
    </xf>
    <xf numFmtId="0" fontId="0" fillId="15" borderId="47" xfId="0" applyFill="1" applyBorder="1" applyAlignment="1">
      <alignment horizontal="center" vertical="center" wrapText="1"/>
    </xf>
    <xf numFmtId="0" fontId="2" fillId="0" borderId="39" xfId="0" applyFont="1" applyBorder="1" applyAlignment="1">
      <alignment horizontal="center" vertical="center"/>
    </xf>
    <xf numFmtId="0" fontId="10" fillId="0" borderId="57" xfId="0" applyFont="1" applyBorder="1" applyAlignment="1">
      <alignment vertical="center"/>
    </xf>
    <xf numFmtId="3" fontId="0" fillId="13" borderId="13" xfId="0" applyNumberFormat="1" applyFill="1" applyBorder="1" applyAlignment="1">
      <alignment horizontal="center" vertical="center"/>
    </xf>
    <xf numFmtId="3" fontId="0" fillId="13" borderId="0" xfId="0" applyNumberFormat="1" applyFill="1" applyAlignment="1">
      <alignment horizontal="center" vertical="center"/>
    </xf>
    <xf numFmtId="3" fontId="0" fillId="13" borderId="57" xfId="0" applyNumberFormat="1" applyFill="1" applyBorder="1" applyAlignment="1">
      <alignment horizontal="center" vertical="center"/>
    </xf>
    <xf numFmtId="0" fontId="4" fillId="14" borderId="74" xfId="0" applyFont="1" applyFill="1" applyBorder="1" applyAlignment="1">
      <alignment horizontal="center" vertical="center"/>
    </xf>
    <xf numFmtId="0" fontId="3" fillId="12" borderId="39" xfId="0" applyFont="1" applyFill="1" applyBorder="1" applyAlignment="1">
      <alignment horizontal="left" vertical="center" wrapText="1"/>
    </xf>
    <xf numFmtId="0" fontId="0" fillId="0" borderId="12" xfId="0" applyBorder="1"/>
    <xf numFmtId="0" fontId="22" fillId="0" borderId="10" xfId="0" applyFont="1" applyBorder="1" applyAlignment="1">
      <alignment vertical="center"/>
    </xf>
    <xf numFmtId="14" fontId="22" fillId="0" borderId="43" xfId="0" applyNumberFormat="1" applyFont="1" applyBorder="1" applyAlignment="1">
      <alignment vertical="center"/>
    </xf>
    <xf numFmtId="0" fontId="23" fillId="0" borderId="12" xfId="0" applyFont="1" applyBorder="1" applyAlignment="1">
      <alignment vertical="center"/>
    </xf>
    <xf numFmtId="0" fontId="22" fillId="0" borderId="10" xfId="0" applyFont="1" applyBorder="1" applyAlignment="1">
      <alignment horizontal="right" vertical="center"/>
    </xf>
    <xf numFmtId="1" fontId="22" fillId="0" borderId="12" xfId="0" applyNumberFormat="1" applyFont="1" applyBorder="1" applyAlignment="1">
      <alignment horizontal="left" vertical="center"/>
    </xf>
    <xf numFmtId="0" fontId="10" fillId="0" borderId="10" xfId="0" applyFont="1" applyBorder="1" applyAlignment="1">
      <alignment vertical="center"/>
    </xf>
    <xf numFmtId="0" fontId="10" fillId="0" borderId="43" xfId="0" applyFont="1" applyBorder="1" applyAlignment="1">
      <alignment vertical="center"/>
    </xf>
    <xf numFmtId="0" fontId="10" fillId="0" borderId="43" xfId="0" applyFont="1" applyBorder="1" applyAlignment="1">
      <alignment horizontal="right" vertical="center"/>
    </xf>
    <xf numFmtId="0" fontId="19" fillId="10" borderId="43" xfId="0" applyFont="1" applyFill="1" applyBorder="1" applyAlignment="1">
      <alignment horizontal="left"/>
    </xf>
    <xf numFmtId="0" fontId="0" fillId="0" borderId="43" xfId="0" applyBorder="1"/>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0" fontId="16" fillId="0" borderId="7" xfId="0" applyFont="1" applyBorder="1" applyAlignment="1">
      <alignment horizontal="left" vertical="center" wrapText="1"/>
    </xf>
    <xf numFmtId="0" fontId="0" fillId="0" borderId="0" xfId="0" applyAlignment="1">
      <alignment vertical="center"/>
    </xf>
    <xf numFmtId="0" fontId="18" fillId="14" borderId="9" xfId="0" applyFont="1" applyFill="1" applyBorder="1" applyAlignment="1">
      <alignment vertical="center"/>
    </xf>
    <xf numFmtId="1" fontId="0" fillId="0" borderId="45" xfId="0" applyNumberFormat="1" applyBorder="1" applyAlignment="1">
      <alignment horizontal="center" vertical="center"/>
    </xf>
    <xf numFmtId="1" fontId="0" fillId="0" borderId="26" xfId="0" applyNumberFormat="1" applyBorder="1" applyAlignment="1">
      <alignment horizontal="center" vertical="center"/>
    </xf>
    <xf numFmtId="1" fontId="0" fillId="0" borderId="4" xfId="0" applyNumberFormat="1" applyBorder="1" applyAlignment="1">
      <alignment horizontal="center" vertical="center"/>
    </xf>
    <xf numFmtId="0" fontId="2" fillId="0" borderId="13" xfId="0" applyFont="1" applyBorder="1" applyAlignment="1">
      <alignment horizontal="center"/>
    </xf>
    <xf numFmtId="1" fontId="0" fillId="0" borderId="10" xfId="2" applyNumberFormat="1" applyFont="1" applyBorder="1" applyAlignment="1">
      <alignment horizontal="center"/>
    </xf>
    <xf numFmtId="0" fontId="4" fillId="14" borderId="0" xfId="0" applyFont="1" applyFill="1" applyAlignment="1">
      <alignment horizontal="center" vertical="center"/>
    </xf>
    <xf numFmtId="0" fontId="2" fillId="0" borderId="0" xfId="0" applyFont="1" applyAlignment="1">
      <alignment vertical="center"/>
    </xf>
    <xf numFmtId="166" fontId="3" fillId="12" borderId="49" xfId="2" applyNumberFormat="1" applyFont="1" applyFill="1" applyBorder="1" applyAlignment="1">
      <alignment horizontal="center" vertical="center" wrapText="1"/>
    </xf>
    <xf numFmtId="166" fontId="0" fillId="0" borderId="45" xfId="2" applyNumberFormat="1" applyFont="1" applyBorder="1" applyAlignment="1">
      <alignment horizontal="center" vertical="center"/>
    </xf>
    <xf numFmtId="1" fontId="0" fillId="0" borderId="20" xfId="0" applyNumberFormat="1" applyBorder="1" applyAlignment="1">
      <alignment horizontal="center" vertical="center"/>
    </xf>
    <xf numFmtId="1" fontId="0" fillId="0" borderId="35" xfId="0" applyNumberFormat="1" applyBorder="1" applyAlignment="1">
      <alignment horizontal="center" vertical="center"/>
    </xf>
    <xf numFmtId="166" fontId="3" fillId="12" borderId="31" xfId="2" applyNumberFormat="1" applyFont="1" applyFill="1" applyBorder="1" applyAlignment="1">
      <alignment horizontal="center" vertical="center" wrapText="1"/>
    </xf>
    <xf numFmtId="166" fontId="3" fillId="12" borderId="4" xfId="2" applyNumberFormat="1" applyFont="1" applyFill="1" applyBorder="1" applyAlignment="1">
      <alignment horizontal="center" vertical="center" wrapText="1"/>
    </xf>
    <xf numFmtId="166" fontId="0" fillId="0" borderId="40" xfId="2" applyNumberFormat="1" applyFont="1" applyBorder="1" applyAlignment="1">
      <alignment horizontal="center" vertical="center"/>
    </xf>
    <xf numFmtId="166" fontId="0" fillId="0" borderId="38" xfId="2" applyNumberFormat="1" applyFont="1" applyBorder="1" applyAlignment="1">
      <alignment horizontal="center" vertical="center"/>
    </xf>
    <xf numFmtId="166" fontId="0" fillId="0" borderId="0" xfId="0" applyNumberFormat="1" applyAlignment="1">
      <alignment vertical="center"/>
    </xf>
    <xf numFmtId="0" fontId="2" fillId="0" borderId="0" xfId="0" applyFont="1" applyAlignment="1">
      <alignment horizontal="right" vertical="center"/>
    </xf>
    <xf numFmtId="0" fontId="0" fillId="0" borderId="0" xfId="0" applyAlignment="1">
      <alignment horizontal="right" vertical="center"/>
    </xf>
    <xf numFmtId="1" fontId="0" fillId="0" borderId="0" xfId="0" applyNumberFormat="1" applyAlignment="1">
      <alignment vertical="center"/>
    </xf>
    <xf numFmtId="0" fontId="16" fillId="0" borderId="20" xfId="0" applyFont="1" applyBorder="1" applyAlignment="1">
      <alignment horizontal="right" vertical="center" wrapText="1"/>
    </xf>
    <xf numFmtId="0" fontId="16" fillId="0" borderId="17" xfId="0" applyFont="1" applyBorder="1" applyAlignment="1">
      <alignment horizontal="right" vertical="center" wrapText="1"/>
    </xf>
    <xf numFmtId="0" fontId="16" fillId="0" borderId="7" xfId="0" applyFont="1" applyBorder="1" applyAlignment="1">
      <alignment horizontal="right" vertical="center" wrapText="1"/>
    </xf>
    <xf numFmtId="1" fontId="0" fillId="0" borderId="19" xfId="0" applyNumberFormat="1" applyBorder="1" applyAlignment="1">
      <alignment vertical="center"/>
    </xf>
    <xf numFmtId="1" fontId="0" fillId="0" borderId="16" xfId="0" applyNumberFormat="1" applyBorder="1" applyAlignment="1">
      <alignment vertical="center"/>
    </xf>
    <xf numFmtId="166" fontId="0" fillId="0" borderId="19" xfId="2" applyNumberFormat="1" applyFont="1" applyBorder="1" applyAlignment="1">
      <alignment vertical="center"/>
    </xf>
    <xf numFmtId="1" fontId="0" fillId="0" borderId="2" xfId="0" applyNumberFormat="1" applyBorder="1" applyAlignment="1">
      <alignment vertical="center"/>
    </xf>
    <xf numFmtId="166" fontId="0" fillId="0" borderId="11" xfId="2" applyNumberFormat="1" applyFont="1" applyBorder="1" applyAlignment="1">
      <alignment vertical="center"/>
    </xf>
    <xf numFmtId="166" fontId="0" fillId="0" borderId="16" xfId="2" applyNumberFormat="1" applyFont="1" applyBorder="1" applyAlignment="1">
      <alignment vertical="center"/>
    </xf>
    <xf numFmtId="166" fontId="0" fillId="0" borderId="23" xfId="2" applyNumberFormat="1" applyFont="1" applyBorder="1" applyAlignment="1">
      <alignment vertical="center"/>
    </xf>
    <xf numFmtId="0" fontId="0" fillId="0" borderId="0" xfId="0" applyAlignment="1">
      <alignment horizontal="left" vertical="center"/>
    </xf>
    <xf numFmtId="166" fontId="0" fillId="0" borderId="0" xfId="0" applyNumberFormat="1" applyAlignment="1">
      <alignment horizontal="left" vertical="center"/>
    </xf>
    <xf numFmtId="0" fontId="3" fillId="12" borderId="11" xfId="0" applyFont="1" applyFill="1" applyBorder="1" applyAlignment="1">
      <alignment horizontal="right" vertical="center" wrapText="1"/>
    </xf>
    <xf numFmtId="166" fontId="0" fillId="0" borderId="0" xfId="2" applyNumberFormat="1" applyFont="1"/>
    <xf numFmtId="0" fontId="16" fillId="0" borderId="8" xfId="0" applyFont="1" applyBorder="1" applyAlignment="1">
      <alignment horizontal="right" vertical="center" wrapText="1"/>
    </xf>
    <xf numFmtId="166" fontId="0" fillId="0" borderId="71" xfId="2" applyNumberFormat="1" applyFont="1" applyBorder="1" applyAlignment="1">
      <alignment vertical="center"/>
    </xf>
    <xf numFmtId="0" fontId="3" fillId="12" borderId="29" xfId="0" applyFont="1" applyFill="1" applyBorder="1" applyAlignment="1">
      <alignment horizontal="right" vertical="center" wrapText="1"/>
    </xf>
    <xf numFmtId="166" fontId="0" fillId="0" borderId="34" xfId="2" applyNumberFormat="1" applyFont="1" applyBorder="1" applyAlignment="1">
      <alignment vertical="center"/>
    </xf>
    <xf numFmtId="0" fontId="0" fillId="0" borderId="79" xfId="0" applyBorder="1" applyAlignment="1">
      <alignment horizontal="right" vertical="center"/>
    </xf>
    <xf numFmtId="166" fontId="0" fillId="0" borderId="80" xfId="2" applyNumberFormat="1" applyFont="1" applyBorder="1" applyAlignment="1">
      <alignment vertical="center"/>
    </xf>
    <xf numFmtId="166" fontId="0" fillId="0" borderId="79" xfId="0" applyNumberFormat="1" applyBorder="1" applyAlignment="1">
      <alignment horizontal="left" vertical="center"/>
    </xf>
    <xf numFmtId="0" fontId="2" fillId="0" borderId="23" xfId="0" applyFont="1" applyBorder="1" applyAlignment="1">
      <alignment horizontal="center" vertical="center"/>
    </xf>
    <xf numFmtId="0" fontId="2" fillId="0" borderId="62" xfId="0" applyFont="1" applyBorder="1" applyAlignment="1">
      <alignment horizontal="center" vertical="center"/>
    </xf>
    <xf numFmtId="0" fontId="2" fillId="0" borderId="22" xfId="0" applyFont="1" applyBorder="1" applyAlignment="1">
      <alignment horizontal="center" vertical="center"/>
    </xf>
    <xf numFmtId="0" fontId="24" fillId="0" borderId="0" xfId="0" applyFont="1"/>
    <xf numFmtId="0" fontId="25" fillId="0" borderId="0" xfId="0" applyFont="1"/>
    <xf numFmtId="0" fontId="0" fillId="0" borderId="0" xfId="0" quotePrefix="1"/>
    <xf numFmtId="0" fontId="2" fillId="0" borderId="0" xfId="0" quotePrefix="1" applyFont="1"/>
    <xf numFmtId="14" fontId="0" fillId="0" borderId="0" xfId="0" applyNumberFormat="1" applyAlignment="1">
      <alignment horizontal="center" vertical="center"/>
    </xf>
    <xf numFmtId="0" fontId="28" fillId="2" borderId="0" xfId="0" applyFont="1" applyFill="1" applyAlignment="1">
      <alignment horizontal="center" vertical="center"/>
    </xf>
    <xf numFmtId="0" fontId="28" fillId="2" borderId="0" xfId="0" applyFont="1" applyFill="1" applyAlignment="1">
      <alignment horizontal="right" vertical="center"/>
    </xf>
    <xf numFmtId="0" fontId="29" fillId="8" borderId="0" xfId="0" applyFont="1" applyFill="1" applyAlignment="1">
      <alignment horizontal="center" vertical="center" wrapText="1"/>
    </xf>
    <xf numFmtId="0" fontId="28" fillId="17" borderId="0" xfId="0" applyFont="1" applyFill="1" applyAlignment="1">
      <alignment horizontal="center" vertical="center"/>
    </xf>
    <xf numFmtId="0" fontId="30" fillId="0" borderId="0" xfId="0" applyFont="1"/>
    <xf numFmtId="0" fontId="30" fillId="4" borderId="54" xfId="0" applyFont="1" applyFill="1" applyBorder="1" applyAlignment="1">
      <alignment horizontal="center" vertical="center"/>
    </xf>
    <xf numFmtId="0" fontId="30" fillId="4" borderId="54" xfId="0" applyFont="1" applyFill="1" applyBorder="1"/>
    <xf numFmtId="0" fontId="31" fillId="0" borderId="68" xfId="0" applyFont="1" applyBorder="1" applyAlignment="1">
      <alignment horizontal="center" vertical="center"/>
    </xf>
    <xf numFmtId="0" fontId="31" fillId="7" borderId="11" xfId="0" applyFont="1" applyFill="1" applyBorder="1" applyAlignment="1">
      <alignment horizontal="center" vertical="center"/>
    </xf>
    <xf numFmtId="0" fontId="31" fillId="6" borderId="11" xfId="0" applyFont="1" applyFill="1" applyBorder="1" applyAlignment="1">
      <alignment horizontal="center" vertical="center"/>
    </xf>
    <xf numFmtId="0" fontId="32" fillId="5" borderId="62" xfId="0" applyFont="1" applyFill="1" applyBorder="1" applyAlignment="1">
      <alignment horizontal="center" vertical="center"/>
    </xf>
    <xf numFmtId="0" fontId="30" fillId="4" borderId="0" xfId="0" applyFont="1" applyFill="1"/>
    <xf numFmtId="0" fontId="33" fillId="0" borderId="30" xfId="0" applyFont="1" applyBorder="1" applyAlignment="1" applyProtection="1">
      <alignment vertical="center" wrapText="1" shrinkToFit="1"/>
      <protection locked="0"/>
    </xf>
    <xf numFmtId="0" fontId="34" fillId="0" borderId="29" xfId="0" applyFont="1" applyBorder="1" applyAlignment="1" applyProtection="1">
      <alignment horizontal="left" vertical="center" wrapText="1"/>
      <protection locked="0"/>
    </xf>
    <xf numFmtId="0" fontId="33" fillId="0" borderId="29" xfId="0" applyFont="1" applyBorder="1" applyAlignment="1" applyProtection="1">
      <alignment vertical="center" wrapText="1" shrinkToFit="1"/>
      <protection locked="0"/>
    </xf>
    <xf numFmtId="0" fontId="33" fillId="0" borderId="12" xfId="0" applyFont="1" applyBorder="1" applyAlignment="1" applyProtection="1">
      <alignment vertical="center" wrapText="1" shrinkToFit="1"/>
      <protection locked="0"/>
    </xf>
    <xf numFmtId="0" fontId="34" fillId="0" borderId="11" xfId="0" applyFont="1" applyBorder="1" applyAlignment="1" applyProtection="1">
      <alignment horizontal="left" vertical="center" wrapText="1"/>
      <protection locked="0"/>
    </xf>
    <xf numFmtId="0" fontId="33" fillId="0" borderId="11" xfId="0" applyFont="1" applyBorder="1" applyAlignment="1" applyProtection="1">
      <alignment vertical="center" wrapText="1" shrinkToFit="1"/>
      <protection locked="0"/>
    </xf>
    <xf numFmtId="0" fontId="33" fillId="0" borderId="3" xfId="0" applyFont="1" applyBorder="1" applyAlignment="1" applyProtection="1">
      <alignment vertical="center" wrapText="1" shrinkToFit="1"/>
      <protection locked="0"/>
    </xf>
    <xf numFmtId="0" fontId="34" fillId="0" borderId="2" xfId="0" applyFont="1" applyBorder="1" applyAlignment="1" applyProtection="1">
      <alignment horizontal="left" vertical="center" wrapText="1"/>
      <protection locked="0"/>
    </xf>
    <xf numFmtId="0" fontId="33" fillId="0" borderId="2" xfId="0" applyFont="1" applyBorder="1" applyAlignment="1" applyProtection="1">
      <alignment vertical="center" wrapText="1" shrinkToFit="1"/>
      <protection locked="0"/>
    </xf>
    <xf numFmtId="0" fontId="33" fillId="6" borderId="12" xfId="0" applyFont="1" applyFill="1" applyBorder="1" applyAlignment="1" applyProtection="1">
      <alignment vertical="center" wrapText="1" shrinkToFit="1"/>
      <protection locked="0"/>
    </xf>
    <xf numFmtId="0" fontId="34" fillId="6" borderId="11" xfId="0" applyFont="1" applyFill="1" applyBorder="1" applyAlignment="1" applyProtection="1">
      <alignment horizontal="left" vertical="center" wrapText="1"/>
      <protection locked="0"/>
    </xf>
    <xf numFmtId="0" fontId="33" fillId="6" borderId="11" xfId="0" applyFont="1" applyFill="1" applyBorder="1" applyAlignment="1" applyProtection="1">
      <alignment vertical="center" wrapText="1" shrinkToFit="1"/>
      <protection locked="0"/>
    </xf>
    <xf numFmtId="0" fontId="37" fillId="6" borderId="40" xfId="0" applyFont="1" applyFill="1" applyBorder="1" applyAlignment="1">
      <alignment horizontal="center" vertical="center"/>
    </xf>
    <xf numFmtId="0" fontId="37" fillId="6" borderId="38" xfId="0" applyFont="1" applyFill="1" applyBorder="1" applyAlignment="1">
      <alignment horizontal="center" vertical="center"/>
    </xf>
    <xf numFmtId="0" fontId="30" fillId="6" borderId="0" xfId="0" applyFont="1" applyFill="1"/>
    <xf numFmtId="0" fontId="33" fillId="0" borderId="29" xfId="0" applyFont="1" applyBorder="1" applyAlignment="1" applyProtection="1">
      <alignment horizontal="left" vertical="center" wrapText="1"/>
      <protection locked="0"/>
    </xf>
    <xf numFmtId="0" fontId="33" fillId="0" borderId="56" xfId="0" applyFont="1" applyBorder="1" applyAlignment="1" applyProtection="1">
      <alignment vertical="center" wrapText="1" shrinkToFit="1"/>
      <protection locked="0"/>
    </xf>
    <xf numFmtId="0" fontId="33" fillId="0" borderId="11" xfId="0" applyFont="1" applyBorder="1" applyAlignment="1" applyProtection="1">
      <alignment horizontal="left" vertical="center" wrapText="1"/>
      <protection locked="0"/>
    </xf>
    <xf numFmtId="0" fontId="33" fillId="0" borderId="10" xfId="0" applyFont="1" applyBorder="1" applyAlignment="1" applyProtection="1">
      <alignment horizontal="left" vertical="center" wrapText="1"/>
      <protection locked="0"/>
    </xf>
    <xf numFmtId="0" fontId="33" fillId="0" borderId="2" xfId="0" applyFont="1" applyBorder="1" applyAlignment="1" applyProtection="1">
      <alignment horizontal="left" vertical="center" wrapText="1"/>
      <protection locked="0"/>
    </xf>
    <xf numFmtId="0" fontId="33" fillId="0" borderId="1" xfId="0" applyFont="1" applyBorder="1" applyAlignment="1" applyProtection="1">
      <alignment horizontal="left" vertical="center" wrapText="1"/>
      <protection locked="0"/>
    </xf>
    <xf numFmtId="0" fontId="30" fillId="0" borderId="29" xfId="0" applyFont="1" applyBorder="1" applyAlignment="1" applyProtection="1">
      <alignment horizontal="left" vertical="center" wrapText="1"/>
      <protection locked="0"/>
    </xf>
    <xf numFmtId="0" fontId="30" fillId="0" borderId="11" xfId="0" applyFont="1" applyBorder="1" applyAlignment="1" applyProtection="1">
      <alignment horizontal="left" vertical="center" wrapText="1"/>
      <protection locked="0"/>
    </xf>
    <xf numFmtId="0" fontId="16" fillId="0" borderId="11" xfId="0" applyFont="1" applyBorder="1" applyAlignment="1" applyProtection="1">
      <alignment horizontal="left" vertical="center" wrapText="1"/>
      <protection locked="0"/>
    </xf>
    <xf numFmtId="0" fontId="30" fillId="0" borderId="2" xfId="0" applyFont="1" applyBorder="1" applyAlignment="1" applyProtection="1">
      <alignment horizontal="left" vertical="center" wrapText="1"/>
      <protection locked="0"/>
    </xf>
    <xf numFmtId="0" fontId="16" fillId="0" borderId="2" xfId="0" applyFont="1" applyBorder="1" applyAlignment="1" applyProtection="1">
      <alignment horizontal="left" vertical="center" wrapText="1"/>
      <protection locked="0"/>
    </xf>
    <xf numFmtId="0" fontId="30" fillId="0" borderId="0" xfId="0" applyFont="1" applyAlignment="1">
      <alignment horizontal="center" vertical="center"/>
    </xf>
    <xf numFmtId="0" fontId="30" fillId="0" borderId="0" xfId="0" applyFont="1" applyAlignment="1">
      <alignment horizontal="center"/>
    </xf>
    <xf numFmtId="0" fontId="3" fillId="6" borderId="4" xfId="0" applyFont="1" applyFill="1" applyBorder="1" applyAlignment="1">
      <alignment horizontal="center" vertical="center" wrapText="1"/>
    </xf>
    <xf numFmtId="0" fontId="33" fillId="6" borderId="10" xfId="0" applyFont="1" applyFill="1" applyBorder="1" applyAlignment="1" applyProtection="1">
      <alignment vertical="center" wrapText="1" shrinkToFit="1"/>
      <protection locked="0"/>
    </xf>
    <xf numFmtId="0" fontId="16" fillId="0" borderId="35" xfId="0" applyFont="1" applyBorder="1" applyAlignment="1">
      <alignment horizontal="right" vertical="center" wrapText="1"/>
    </xf>
    <xf numFmtId="0" fontId="16" fillId="0" borderId="39" xfId="0" applyFont="1" applyBorder="1" applyAlignment="1">
      <alignment horizontal="right" vertical="center" wrapText="1"/>
    </xf>
    <xf numFmtId="1" fontId="0" fillId="0" borderId="37" xfId="0" applyNumberFormat="1" applyBorder="1" applyAlignment="1">
      <alignment vertical="center"/>
    </xf>
    <xf numFmtId="1" fontId="0" fillId="0" borderId="36" xfId="0" applyNumberFormat="1" applyBorder="1" applyAlignment="1">
      <alignment vertical="center"/>
    </xf>
    <xf numFmtId="0" fontId="39" fillId="0" borderId="0" xfId="0" applyFont="1"/>
    <xf numFmtId="0" fontId="41" fillId="0" borderId="11" xfId="0" applyFont="1" applyBorder="1" applyAlignment="1" applyProtection="1">
      <alignment vertical="center" wrapText="1" shrinkToFit="1"/>
      <protection locked="0"/>
    </xf>
    <xf numFmtId="0" fontId="41" fillId="0" borderId="2" xfId="0" applyFont="1" applyBorder="1" applyAlignment="1" applyProtection="1">
      <alignment vertical="center" wrapText="1" shrinkToFit="1"/>
      <protection locked="0"/>
    </xf>
    <xf numFmtId="0" fontId="16" fillId="6" borderId="11" xfId="0" applyFont="1" applyFill="1" applyBorder="1" applyAlignment="1" applyProtection="1">
      <alignment horizontal="left" vertical="center" wrapText="1"/>
      <protection locked="0"/>
    </xf>
    <xf numFmtId="0" fontId="41" fillId="6" borderId="11" xfId="0" applyFont="1" applyFill="1" applyBorder="1" applyAlignment="1" applyProtection="1">
      <alignment vertical="center" wrapText="1" shrinkToFit="1"/>
      <protection locked="0"/>
    </xf>
    <xf numFmtId="0" fontId="41" fillId="0" borderId="11" xfId="0" applyFont="1" applyBorder="1" applyAlignment="1" applyProtection="1">
      <alignment horizontal="left" vertical="center" wrapText="1"/>
      <protection locked="0"/>
    </xf>
    <xf numFmtId="0" fontId="41" fillId="0" borderId="2" xfId="0" applyFont="1" applyBorder="1" applyAlignment="1" applyProtection="1">
      <alignment horizontal="left" vertical="center" wrapText="1"/>
      <protection locked="0"/>
    </xf>
    <xf numFmtId="0" fontId="5" fillId="0" borderId="39" xfId="0" applyFont="1" applyBorder="1" applyAlignment="1">
      <alignment horizontal="center" vertical="center" wrapText="1"/>
    </xf>
    <xf numFmtId="0" fontId="44" fillId="0" borderId="11" xfId="0" applyFont="1" applyBorder="1" applyAlignment="1" applyProtection="1">
      <alignment horizontal="left" vertical="center" wrapText="1"/>
      <protection locked="0"/>
    </xf>
    <xf numFmtId="0" fontId="42" fillId="0" borderId="11" xfId="0" applyFont="1" applyBorder="1" applyAlignment="1" applyProtection="1">
      <alignment horizontal="left" vertical="center" wrapText="1"/>
      <protection locked="0"/>
    </xf>
    <xf numFmtId="0" fontId="45" fillId="0" borderId="11" xfId="0" applyFont="1" applyBorder="1" applyAlignment="1" applyProtection="1">
      <alignment horizontal="left" vertical="center" wrapText="1"/>
      <protection locked="0"/>
    </xf>
    <xf numFmtId="0" fontId="45" fillId="0" borderId="68" xfId="0" applyFont="1" applyBorder="1" applyAlignment="1" applyProtection="1">
      <alignment horizontal="left" vertical="center" wrapText="1"/>
      <protection locked="0"/>
    </xf>
    <xf numFmtId="0" fontId="3" fillId="0" borderId="0" xfId="0" applyFont="1" applyAlignment="1">
      <alignment horizontal="center" vertical="center" wrapText="1"/>
    </xf>
    <xf numFmtId="0" fontId="37" fillId="6" borderId="26" xfId="0" applyFont="1" applyFill="1" applyBorder="1" applyAlignment="1">
      <alignment horizontal="center" vertical="center"/>
    </xf>
    <xf numFmtId="0" fontId="33" fillId="6" borderId="30" xfId="0" applyFont="1" applyFill="1" applyBorder="1" applyAlignment="1" applyProtection="1">
      <alignment vertical="center" wrapText="1" shrinkToFit="1"/>
      <protection locked="0"/>
    </xf>
    <xf numFmtId="0" fontId="34" fillId="6" borderId="29" xfId="0" applyFont="1" applyFill="1" applyBorder="1" applyAlignment="1" applyProtection="1">
      <alignment horizontal="left" vertical="center" wrapText="1"/>
      <protection locked="0"/>
    </xf>
    <xf numFmtId="0" fontId="33" fillId="6" borderId="29" xfId="0" applyFont="1" applyFill="1" applyBorder="1" applyAlignment="1" applyProtection="1">
      <alignment vertical="center" wrapText="1" shrinkToFit="1"/>
      <protection locked="0"/>
    </xf>
    <xf numFmtId="0" fontId="33" fillId="6" borderId="28" xfId="0" applyFont="1" applyFill="1" applyBorder="1" applyAlignment="1" applyProtection="1">
      <alignment vertical="center" wrapText="1" shrinkToFit="1"/>
      <protection locked="0"/>
    </xf>
    <xf numFmtId="0" fontId="5" fillId="0" borderId="27" xfId="0" applyFont="1" applyBorder="1" applyAlignment="1">
      <alignment horizontal="center" vertical="center" wrapText="1"/>
    </xf>
    <xf numFmtId="0" fontId="3" fillId="0" borderId="11" xfId="0" applyFont="1" applyBorder="1" applyAlignment="1">
      <alignment horizontal="center" vertical="center" wrapText="1"/>
    </xf>
    <xf numFmtId="0" fontId="42" fillId="0" borderId="11" xfId="0" applyFont="1" applyBorder="1" applyAlignment="1" applyProtection="1">
      <alignment vertical="center" wrapText="1" shrinkToFit="1"/>
      <protection locked="0"/>
    </xf>
    <xf numFmtId="0" fontId="43" fillId="0" borderId="11" xfId="0" applyFont="1" applyBorder="1" applyAlignment="1" applyProtection="1">
      <alignment vertical="center" wrapText="1" shrinkToFit="1"/>
      <protection locked="0"/>
    </xf>
    <xf numFmtId="0" fontId="38" fillId="0" borderId="11" xfId="0" applyFont="1" applyBorder="1" applyAlignment="1" applyProtection="1">
      <alignment vertical="center" wrapText="1" shrinkToFit="1"/>
      <protection locked="0"/>
    </xf>
    <xf numFmtId="0" fontId="35"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3" fillId="0" borderId="11" xfId="0" applyFont="1" applyBorder="1" applyAlignment="1" applyProtection="1">
      <alignment horizontal="left" vertical="center" wrapText="1" shrinkToFit="1"/>
      <protection locked="0"/>
    </xf>
    <xf numFmtId="0" fontId="37" fillId="6" borderId="11" xfId="0" applyFont="1" applyFill="1" applyBorder="1" applyAlignment="1">
      <alignment horizontal="center" vertical="center"/>
    </xf>
    <xf numFmtId="0" fontId="37" fillId="6" borderId="11" xfId="0" applyFont="1" applyFill="1" applyBorder="1" applyAlignment="1">
      <alignment horizontal="center" vertical="center" wrapText="1"/>
    </xf>
    <xf numFmtId="0" fontId="30" fillId="4" borderId="51" xfId="0" applyFont="1" applyFill="1" applyBorder="1"/>
    <xf numFmtId="0" fontId="27" fillId="20" borderId="11" xfId="0" applyFont="1" applyFill="1" applyBorder="1" applyAlignment="1">
      <alignment horizontal="center" vertical="center" wrapText="1"/>
    </xf>
    <xf numFmtId="0" fontId="5" fillId="2" borderId="44" xfId="0" applyFont="1" applyFill="1" applyBorder="1" applyAlignment="1">
      <alignment vertical="center"/>
    </xf>
    <xf numFmtId="0" fontId="5" fillId="2" borderId="3" xfId="0" applyFont="1" applyFill="1" applyBorder="1" applyAlignment="1">
      <alignment vertical="center"/>
    </xf>
    <xf numFmtId="0" fontId="27" fillId="15" borderId="11" xfId="0" applyFont="1" applyFill="1" applyBorder="1" applyAlignment="1">
      <alignment horizontal="center" vertical="center"/>
    </xf>
    <xf numFmtId="0" fontId="27" fillId="15" borderId="11" xfId="0" applyFont="1" applyFill="1" applyBorder="1" applyAlignment="1">
      <alignment horizontal="center" vertical="center" wrapText="1"/>
    </xf>
    <xf numFmtId="0" fontId="35" fillId="15" borderId="11" xfId="0" applyFont="1" applyFill="1" applyBorder="1" applyAlignment="1">
      <alignment horizontal="center" vertical="center"/>
    </xf>
    <xf numFmtId="0" fontId="35" fillId="15" borderId="11" xfId="0" applyFont="1" applyFill="1" applyBorder="1" applyAlignment="1">
      <alignment horizontal="center" vertical="center" wrapText="1"/>
    </xf>
    <xf numFmtId="0" fontId="29" fillId="15" borderId="11" xfId="0" applyFont="1" applyFill="1" applyBorder="1" applyAlignment="1">
      <alignment horizontal="center" vertical="center"/>
    </xf>
    <xf numFmtId="0" fontId="35" fillId="21" borderId="11" xfId="0" applyFont="1" applyFill="1" applyBorder="1" applyAlignment="1">
      <alignment horizontal="center" vertical="center"/>
    </xf>
    <xf numFmtId="0" fontId="35" fillId="21" borderId="11" xfId="0" applyFont="1" applyFill="1" applyBorder="1" applyAlignment="1">
      <alignment horizontal="center" vertical="center" wrapText="1"/>
    </xf>
    <xf numFmtId="0" fontId="27" fillId="21" borderId="11" xfId="0" applyFont="1" applyFill="1" applyBorder="1" applyAlignment="1">
      <alignment horizontal="center" vertical="center"/>
    </xf>
    <xf numFmtId="0" fontId="27" fillId="21" borderId="11" xfId="0" applyFont="1" applyFill="1" applyBorder="1" applyAlignment="1">
      <alignment horizontal="center" vertical="center" wrapText="1"/>
    </xf>
    <xf numFmtId="0" fontId="27" fillId="22" borderId="11" xfId="0" applyFont="1" applyFill="1" applyBorder="1" applyAlignment="1">
      <alignment horizontal="center" vertical="center"/>
    </xf>
    <xf numFmtId="0" fontId="3" fillId="0" borderId="29" xfId="0" applyFont="1" applyBorder="1" applyAlignment="1">
      <alignment horizontal="center" vertical="center" wrapText="1"/>
    </xf>
    <xf numFmtId="0" fontId="27" fillId="20" borderId="68" xfId="0" applyFont="1" applyFill="1" applyBorder="1" applyAlignment="1">
      <alignment horizontal="center" vertical="center" wrapText="1"/>
    </xf>
    <xf numFmtId="0" fontId="3" fillId="0" borderId="68" xfId="0" applyFont="1" applyBorder="1" applyAlignment="1">
      <alignment horizontal="center" vertical="center" wrapText="1"/>
    </xf>
    <xf numFmtId="0" fontId="42" fillId="0" borderId="68" xfId="0" applyFont="1" applyBorder="1" applyAlignment="1" applyProtection="1">
      <alignment vertical="center" wrapText="1" shrinkToFit="1"/>
      <protection locked="0"/>
    </xf>
    <xf numFmtId="0" fontId="34" fillId="0" borderId="68" xfId="0" applyFont="1" applyBorder="1" applyAlignment="1" applyProtection="1">
      <alignment horizontal="left" vertical="center" wrapText="1"/>
      <protection locked="0"/>
    </xf>
    <xf numFmtId="0" fontId="33" fillId="0" borderId="68" xfId="0" applyFont="1" applyBorder="1" applyAlignment="1" applyProtection="1">
      <alignment vertical="center" wrapText="1" shrinkToFit="1"/>
      <protection locked="0"/>
    </xf>
    <xf numFmtId="0" fontId="16" fillId="0" borderId="68" xfId="0" applyFont="1" applyBorder="1" applyAlignment="1" applyProtection="1">
      <alignment horizontal="left" vertical="center" wrapText="1"/>
      <protection locked="0"/>
    </xf>
    <xf numFmtId="0" fontId="41" fillId="0" borderId="68" xfId="0" applyFont="1" applyBorder="1" applyAlignment="1" applyProtection="1">
      <alignment vertical="center" wrapText="1" shrinkToFit="1"/>
      <protection locked="0"/>
    </xf>
    <xf numFmtId="0" fontId="43" fillId="0" borderId="68" xfId="0" applyFont="1" applyBorder="1" applyAlignment="1" applyProtection="1">
      <alignment vertical="center" wrapText="1" shrinkToFit="1"/>
      <protection locked="0"/>
    </xf>
    <xf numFmtId="0" fontId="3" fillId="0" borderId="18" xfId="0" applyFont="1" applyBorder="1" applyAlignment="1">
      <alignment horizontal="center" vertical="center" wrapText="1"/>
    </xf>
    <xf numFmtId="0" fontId="3" fillId="0" borderId="15" xfId="0" applyFont="1" applyBorder="1" applyAlignment="1">
      <alignment horizontal="center" vertical="center" wrapText="1"/>
    </xf>
    <xf numFmtId="0" fontId="27" fillId="20" borderId="62" xfId="0" applyFont="1" applyFill="1" applyBorder="1" applyAlignment="1">
      <alignment horizontal="center" vertical="center"/>
    </xf>
    <xf numFmtId="0" fontId="3" fillId="0" borderId="62" xfId="0" applyFont="1" applyBorder="1" applyAlignment="1">
      <alignment horizontal="center" vertical="center" wrapText="1"/>
    </xf>
    <xf numFmtId="0" fontId="33" fillId="0" borderId="62" xfId="0" applyFont="1" applyBorder="1" applyAlignment="1" applyProtection="1">
      <alignment vertical="center" wrapText="1" shrinkToFit="1"/>
      <protection locked="0"/>
    </xf>
    <xf numFmtId="0" fontId="34" fillId="0" borderId="62" xfId="0" applyFont="1" applyBorder="1" applyAlignment="1" applyProtection="1">
      <alignment horizontal="left" vertical="center" wrapText="1"/>
      <protection locked="0"/>
    </xf>
    <xf numFmtId="0" fontId="41" fillId="0" borderId="62" xfId="0" applyFont="1" applyBorder="1" applyAlignment="1" applyProtection="1">
      <alignment vertical="center" wrapText="1" shrinkToFit="1"/>
      <protection locked="0"/>
    </xf>
    <xf numFmtId="0" fontId="16" fillId="0" borderId="62" xfId="0" applyFont="1" applyBorder="1" applyAlignment="1" applyProtection="1">
      <alignment horizontal="left" vertical="center" wrapText="1"/>
      <protection locked="0"/>
    </xf>
    <xf numFmtId="0" fontId="43" fillId="0" borderId="62" xfId="0" applyFont="1" applyBorder="1" applyAlignment="1" applyProtection="1">
      <alignment vertical="center" wrapText="1" shrinkToFit="1"/>
      <protection locked="0"/>
    </xf>
    <xf numFmtId="0" fontId="3" fillId="0" borderId="22" xfId="0" applyFont="1" applyBorder="1" applyAlignment="1">
      <alignment horizontal="center" vertical="center" wrapText="1"/>
    </xf>
    <xf numFmtId="0" fontId="27" fillId="15" borderId="68" xfId="0" applyFont="1" applyFill="1" applyBorder="1" applyAlignment="1">
      <alignment horizontal="center" vertical="center"/>
    </xf>
    <xf numFmtId="0" fontId="35" fillId="15" borderId="62" xfId="0" applyFont="1" applyFill="1" applyBorder="1" applyAlignment="1">
      <alignment horizontal="center" vertical="center"/>
    </xf>
    <xf numFmtId="0" fontId="35" fillId="21" borderId="68" xfId="0" applyFont="1" applyFill="1" applyBorder="1" applyAlignment="1">
      <alignment horizontal="center" vertical="center"/>
    </xf>
    <xf numFmtId="0" fontId="35" fillId="21" borderId="62" xfId="0" applyFont="1" applyFill="1" applyBorder="1" applyAlignment="1">
      <alignment horizontal="center" vertical="center"/>
    </xf>
    <xf numFmtId="0" fontId="42" fillId="0" borderId="62" xfId="0" applyFont="1" applyBorder="1" applyAlignment="1" applyProtection="1">
      <alignment vertical="center" wrapText="1" shrinkToFit="1"/>
      <protection locked="0"/>
    </xf>
    <xf numFmtId="0" fontId="45" fillId="0" borderId="62" xfId="0" applyFont="1" applyBorder="1" applyAlignment="1" applyProtection="1">
      <alignment horizontal="left" vertical="center" wrapText="1"/>
      <protection locked="0"/>
    </xf>
    <xf numFmtId="0" fontId="35" fillId="6" borderId="29" xfId="0" applyFont="1" applyFill="1" applyBorder="1" applyAlignment="1">
      <alignment horizontal="center" vertical="center"/>
    </xf>
    <xf numFmtId="0" fontId="3" fillId="6" borderId="29" xfId="0" applyFont="1" applyFill="1" applyBorder="1" applyAlignment="1">
      <alignment horizontal="center" vertical="center" wrapText="1"/>
    </xf>
    <xf numFmtId="0" fontId="41" fillId="6" borderId="29" xfId="0" applyFont="1" applyFill="1" applyBorder="1" applyAlignment="1" applyProtection="1">
      <alignment vertical="center" wrapText="1" shrinkToFit="1"/>
      <protection locked="0"/>
    </xf>
    <xf numFmtId="0" fontId="16" fillId="6" borderId="29" xfId="0" applyFont="1" applyFill="1" applyBorder="1" applyAlignment="1" applyProtection="1">
      <alignment horizontal="left" vertical="center" wrapText="1"/>
      <protection locked="0"/>
    </xf>
    <xf numFmtId="0" fontId="35" fillId="22" borderId="68" xfId="0" applyFont="1" applyFill="1" applyBorder="1" applyAlignment="1">
      <alignment horizontal="center" vertical="center"/>
    </xf>
    <xf numFmtId="0" fontId="35" fillId="22" borderId="62" xfId="0" applyFont="1" applyFill="1" applyBorder="1" applyAlignment="1">
      <alignment horizontal="center" vertical="center"/>
    </xf>
    <xf numFmtId="0" fontId="5" fillId="2" borderId="2" xfId="0" applyFont="1" applyFill="1" applyBorder="1" applyAlignment="1">
      <alignment vertical="center"/>
    </xf>
    <xf numFmtId="0" fontId="33" fillId="0" borderId="68" xfId="0" applyFont="1" applyBorder="1" applyAlignment="1" applyProtection="1">
      <alignment horizontal="left" vertical="center" wrapText="1"/>
      <protection locked="0"/>
    </xf>
    <xf numFmtId="0" fontId="41" fillId="0" borderId="68" xfId="0" applyFont="1" applyBorder="1" applyAlignment="1" applyProtection="1">
      <alignment horizontal="left" vertical="center" wrapText="1"/>
      <protection locked="0"/>
    </xf>
    <xf numFmtId="0" fontId="27" fillId="20" borderId="62" xfId="0" applyFont="1" applyFill="1" applyBorder="1" applyAlignment="1">
      <alignment horizontal="center" vertical="center" wrapText="1"/>
    </xf>
    <xf numFmtId="0" fontId="33" fillId="0" borderId="62" xfId="0" applyFont="1" applyBorder="1" applyAlignment="1" applyProtection="1">
      <alignment horizontal="left" vertical="center" wrapText="1"/>
      <protection locked="0"/>
    </xf>
    <xf numFmtId="0" fontId="41" fillId="0" borderId="62" xfId="0" applyFont="1" applyBorder="1" applyAlignment="1" applyProtection="1">
      <alignment horizontal="left" vertical="center" wrapText="1"/>
      <protection locked="0"/>
    </xf>
    <xf numFmtId="0" fontId="33" fillId="0" borderId="68" xfId="0" applyFont="1" applyBorder="1" applyAlignment="1" applyProtection="1">
      <alignment horizontal="left" vertical="center" wrapText="1" shrinkToFit="1"/>
      <protection locked="0"/>
    </xf>
    <xf numFmtId="0" fontId="38" fillId="0" borderId="62" xfId="0" applyFont="1" applyBorder="1" applyAlignment="1" applyProtection="1">
      <alignment vertical="center" wrapText="1" shrinkToFit="1"/>
      <protection locked="0"/>
    </xf>
    <xf numFmtId="0" fontId="33" fillId="0" borderId="62" xfId="0" applyFont="1" applyBorder="1" applyAlignment="1" applyProtection="1">
      <alignment horizontal="left" vertical="center" wrapText="1" shrinkToFit="1"/>
      <protection locked="0"/>
    </xf>
    <xf numFmtId="0" fontId="35" fillId="21" borderId="2" xfId="0" applyFont="1" applyFill="1" applyBorder="1" applyAlignment="1">
      <alignment horizontal="center" vertical="center"/>
    </xf>
    <xf numFmtId="0" fontId="3" fillId="0" borderId="2" xfId="0" applyFont="1" applyBorder="1" applyAlignment="1">
      <alignment horizontal="center" vertical="center" wrapText="1"/>
    </xf>
    <xf numFmtId="0" fontId="33" fillId="0" borderId="2" xfId="0" applyFont="1" applyBorder="1" applyAlignment="1" applyProtection="1">
      <alignment horizontal="left" vertical="center" wrapText="1" shrinkToFit="1"/>
      <protection locked="0"/>
    </xf>
    <xf numFmtId="0" fontId="3" fillId="0" borderId="24" xfId="0" applyFont="1" applyBorder="1" applyAlignment="1">
      <alignment horizontal="center" vertical="center" wrapText="1"/>
    </xf>
    <xf numFmtId="0" fontId="37" fillId="6" borderId="29" xfId="0" applyFont="1" applyFill="1" applyBorder="1" applyAlignment="1">
      <alignment horizontal="center" vertical="center"/>
    </xf>
    <xf numFmtId="0" fontId="33" fillId="0" borderId="67" xfId="0" applyFont="1" applyBorder="1" applyAlignment="1" applyProtection="1">
      <alignment horizontal="left" vertical="center" wrapText="1"/>
      <protection locked="0"/>
    </xf>
    <xf numFmtId="0" fontId="30" fillId="0" borderId="54" xfId="0" applyFont="1" applyBorder="1"/>
    <xf numFmtId="0" fontId="33" fillId="0" borderId="55" xfId="0" applyFont="1" applyBorder="1" applyAlignment="1" applyProtection="1">
      <alignment vertical="center" wrapText="1" shrinkToFit="1"/>
      <protection locked="0"/>
    </xf>
    <xf numFmtId="0" fontId="33" fillId="0" borderId="61" xfId="0" applyFont="1" applyBorder="1" applyAlignment="1" applyProtection="1">
      <alignment horizontal="left" vertical="center" wrapText="1"/>
      <protection locked="0"/>
    </xf>
    <xf numFmtId="0" fontId="30" fillId="0" borderId="57" xfId="0" applyFont="1" applyBorder="1"/>
    <xf numFmtId="0" fontId="27" fillId="15" borderId="68" xfId="0" applyFont="1" applyFill="1" applyBorder="1" applyAlignment="1">
      <alignment horizontal="center" vertical="center" wrapText="1"/>
    </xf>
    <xf numFmtId="0" fontId="38" fillId="0" borderId="68" xfId="0" applyFont="1" applyBorder="1" applyAlignment="1" applyProtection="1">
      <alignment vertical="center" wrapText="1" shrinkToFit="1"/>
      <protection locked="0"/>
    </xf>
    <xf numFmtId="0" fontId="27" fillId="15" borderId="62" xfId="0" applyFont="1" applyFill="1" applyBorder="1" applyAlignment="1">
      <alignment horizontal="center" vertical="center"/>
    </xf>
    <xf numFmtId="0" fontId="27" fillId="21" borderId="68" xfId="0" applyFont="1" applyFill="1" applyBorder="1" applyAlignment="1">
      <alignment horizontal="center" vertical="center"/>
    </xf>
    <xf numFmtId="0" fontId="27" fillId="21" borderId="62" xfId="0" applyFont="1" applyFill="1" applyBorder="1" applyAlignment="1">
      <alignment horizontal="center" vertical="center"/>
    </xf>
    <xf numFmtId="0" fontId="42" fillId="0" borderId="2" xfId="0" applyFont="1" applyBorder="1" applyAlignment="1" applyProtection="1">
      <alignment vertical="center" wrapText="1" shrinkToFit="1"/>
      <protection locked="0"/>
    </xf>
    <xf numFmtId="0" fontId="45" fillId="0" borderId="2" xfId="0" applyFont="1" applyBorder="1" applyAlignment="1" applyProtection="1">
      <alignment horizontal="left" vertical="center" wrapText="1"/>
      <protection locked="0"/>
    </xf>
    <xf numFmtId="0" fontId="43" fillId="0" borderId="2" xfId="0" applyFont="1" applyBorder="1" applyAlignment="1" applyProtection="1">
      <alignment vertical="center" wrapText="1" shrinkToFit="1"/>
      <protection locked="0"/>
    </xf>
    <xf numFmtId="0" fontId="30" fillId="0" borderId="68" xfId="0" applyFont="1" applyBorder="1" applyAlignment="1" applyProtection="1">
      <alignment horizontal="left" vertical="center" wrapText="1"/>
      <protection locked="0"/>
    </xf>
    <xf numFmtId="0" fontId="30" fillId="0" borderId="62" xfId="0" applyFont="1" applyBorder="1" applyAlignment="1" applyProtection="1">
      <alignment horizontal="left" vertical="center" wrapText="1"/>
      <protection locked="0"/>
    </xf>
    <xf numFmtId="0" fontId="37" fillId="21" borderId="68" xfId="0" applyFont="1" applyFill="1" applyBorder="1" applyAlignment="1">
      <alignment horizontal="center" vertical="center"/>
    </xf>
    <xf numFmtId="0" fontId="37" fillId="21" borderId="62" xfId="0" applyFont="1" applyFill="1" applyBorder="1" applyAlignment="1">
      <alignment horizontal="center" vertical="center"/>
    </xf>
    <xf numFmtId="0" fontId="27" fillId="22" borderId="68" xfId="0" applyFont="1" applyFill="1" applyBorder="1" applyAlignment="1">
      <alignment horizontal="center" vertical="center"/>
    </xf>
    <xf numFmtId="0" fontId="27" fillId="22" borderId="62" xfId="0" applyFont="1" applyFill="1" applyBorder="1" applyAlignment="1">
      <alignment horizontal="center" vertical="center"/>
    </xf>
    <xf numFmtId="9" fontId="47" fillId="26" borderId="49" xfId="2" applyFont="1" applyFill="1" applyBorder="1" applyAlignment="1">
      <alignment horizontal="center" vertical="center"/>
    </xf>
    <xf numFmtId="0" fontId="26" fillId="2" borderId="31" xfId="0" applyFont="1" applyFill="1" applyBorder="1" applyAlignment="1">
      <alignment horizontal="left" vertical="center"/>
    </xf>
    <xf numFmtId="0" fontId="26" fillId="13" borderId="17" xfId="0" applyFont="1" applyFill="1" applyBorder="1" applyAlignment="1">
      <alignment horizontal="center" vertical="center"/>
    </xf>
    <xf numFmtId="0" fontId="26" fillId="2" borderId="49" xfId="0" applyFont="1" applyFill="1" applyBorder="1" applyAlignment="1">
      <alignment vertical="center"/>
    </xf>
    <xf numFmtId="0" fontId="26" fillId="7" borderId="27" xfId="0" applyFont="1" applyFill="1" applyBorder="1" applyAlignment="1">
      <alignment horizontal="center" vertical="center"/>
    </xf>
    <xf numFmtId="0" fontId="26" fillId="2" borderId="4" xfId="0" applyFont="1" applyFill="1" applyBorder="1" applyAlignment="1">
      <alignment vertical="center"/>
    </xf>
    <xf numFmtId="0" fontId="36" fillId="0" borderId="0" xfId="0" applyFont="1"/>
    <xf numFmtId="0" fontId="30" fillId="0" borderId="0" xfId="0" applyFont="1" applyAlignment="1">
      <alignment vertical="top"/>
    </xf>
    <xf numFmtId="0" fontId="30" fillId="0" borderId="82" xfId="0" applyFont="1" applyBorder="1" applyAlignment="1">
      <alignment vertical="top" wrapText="1" shrinkToFit="1"/>
    </xf>
    <xf numFmtId="9" fontId="47" fillId="26" borderId="47" xfId="2" applyFont="1" applyFill="1" applyBorder="1" applyAlignment="1">
      <alignment horizontal="center" vertical="center"/>
    </xf>
    <xf numFmtId="0" fontId="30" fillId="0" borderId="0" xfId="0" applyFont="1" applyAlignment="1">
      <alignment horizontal="center" vertical="top"/>
    </xf>
    <xf numFmtId="0" fontId="49" fillId="26" borderId="31" xfId="0" applyFont="1" applyFill="1" applyBorder="1" applyAlignment="1">
      <alignment horizontal="center" vertical="center" wrapText="1"/>
    </xf>
    <xf numFmtId="0" fontId="49" fillId="26" borderId="21" xfId="0" applyFont="1" applyFill="1" applyBorder="1" applyAlignment="1">
      <alignment horizontal="center" vertical="center" wrapText="1"/>
    </xf>
    <xf numFmtId="0" fontId="49" fillId="26" borderId="31" xfId="0" quotePrefix="1" applyFont="1" applyFill="1" applyBorder="1" applyAlignment="1">
      <alignment horizontal="center" vertical="center" wrapText="1"/>
    </xf>
    <xf numFmtId="0" fontId="31" fillId="0" borderId="11" xfId="0" applyFont="1" applyBorder="1" applyAlignment="1">
      <alignment horizontal="left" vertical="top" wrapText="1"/>
    </xf>
    <xf numFmtId="0" fontId="31" fillId="28" borderId="11" xfId="0" applyFont="1" applyFill="1" applyBorder="1" applyAlignment="1">
      <alignment horizontal="center" vertical="top" wrapText="1"/>
    </xf>
    <xf numFmtId="0" fontId="48" fillId="0" borderId="11" xfId="0" applyFont="1" applyBorder="1" applyAlignment="1" applyProtection="1">
      <alignment vertical="top" wrapText="1" shrinkToFit="1"/>
      <protection locked="0"/>
    </xf>
    <xf numFmtId="0" fontId="30" fillId="0" borderId="11" xfId="0" applyFont="1" applyBorder="1" applyAlignment="1" applyProtection="1">
      <alignment vertical="top" wrapText="1"/>
      <protection locked="0"/>
    </xf>
    <xf numFmtId="1" fontId="32" fillId="0" borderId="29" xfId="0" applyNumberFormat="1" applyFont="1" applyBorder="1" applyAlignment="1">
      <alignment horizontal="center" vertical="top" wrapText="1"/>
    </xf>
    <xf numFmtId="1" fontId="32" fillId="0" borderId="77" xfId="0" applyNumberFormat="1" applyFont="1" applyBorder="1" applyAlignment="1">
      <alignment horizontal="center" vertical="top" wrapText="1"/>
    </xf>
    <xf numFmtId="0" fontId="31" fillId="0" borderId="29" xfId="0" applyFont="1" applyBorder="1" applyAlignment="1">
      <alignment horizontal="left" vertical="top" wrapText="1"/>
    </xf>
    <xf numFmtId="0" fontId="31" fillId="28" borderId="29" xfId="0" applyFont="1" applyFill="1" applyBorder="1" applyAlignment="1">
      <alignment horizontal="center" vertical="top" wrapText="1"/>
    </xf>
    <xf numFmtId="3" fontId="48" fillId="0" borderId="29" xfId="0" applyNumberFormat="1" applyFont="1" applyBorder="1" applyAlignment="1" applyProtection="1">
      <alignment horizontal="left" vertical="top" wrapText="1" shrinkToFit="1"/>
      <protection locked="0"/>
    </xf>
    <xf numFmtId="0" fontId="50" fillId="0" borderId="29" xfId="0" applyFont="1" applyBorder="1" applyAlignment="1" applyProtection="1">
      <alignment horizontal="left" vertical="top" wrapText="1"/>
      <protection locked="0"/>
    </xf>
    <xf numFmtId="0" fontId="31" fillId="0" borderId="2" xfId="0" applyFont="1" applyBorder="1" applyAlignment="1">
      <alignment horizontal="left" vertical="top" wrapText="1"/>
    </xf>
    <xf numFmtId="0" fontId="31" fillId="28" borderId="2" xfId="0" applyFont="1" applyFill="1" applyBorder="1" applyAlignment="1">
      <alignment horizontal="center" vertical="top" wrapText="1"/>
    </xf>
    <xf numFmtId="0" fontId="48" fillId="0" borderId="2" xfId="0" applyFont="1" applyBorder="1" applyAlignment="1" applyProtection="1">
      <alignment vertical="top" wrapText="1" shrinkToFit="1"/>
      <protection locked="0"/>
    </xf>
    <xf numFmtId="0" fontId="50" fillId="0" borderId="2" xfId="0" applyFont="1" applyBorder="1" applyAlignment="1" applyProtection="1">
      <alignment horizontal="left" vertical="top" wrapText="1"/>
      <protection locked="0"/>
    </xf>
    <xf numFmtId="0" fontId="31" fillId="0" borderId="77" xfId="0" applyFont="1" applyBorder="1" applyAlignment="1">
      <alignment horizontal="left" vertical="top" wrapText="1"/>
    </xf>
    <xf numFmtId="0" fontId="31" fillId="28" borderId="77" xfId="0" applyFont="1" applyFill="1" applyBorder="1" applyAlignment="1">
      <alignment horizontal="center" vertical="top" wrapText="1"/>
    </xf>
    <xf numFmtId="3" fontId="48" fillId="0" borderId="77" xfId="0" applyNumberFormat="1" applyFont="1" applyBorder="1" applyAlignment="1" applyProtection="1">
      <alignment horizontal="left" vertical="top" wrapText="1" shrinkToFit="1"/>
      <protection locked="0"/>
    </xf>
    <xf numFmtId="0" fontId="50" fillId="0" borderId="77" xfId="0" applyFont="1" applyBorder="1" applyAlignment="1" applyProtection="1">
      <alignment horizontal="left" vertical="top" wrapText="1"/>
      <protection locked="0"/>
    </xf>
    <xf numFmtId="0" fontId="48" fillId="0" borderId="29" xfId="0" applyFont="1" applyBorder="1" applyAlignment="1" applyProtection="1">
      <alignment vertical="top" wrapText="1" shrinkToFit="1"/>
      <protection locked="0"/>
    </xf>
    <xf numFmtId="1" fontId="26" fillId="28" borderId="20" xfId="0" quotePrefix="1" applyNumberFormat="1" applyFont="1" applyFill="1" applyBorder="1" applyAlignment="1">
      <alignment horizontal="center" vertical="center"/>
    </xf>
    <xf numFmtId="0" fontId="22" fillId="0" borderId="0" xfId="0" applyFont="1" applyAlignment="1">
      <alignment vertical="center"/>
    </xf>
    <xf numFmtId="14" fontId="22" fillId="0" borderId="0" xfId="0" applyNumberFormat="1" applyFont="1" applyAlignment="1">
      <alignment horizontal="left" vertical="center"/>
    </xf>
    <xf numFmtId="0" fontId="22" fillId="0" borderId="0" xfId="0" applyFont="1" applyAlignment="1">
      <alignment horizontal="right" vertical="center"/>
    </xf>
    <xf numFmtId="1" fontId="22" fillId="0" borderId="0" xfId="0" applyNumberFormat="1" applyFont="1" applyAlignment="1">
      <alignment horizontal="left" vertical="center"/>
    </xf>
    <xf numFmtId="0" fontId="2" fillId="0" borderId="0" xfId="0" applyFont="1" applyAlignment="1">
      <alignment horizontal="left"/>
    </xf>
    <xf numFmtId="0" fontId="10" fillId="29" borderId="0" xfId="0" applyFont="1" applyFill="1" applyAlignment="1">
      <alignment horizontal="right"/>
    </xf>
    <xf numFmtId="0" fontId="0" fillId="29" borderId="0" xfId="0" applyFill="1"/>
    <xf numFmtId="14" fontId="22" fillId="29" borderId="0" xfId="0" applyNumberFormat="1" applyFont="1" applyFill="1" applyAlignment="1">
      <alignment horizontal="left" vertical="center"/>
    </xf>
    <xf numFmtId="14" fontId="22" fillId="29" borderId="0" xfId="0" applyNumberFormat="1" applyFont="1" applyFill="1" applyAlignment="1">
      <alignment horizontal="right" vertical="center"/>
    </xf>
    <xf numFmtId="0" fontId="22" fillId="29" borderId="0" xfId="0" applyFont="1" applyFill="1" applyAlignment="1">
      <alignment horizontal="center" vertical="center"/>
    </xf>
    <xf numFmtId="14" fontId="22" fillId="29" borderId="47" xfId="0" applyNumberFormat="1" applyFont="1" applyFill="1" applyBorder="1" applyAlignment="1">
      <alignment horizontal="right" vertical="center"/>
    </xf>
    <xf numFmtId="0" fontId="22" fillId="29" borderId="39" xfId="0" applyFont="1" applyFill="1" applyBorder="1" applyAlignment="1">
      <alignment horizontal="right" vertical="center"/>
    </xf>
    <xf numFmtId="0" fontId="0" fillId="29" borderId="39" xfId="0" applyFill="1" applyBorder="1" applyAlignment="1">
      <alignment horizontal="right" vertical="center"/>
    </xf>
    <xf numFmtId="0" fontId="0" fillId="29" borderId="47" xfId="0" applyFill="1" applyBorder="1" applyAlignment="1">
      <alignment horizontal="right" vertical="center"/>
    </xf>
    <xf numFmtId="0" fontId="10" fillId="29" borderId="14" xfId="0" applyFont="1" applyFill="1" applyBorder="1" applyAlignment="1">
      <alignment horizontal="left" vertical="center"/>
    </xf>
    <xf numFmtId="0" fontId="22" fillId="29" borderId="14" xfId="0" applyFont="1" applyFill="1" applyBorder="1" applyAlignment="1">
      <alignment horizontal="left" vertical="center"/>
    </xf>
    <xf numFmtId="0" fontId="0" fillId="19" borderId="39" xfId="0" applyFill="1" applyBorder="1" applyAlignment="1">
      <alignment horizontal="right" vertical="center"/>
    </xf>
    <xf numFmtId="0" fontId="0" fillId="19" borderId="47" xfId="0" applyFill="1" applyBorder="1" applyAlignment="1">
      <alignment horizontal="right" vertical="center"/>
    </xf>
    <xf numFmtId="14" fontId="22" fillId="19" borderId="47" xfId="0" applyNumberFormat="1" applyFont="1" applyFill="1" applyBorder="1" applyAlignment="1">
      <alignment horizontal="right" vertical="center"/>
    </xf>
    <xf numFmtId="0" fontId="22" fillId="19" borderId="14" xfId="0" applyFont="1" applyFill="1" applyBorder="1" applyAlignment="1">
      <alignment horizontal="left" vertical="center"/>
    </xf>
    <xf numFmtId="0" fontId="42" fillId="0" borderId="16" xfId="0" applyFont="1" applyBorder="1" applyAlignment="1" applyProtection="1">
      <alignment vertical="center" wrapText="1" shrinkToFit="1"/>
      <protection locked="0"/>
    </xf>
    <xf numFmtId="0" fontId="36" fillId="0" borderId="11" xfId="0" applyFont="1" applyBorder="1" applyAlignment="1" applyProtection="1">
      <alignment horizontal="left" vertical="center" wrapText="1"/>
      <protection locked="0"/>
    </xf>
    <xf numFmtId="0" fontId="30" fillId="6" borderId="11" xfId="0" applyFont="1" applyFill="1" applyBorder="1" applyProtection="1">
      <protection locked="0"/>
    </xf>
    <xf numFmtId="0" fontId="5" fillId="2" borderId="44" xfId="0" applyFont="1" applyFill="1" applyBorder="1" applyAlignment="1" applyProtection="1">
      <alignment vertical="center"/>
      <protection locked="0"/>
    </xf>
    <xf numFmtId="0" fontId="36" fillId="0" borderId="11" xfId="0" applyFont="1" applyBorder="1" applyAlignment="1" applyProtection="1">
      <alignment wrapText="1"/>
      <protection locked="0"/>
    </xf>
    <xf numFmtId="0" fontId="30" fillId="0" borderId="68" xfId="0" applyFont="1" applyBorder="1" applyProtection="1">
      <protection locked="0"/>
    </xf>
    <xf numFmtId="0" fontId="30" fillId="0" borderId="11" xfId="0" applyFont="1" applyBorder="1" applyAlignment="1" applyProtection="1">
      <alignment wrapText="1"/>
      <protection locked="0"/>
    </xf>
    <xf numFmtId="0" fontId="16" fillId="0" borderId="68" xfId="0" applyFont="1" applyBorder="1" applyAlignment="1" applyProtection="1">
      <alignment wrapText="1"/>
      <protection locked="0"/>
    </xf>
    <xf numFmtId="0" fontId="30" fillId="0" borderId="68" xfId="0" applyFont="1" applyBorder="1" applyAlignment="1" applyProtection="1">
      <alignment wrapText="1"/>
      <protection locked="0"/>
    </xf>
    <xf numFmtId="0" fontId="16" fillId="0" borderId="68" xfId="0" applyFont="1" applyBorder="1" applyAlignment="1" applyProtection="1">
      <alignment horizontal="left" vertical="center"/>
      <protection locked="0"/>
    </xf>
    <xf numFmtId="0" fontId="16" fillId="0" borderId="11" xfId="0" applyFont="1" applyBorder="1" applyAlignment="1" applyProtection="1">
      <alignment horizontal="left" vertical="center"/>
      <protection locked="0"/>
    </xf>
    <xf numFmtId="0" fontId="16" fillId="0" borderId="62" xfId="0" applyFont="1" applyBorder="1" applyAlignment="1" applyProtection="1">
      <alignment horizontal="left" vertical="center"/>
      <protection locked="0"/>
    </xf>
    <xf numFmtId="0" fontId="0" fillId="0" borderId="11" xfId="0" applyBorder="1" applyProtection="1">
      <protection locked="0"/>
    </xf>
    <xf numFmtId="0" fontId="3" fillId="0" borderId="29" xfId="0" applyFont="1" applyBorder="1" applyAlignment="1" applyProtection="1">
      <alignment horizontal="center" vertical="center" wrapText="1"/>
      <protection locked="0"/>
    </xf>
    <xf numFmtId="0" fontId="3" fillId="0" borderId="11" xfId="0" applyFont="1" applyBorder="1" applyAlignment="1" applyProtection="1">
      <alignment horizontal="center" vertical="center" wrapText="1"/>
      <protection locked="0"/>
    </xf>
    <xf numFmtId="0" fontId="5" fillId="0" borderId="2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2" borderId="0" xfId="0" applyFont="1" applyFill="1" applyAlignment="1" applyProtection="1">
      <alignment horizontal="left" vertical="center"/>
      <protection locked="0"/>
    </xf>
    <xf numFmtId="0" fontId="30" fillId="6" borderId="0" xfId="0" applyFont="1" applyFill="1" applyProtection="1">
      <protection locked="0"/>
    </xf>
    <xf numFmtId="0" fontId="29" fillId="0" borderId="0" xfId="0" applyFont="1" applyAlignment="1" applyProtection="1">
      <alignment horizontal="center" vertical="center" wrapText="1"/>
      <protection locked="0"/>
    </xf>
    <xf numFmtId="14" fontId="28" fillId="0" borderId="0" xfId="0" applyNumberFormat="1" applyFont="1" applyAlignment="1" applyProtection="1">
      <alignment horizontal="center" vertical="center"/>
      <protection locked="0"/>
    </xf>
    <xf numFmtId="0" fontId="33" fillId="0" borderId="68" xfId="0" applyFont="1" applyBorder="1" applyAlignment="1" applyProtection="1">
      <alignment horizontal="center" vertical="center" wrapText="1" shrinkToFit="1"/>
      <protection locked="0"/>
    </xf>
    <xf numFmtId="0" fontId="33" fillId="0" borderId="11" xfId="0" applyFont="1" applyBorder="1" applyAlignment="1" applyProtection="1">
      <alignment horizontal="center" vertical="center" wrapText="1" shrinkToFit="1"/>
      <protection locked="0"/>
    </xf>
    <xf numFmtId="0" fontId="5" fillId="2" borderId="39" xfId="0" applyFont="1" applyFill="1" applyBorder="1" applyAlignment="1">
      <alignment vertical="center"/>
    </xf>
    <xf numFmtId="0" fontId="42" fillId="0" borderId="11" xfId="0" applyFont="1" applyBorder="1" applyAlignment="1" applyProtection="1">
      <alignment horizontal="center" vertical="center" wrapText="1" shrinkToFit="1"/>
      <protection locked="0"/>
    </xf>
    <xf numFmtId="1" fontId="32" fillId="0" borderId="2" xfId="0" applyNumberFormat="1" applyFont="1" applyBorder="1" applyAlignment="1">
      <alignment horizontal="center" vertical="top" wrapText="1"/>
    </xf>
    <xf numFmtId="0" fontId="54" fillId="0" borderId="0" xfId="0" applyFont="1"/>
    <xf numFmtId="0" fontId="3" fillId="0" borderId="11" xfId="0" applyFont="1" applyBorder="1" applyAlignment="1">
      <alignment vertical="center" wrapText="1"/>
    </xf>
    <xf numFmtId="0" fontId="30" fillId="4" borderId="0" xfId="0" applyFont="1" applyFill="1" applyAlignment="1">
      <alignment vertical="center"/>
    </xf>
    <xf numFmtId="0" fontId="30" fillId="0" borderId="0" xfId="0" applyFont="1" applyAlignment="1">
      <alignment vertical="center"/>
    </xf>
    <xf numFmtId="0" fontId="31" fillId="22" borderId="23" xfId="0" applyFont="1" applyFill="1" applyBorder="1" applyAlignment="1">
      <alignment horizontal="center" vertical="center"/>
    </xf>
    <xf numFmtId="0" fontId="31" fillId="22" borderId="19" xfId="0" applyFont="1" applyFill="1" applyBorder="1" applyAlignment="1">
      <alignment horizontal="center" vertical="center"/>
    </xf>
    <xf numFmtId="0" fontId="31" fillId="22" borderId="16" xfId="0" applyFont="1" applyFill="1" applyBorder="1" applyAlignment="1">
      <alignment horizontal="center" vertical="center"/>
    </xf>
    <xf numFmtId="0" fontId="31" fillId="20" borderId="19" xfId="0" applyFont="1" applyFill="1" applyBorder="1" applyAlignment="1">
      <alignment horizontal="center" vertical="center"/>
    </xf>
    <xf numFmtId="0" fontId="31" fillId="20" borderId="16" xfId="0" applyFont="1" applyFill="1" applyBorder="1" applyAlignment="1">
      <alignment horizontal="center" vertical="center"/>
    </xf>
    <xf numFmtId="0" fontId="31" fillId="20" borderId="23" xfId="0" applyFont="1" applyFill="1" applyBorder="1" applyAlignment="1">
      <alignment horizontal="center" vertical="center"/>
    </xf>
    <xf numFmtId="0" fontId="31" fillId="15" borderId="19" xfId="0" applyFont="1" applyFill="1" applyBorder="1" applyAlignment="1">
      <alignment horizontal="center" vertical="center"/>
    </xf>
    <xf numFmtId="0" fontId="31" fillId="15" borderId="16" xfId="0" applyFont="1" applyFill="1" applyBorder="1" applyAlignment="1">
      <alignment horizontal="center" vertical="center"/>
    </xf>
    <xf numFmtId="0" fontId="31" fillId="15" borderId="23" xfId="0" applyFont="1" applyFill="1" applyBorder="1" applyAlignment="1">
      <alignment horizontal="center" vertical="center"/>
    </xf>
    <xf numFmtId="0" fontId="31" fillId="21" borderId="19" xfId="0" applyFont="1" applyFill="1" applyBorder="1" applyAlignment="1">
      <alignment horizontal="center" vertical="center"/>
    </xf>
    <xf numFmtId="0" fontId="31" fillId="21" borderId="16" xfId="0" applyFont="1" applyFill="1" applyBorder="1" applyAlignment="1">
      <alignment horizontal="center" vertical="center"/>
    </xf>
    <xf numFmtId="0" fontId="31" fillId="21" borderId="25" xfId="0" applyFont="1" applyFill="1" applyBorder="1" applyAlignment="1">
      <alignment horizontal="center" vertical="center"/>
    </xf>
    <xf numFmtId="0" fontId="30" fillId="0" borderId="29" xfId="0" applyFont="1" applyBorder="1" applyAlignment="1">
      <alignment horizontal="center" vertical="center"/>
    </xf>
    <xf numFmtId="0" fontId="30" fillId="0" borderId="11" xfId="0" applyFont="1" applyBorder="1" applyAlignment="1">
      <alignment horizontal="center" vertical="center"/>
    </xf>
    <xf numFmtId="0" fontId="5" fillId="2" borderId="2" xfId="0" applyFont="1" applyFill="1" applyBorder="1" applyAlignment="1">
      <alignment horizontal="center" vertical="center"/>
    </xf>
    <xf numFmtId="0" fontId="31" fillId="21" borderId="23" xfId="0" applyFont="1" applyFill="1" applyBorder="1" applyAlignment="1">
      <alignment horizontal="center" vertical="center"/>
    </xf>
    <xf numFmtId="0" fontId="5" fillId="2" borderId="2" xfId="0" applyFont="1" applyFill="1" applyBorder="1" applyAlignment="1">
      <alignment horizontal="left" vertical="center"/>
    </xf>
    <xf numFmtId="0" fontId="5" fillId="2" borderId="39" xfId="0" applyFont="1" applyFill="1" applyBorder="1" applyAlignment="1">
      <alignment horizontal="left" vertical="center"/>
    </xf>
    <xf numFmtId="0" fontId="32" fillId="20" borderId="19" xfId="0" applyFont="1" applyFill="1" applyBorder="1" applyAlignment="1">
      <alignment horizontal="center" vertical="center"/>
    </xf>
    <xf numFmtId="0" fontId="32" fillId="20" borderId="16" xfId="0" applyFont="1" applyFill="1" applyBorder="1" applyAlignment="1">
      <alignment horizontal="center" vertical="center"/>
    </xf>
    <xf numFmtId="0" fontId="32" fillId="20" borderId="23" xfId="0" applyFont="1" applyFill="1" applyBorder="1" applyAlignment="1">
      <alignment horizontal="center" vertical="center"/>
    </xf>
    <xf numFmtId="0" fontId="31" fillId="15" borderId="11" xfId="0" applyFont="1" applyFill="1" applyBorder="1" applyAlignment="1">
      <alignment horizontal="center" vertical="center"/>
    </xf>
    <xf numFmtId="0" fontId="31" fillId="15" borderId="65" xfId="0" applyFont="1" applyFill="1" applyBorder="1" applyAlignment="1">
      <alignment horizontal="center" vertical="center"/>
    </xf>
    <xf numFmtId="0" fontId="42" fillId="0" borderId="29" xfId="0" applyFont="1" applyBorder="1" applyAlignment="1" applyProtection="1">
      <alignment vertical="center" wrapText="1" shrinkToFit="1"/>
      <protection locked="0"/>
    </xf>
    <xf numFmtId="0" fontId="30" fillId="0" borderId="81" xfId="0" applyFont="1" applyBorder="1"/>
    <xf numFmtId="0" fontId="42" fillId="0" borderId="56" xfId="0" applyFont="1" applyBorder="1" applyAlignment="1" applyProtection="1">
      <alignment vertical="center" wrapText="1" shrinkToFit="1"/>
      <protection locked="0"/>
    </xf>
    <xf numFmtId="0" fontId="42" fillId="0" borderId="12" xfId="0" applyFont="1" applyBorder="1" applyAlignment="1" applyProtection="1">
      <alignment vertical="center" wrapText="1" shrinkToFit="1"/>
      <protection locked="0"/>
    </xf>
    <xf numFmtId="0" fontId="57" fillId="0" borderId="77" xfId="0" applyFont="1" applyBorder="1" applyAlignment="1" applyProtection="1">
      <alignment horizontal="left" vertical="top" wrapText="1"/>
      <protection locked="0"/>
    </xf>
    <xf numFmtId="0" fontId="56" fillId="0" borderId="0" xfId="0" applyFont="1" applyAlignment="1">
      <alignment wrapText="1"/>
    </xf>
    <xf numFmtId="0" fontId="57" fillId="0" borderId="29" xfId="0" applyFont="1" applyBorder="1" applyAlignment="1" applyProtection="1">
      <alignment horizontal="left" vertical="top" wrapText="1"/>
      <protection locked="0"/>
    </xf>
    <xf numFmtId="0" fontId="57" fillId="0" borderId="2" xfId="0" applyFont="1" applyBorder="1" applyAlignment="1" applyProtection="1">
      <alignment horizontal="left" vertical="top" wrapText="1"/>
      <protection locked="0"/>
    </xf>
    <xf numFmtId="0" fontId="57" fillId="0" borderId="0" xfId="0" applyFont="1"/>
    <xf numFmtId="0" fontId="48" fillId="0" borderId="29" xfId="0" applyFont="1" applyBorder="1" applyAlignment="1" applyProtection="1">
      <alignment horizontal="left" vertical="top" wrapText="1"/>
      <protection locked="0"/>
    </xf>
    <xf numFmtId="0" fontId="48" fillId="0" borderId="2" xfId="0" applyFont="1" applyBorder="1" applyAlignment="1" applyProtection="1">
      <alignment horizontal="left" vertical="top" wrapText="1"/>
      <protection locked="0"/>
    </xf>
    <xf numFmtId="0" fontId="48" fillId="0" borderId="11" xfId="0" applyFont="1" applyBorder="1" applyAlignment="1" applyProtection="1">
      <alignment horizontal="left" vertical="top" wrapText="1"/>
      <protection locked="0"/>
    </xf>
    <xf numFmtId="0" fontId="12" fillId="9" borderId="21" xfId="0" applyFont="1" applyFill="1" applyBorder="1" applyAlignment="1">
      <alignment horizontal="center" vertical="center"/>
    </xf>
    <xf numFmtId="0" fontId="12" fillId="9" borderId="31" xfId="0" applyFont="1" applyFill="1" applyBorder="1" applyAlignment="1">
      <alignment horizontal="center" vertical="center"/>
    </xf>
    <xf numFmtId="0" fontId="5" fillId="2" borderId="0" xfId="0" applyFont="1" applyFill="1" applyAlignment="1" applyProtection="1">
      <alignment vertical="center"/>
      <protection locked="0"/>
    </xf>
    <xf numFmtId="166" fontId="0" fillId="0" borderId="0" xfId="0" applyNumberFormat="1"/>
    <xf numFmtId="0" fontId="0" fillId="0" borderId="45" xfId="0" applyBorder="1" applyAlignment="1">
      <alignment horizontal="center" vertical="center"/>
    </xf>
    <xf numFmtId="0" fontId="0" fillId="0" borderId="40" xfId="0" applyBorder="1" applyAlignment="1">
      <alignment horizontal="center" vertical="center"/>
    </xf>
    <xf numFmtId="0" fontId="0" fillId="0" borderId="38" xfId="0" applyBorder="1" applyAlignment="1">
      <alignment horizontal="center" vertical="center"/>
    </xf>
    <xf numFmtId="0" fontId="30" fillId="0" borderId="81" xfId="0" applyFont="1" applyBorder="1" applyAlignment="1">
      <alignment wrapText="1"/>
    </xf>
    <xf numFmtId="0" fontId="55" fillId="0" borderId="0" xfId="0" applyFont="1" applyAlignment="1">
      <alignment wrapText="1"/>
    </xf>
    <xf numFmtId="0" fontId="0" fillId="0" borderId="0" xfId="0" applyAlignment="1">
      <alignment horizontal="center" vertical="center" wrapText="1"/>
    </xf>
    <xf numFmtId="0" fontId="3" fillId="10" borderId="29"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3" fillId="10" borderId="5" xfId="0" applyFont="1" applyFill="1" applyBorder="1" applyAlignment="1" applyProtection="1">
      <alignment horizontal="center" vertical="center" wrapText="1"/>
      <protection locked="0"/>
    </xf>
    <xf numFmtId="0" fontId="3" fillId="10" borderId="11" xfId="0" applyFont="1" applyFill="1" applyBorder="1" applyAlignment="1">
      <alignment horizontal="center" vertical="center" wrapText="1"/>
    </xf>
    <xf numFmtId="0" fontId="0" fillId="0" borderId="49" xfId="0" applyBorder="1" applyAlignment="1">
      <alignment horizontal="center" vertical="center"/>
    </xf>
    <xf numFmtId="9" fontId="0" fillId="0" borderId="52" xfId="0" applyNumberFormat="1" applyBorder="1" applyAlignment="1">
      <alignment horizontal="center"/>
    </xf>
    <xf numFmtId="166" fontId="0" fillId="0" borderId="41" xfId="0" applyNumberFormat="1" applyBorder="1" applyAlignment="1">
      <alignment horizontal="center"/>
    </xf>
    <xf numFmtId="165" fontId="0" fillId="0" borderId="49" xfId="0" applyNumberFormat="1" applyBorder="1" applyAlignment="1">
      <alignment horizontal="center" vertical="center"/>
    </xf>
    <xf numFmtId="165" fontId="0" fillId="0" borderId="0" xfId="0" applyNumberFormat="1" applyAlignment="1">
      <alignment horizontal="center" vertical="center"/>
    </xf>
    <xf numFmtId="0" fontId="19" fillId="0" borderId="0" xfId="0" applyFont="1" applyAlignment="1">
      <alignment horizontal="center" vertical="center"/>
    </xf>
    <xf numFmtId="166" fontId="19" fillId="0" borderId="0" xfId="2" applyNumberFormat="1" applyFont="1" applyBorder="1" applyAlignment="1">
      <alignment horizontal="center" vertical="center"/>
    </xf>
    <xf numFmtId="9" fontId="19" fillId="0" borderId="0" xfId="2" applyFont="1" applyBorder="1" applyAlignment="1">
      <alignment horizontal="center" vertical="center"/>
    </xf>
    <xf numFmtId="0" fontId="14" fillId="0" borderId="0" xfId="0" applyFont="1" applyAlignment="1">
      <alignment horizontal="left"/>
    </xf>
    <xf numFmtId="165" fontId="61" fillId="0" borderId="0" xfId="2" applyNumberFormat="1" applyFont="1" applyBorder="1" applyAlignment="1">
      <alignment horizontal="center"/>
    </xf>
    <xf numFmtId="3" fontId="40" fillId="0" borderId="0" xfId="0" applyNumberFormat="1" applyFont="1" applyAlignment="1">
      <alignment horizontal="center"/>
    </xf>
    <xf numFmtId="1" fontId="0" fillId="0" borderId="33" xfId="0" applyNumberFormat="1" applyBorder="1" applyAlignment="1">
      <alignment horizontal="center" vertical="center"/>
    </xf>
    <xf numFmtId="0" fontId="0" fillId="0" borderId="0" xfId="0" applyAlignment="1">
      <alignment wrapText="1"/>
    </xf>
    <xf numFmtId="0" fontId="0" fillId="0" borderId="81" xfId="0" applyBorder="1"/>
    <xf numFmtId="0" fontId="5" fillId="2" borderId="21" xfId="0" applyFont="1" applyFill="1" applyBorder="1" applyAlignment="1">
      <alignment vertical="center"/>
    </xf>
    <xf numFmtId="0" fontId="5" fillId="2" borderId="0" xfId="0" applyFont="1" applyFill="1" applyAlignment="1">
      <alignment vertical="center"/>
    </xf>
    <xf numFmtId="0" fontId="0" fillId="0" borderId="6" xfId="0" applyBorder="1" applyAlignment="1">
      <alignment horizontal="center" vertical="center" wrapText="1"/>
    </xf>
    <xf numFmtId="0" fontId="43" fillId="0" borderId="0" xfId="0" applyFont="1"/>
    <xf numFmtId="0" fontId="11" fillId="9" borderId="11" xfId="0" applyFont="1" applyFill="1" applyBorder="1" applyAlignment="1">
      <alignment horizontal="center" vertical="center"/>
    </xf>
    <xf numFmtId="0" fontId="3" fillId="5" borderId="11" xfId="0" applyFont="1" applyFill="1" applyBorder="1" applyAlignment="1">
      <alignment horizontal="center" vertical="center" wrapText="1"/>
    </xf>
    <xf numFmtId="0" fontId="65" fillId="0" borderId="0" xfId="0" applyFont="1"/>
    <xf numFmtId="0" fontId="41" fillId="0" borderId="11" xfId="0" applyFont="1" applyBorder="1" applyAlignment="1" applyProtection="1">
      <alignment horizontal="left" vertical="center" wrapText="1" shrinkToFit="1"/>
      <protection locked="0"/>
    </xf>
    <xf numFmtId="0" fontId="41" fillId="0" borderId="2" xfId="0" applyFont="1" applyBorder="1" applyAlignment="1" applyProtection="1">
      <alignment horizontal="left" vertical="center" wrapText="1" shrinkToFit="1"/>
      <protection locked="0"/>
    </xf>
    <xf numFmtId="0" fontId="0" fillId="0" borderId="87" xfId="0" applyBorder="1" applyAlignment="1">
      <alignment horizontal="left" vertical="center"/>
    </xf>
    <xf numFmtId="0" fontId="0" fillId="0" borderId="88" xfId="0" applyBorder="1"/>
    <xf numFmtId="0" fontId="2" fillId="24" borderId="41" xfId="0" applyFont="1" applyFill="1" applyBorder="1" applyAlignment="1">
      <alignment horizontal="center"/>
    </xf>
    <xf numFmtId="14" fontId="68" fillId="0" borderId="0" xfId="0" applyNumberFormat="1" applyFont="1" applyAlignment="1" applyProtection="1">
      <alignment horizontal="center" vertical="center"/>
      <protection locked="0"/>
    </xf>
    <xf numFmtId="0" fontId="69" fillId="0" borderId="11" xfId="0" applyFont="1" applyBorder="1" applyAlignment="1" applyProtection="1">
      <alignment horizontal="left" vertical="center" wrapText="1"/>
      <protection locked="0"/>
    </xf>
    <xf numFmtId="0" fontId="69" fillId="0" borderId="68" xfId="0" applyFont="1" applyBorder="1" applyAlignment="1" applyProtection="1">
      <alignment horizontal="left" vertical="center" wrapText="1"/>
      <protection locked="0"/>
    </xf>
    <xf numFmtId="0" fontId="0" fillId="0" borderId="0" xfId="0" applyAlignment="1">
      <alignment horizontal="left"/>
    </xf>
    <xf numFmtId="0" fontId="41" fillId="6" borderId="29" xfId="0" applyFont="1" applyFill="1" applyBorder="1" applyAlignment="1">
      <alignment horizontal="left" vertical="center" wrapText="1"/>
    </xf>
    <xf numFmtId="0" fontId="65" fillId="0" borderId="11" xfId="0" applyFont="1" applyBorder="1" applyAlignment="1" applyProtection="1">
      <alignment horizontal="left" vertical="center" wrapText="1"/>
      <protection locked="0"/>
    </xf>
    <xf numFmtId="0" fontId="65" fillId="0" borderId="68" xfId="0" applyFont="1" applyBorder="1" applyAlignment="1" applyProtection="1">
      <alignment horizontal="left" vertical="center" wrapText="1"/>
      <protection locked="0"/>
    </xf>
    <xf numFmtId="0" fontId="65" fillId="0" borderId="62" xfId="0" applyFont="1" applyBorder="1" applyAlignment="1" applyProtection="1">
      <alignment horizontal="left" vertical="center" wrapText="1"/>
      <protection locked="0"/>
    </xf>
    <xf numFmtId="0" fontId="65" fillId="0" borderId="11" xfId="0" applyFont="1" applyBorder="1"/>
    <xf numFmtId="0" fontId="11" fillId="9" borderId="31" xfId="0" applyFont="1" applyFill="1" applyBorder="1" applyAlignment="1">
      <alignment horizontal="left" vertical="center"/>
    </xf>
    <xf numFmtId="0" fontId="12" fillId="9" borderId="31" xfId="0" applyFont="1" applyFill="1" applyBorder="1" applyAlignment="1">
      <alignment horizontal="center"/>
    </xf>
    <xf numFmtId="0" fontId="10" fillId="29" borderId="0" xfId="0" applyFont="1" applyFill="1" applyAlignment="1">
      <alignment horizontal="left"/>
    </xf>
    <xf numFmtId="0" fontId="30" fillId="0" borderId="0" xfId="0" applyFont="1" applyAlignment="1">
      <alignment wrapText="1"/>
    </xf>
    <xf numFmtId="0" fontId="30" fillId="0" borderId="0" xfId="0" applyFont="1" applyAlignment="1">
      <alignment vertical="center" wrapText="1"/>
    </xf>
    <xf numFmtId="0" fontId="0" fillId="0" borderId="87" xfId="0" applyBorder="1"/>
    <xf numFmtId="0" fontId="0" fillId="0" borderId="11" xfId="0" applyBorder="1"/>
    <xf numFmtId="0" fontId="0" fillId="0" borderId="87" xfId="0" applyBorder="1" applyAlignment="1">
      <alignment horizontal="left"/>
    </xf>
    <xf numFmtId="0" fontId="0" fillId="0" borderId="11" xfId="0" applyBorder="1" applyAlignment="1">
      <alignment horizontal="center" vertical="center"/>
    </xf>
    <xf numFmtId="14" fontId="0" fillId="0" borderId="11" xfId="0" applyNumberFormat="1" applyBorder="1" applyAlignment="1">
      <alignment horizontal="center" vertical="center"/>
    </xf>
    <xf numFmtId="0" fontId="0" fillId="0" borderId="11" xfId="0" applyBorder="1" applyAlignment="1">
      <alignment horizontal="left"/>
    </xf>
    <xf numFmtId="0" fontId="0" fillId="0" borderId="11" xfId="0" applyBorder="1" applyAlignment="1">
      <alignment horizontal="left" vertical="center"/>
    </xf>
    <xf numFmtId="49" fontId="0" fillId="30" borderId="90" xfId="0" applyNumberFormat="1" applyFill="1" applyBorder="1"/>
    <xf numFmtId="49" fontId="0" fillId="0" borderId="90" xfId="0" applyNumberFormat="1" applyBorder="1" applyAlignment="1">
      <alignment wrapText="1"/>
    </xf>
    <xf numFmtId="0" fontId="11" fillId="9" borderId="21" xfId="0" applyFont="1" applyFill="1" applyBorder="1" applyAlignment="1">
      <alignment horizontal="left" vertical="center"/>
    </xf>
    <xf numFmtId="0" fontId="22" fillId="29" borderId="0" xfId="0" applyFont="1" applyFill="1" applyAlignment="1">
      <alignment horizontal="left" vertical="center"/>
    </xf>
    <xf numFmtId="14" fontId="0" fillId="0" borderId="11" xfId="0" applyNumberFormat="1" applyBorder="1" applyAlignment="1">
      <alignment horizontal="left"/>
    </xf>
    <xf numFmtId="14" fontId="0" fillId="0" borderId="11" xfId="0" applyNumberFormat="1" applyBorder="1" applyAlignment="1">
      <alignment horizontal="left" vertical="center"/>
    </xf>
    <xf numFmtId="0" fontId="65" fillId="0" borderId="0" xfId="0" applyFont="1" applyAlignment="1">
      <alignment wrapText="1"/>
    </xf>
    <xf numFmtId="0" fontId="12" fillId="9" borderId="31" xfId="0" applyFont="1" applyFill="1" applyBorder="1" applyAlignment="1">
      <alignment horizontal="left" vertical="center"/>
    </xf>
    <xf numFmtId="0" fontId="0" fillId="29" borderId="0" xfId="0" applyFill="1" applyAlignment="1">
      <alignment horizontal="left"/>
    </xf>
    <xf numFmtId="0" fontId="2" fillId="0" borderId="0" xfId="0" applyFont="1" applyAlignment="1">
      <alignment horizontal="left" vertical="center"/>
    </xf>
    <xf numFmtId="0" fontId="72" fillId="0" borderId="11" xfId="0" applyFont="1" applyBorder="1" applyAlignment="1" applyProtection="1">
      <alignment vertical="center" wrapText="1" shrinkToFit="1"/>
      <protection locked="0"/>
    </xf>
    <xf numFmtId="0" fontId="6" fillId="3" borderId="0" xfId="0" quotePrefix="1" applyFont="1" applyFill="1" applyAlignment="1">
      <alignment horizontal="center" vertical="center" wrapText="1"/>
    </xf>
    <xf numFmtId="0" fontId="0" fillId="0" borderId="89" xfId="0" applyBorder="1"/>
    <xf numFmtId="14" fontId="0" fillId="10" borderId="11" xfId="0" applyNumberFormat="1" applyFill="1" applyBorder="1"/>
    <xf numFmtId="49" fontId="0" fillId="10" borderId="11" xfId="0" applyNumberFormat="1" applyFill="1" applyBorder="1"/>
    <xf numFmtId="14" fontId="0" fillId="31" borderId="11" xfId="0" applyNumberFormat="1" applyFill="1" applyBorder="1"/>
    <xf numFmtId="49" fontId="0" fillId="31" borderId="11" xfId="0" applyNumberFormat="1" applyFill="1" applyBorder="1"/>
    <xf numFmtId="14" fontId="0" fillId="0" borderId="29" xfId="0" applyNumberFormat="1" applyBorder="1" applyAlignment="1">
      <alignment horizontal="left" vertical="center"/>
    </xf>
    <xf numFmtId="0" fontId="0" fillId="0" borderId="29" xfId="0" applyBorder="1" applyAlignment="1">
      <alignment horizontal="center" vertical="center"/>
    </xf>
    <xf numFmtId="0" fontId="0" fillId="0" borderId="29" xfId="0" applyBorder="1" applyAlignment="1">
      <alignment horizontal="left"/>
    </xf>
    <xf numFmtId="0" fontId="0" fillId="0" borderId="29" xfId="0" applyBorder="1" applyAlignment="1">
      <alignment horizontal="left" vertical="center"/>
    </xf>
    <xf numFmtId="0" fontId="0" fillId="0" borderId="91" xfId="0" applyBorder="1" applyAlignment="1">
      <alignment horizontal="left" vertical="center"/>
    </xf>
    <xf numFmtId="0" fontId="0" fillId="0" borderId="91" xfId="0" applyBorder="1"/>
    <xf numFmtId="0" fontId="12" fillId="9" borderId="21" xfId="0" applyFont="1" applyFill="1" applyBorder="1" applyAlignment="1">
      <alignment horizontal="left"/>
    </xf>
    <xf numFmtId="0" fontId="12" fillId="9" borderId="54" xfId="0" applyFont="1" applyFill="1" applyBorder="1" applyAlignment="1">
      <alignment horizontal="left"/>
    </xf>
    <xf numFmtId="0" fontId="12" fillId="9" borderId="5" xfId="0" applyFont="1" applyFill="1" applyBorder="1" applyAlignment="1">
      <alignment horizontal="left"/>
    </xf>
    <xf numFmtId="0" fontId="63" fillId="0" borderId="0" xfId="0" applyFont="1" applyAlignment="1">
      <alignment horizontal="left"/>
    </xf>
    <xf numFmtId="14" fontId="63" fillId="0" borderId="0" xfId="0" applyNumberFormat="1" applyFont="1" applyAlignment="1">
      <alignment horizontal="left"/>
    </xf>
    <xf numFmtId="0" fontId="39" fillId="0" borderId="11" xfId="0" applyFont="1" applyBorder="1"/>
    <xf numFmtId="49" fontId="0" fillId="31" borderId="11" xfId="0" applyNumberFormat="1" applyFill="1" applyBorder="1" applyAlignment="1">
      <alignment horizontal="left" wrapText="1"/>
    </xf>
    <xf numFmtId="0" fontId="0" fillId="0" borderId="11" xfId="0" applyBorder="1" applyAlignment="1">
      <alignment horizontal="left"/>
    </xf>
    <xf numFmtId="0" fontId="0" fillId="0" borderId="11" xfId="0" applyBorder="1"/>
    <xf numFmtId="49" fontId="0" fillId="31" borderId="10" xfId="0" applyNumberFormat="1" applyFill="1" applyBorder="1" applyAlignment="1">
      <alignment horizontal="left"/>
    </xf>
    <xf numFmtId="49" fontId="0" fillId="31" borderId="43" xfId="0" applyNumberFormat="1" applyFill="1" applyBorder="1" applyAlignment="1">
      <alignment horizontal="left"/>
    </xf>
    <xf numFmtId="49" fontId="0" fillId="31" borderId="12" xfId="0" applyNumberFormat="1" applyFill="1" applyBorder="1" applyAlignment="1">
      <alignment horizontal="left"/>
    </xf>
    <xf numFmtId="0" fontId="0" fillId="0" borderId="11" xfId="0" applyBorder="1" applyAlignment="1">
      <alignment horizontal="left" vertical="center"/>
    </xf>
    <xf numFmtId="0" fontId="2" fillId="0" borderId="19" xfId="0" applyFont="1" applyBorder="1" applyAlignment="1">
      <alignment horizontal="center" vertical="center"/>
    </xf>
    <xf numFmtId="0" fontId="2" fillId="0" borderId="68" xfId="0" applyFont="1" applyBorder="1" applyAlignment="1">
      <alignment horizontal="left"/>
    </xf>
    <xf numFmtId="0" fontId="2" fillId="0" borderId="18" xfId="0" applyFont="1" applyBorder="1" applyAlignment="1">
      <alignment horizontal="center" vertical="center"/>
    </xf>
    <xf numFmtId="0" fontId="2" fillId="0" borderId="16" xfId="0" applyFont="1" applyBorder="1" applyAlignment="1">
      <alignment horizontal="center" vertical="center"/>
    </xf>
    <xf numFmtId="0" fontId="2" fillId="0" borderId="11" xfId="0" applyFont="1" applyBorder="1" applyAlignment="1">
      <alignment horizontal="left"/>
    </xf>
    <xf numFmtId="0" fontId="2" fillId="0" borderId="15" xfId="0" applyFont="1" applyBorder="1" applyAlignment="1">
      <alignment horizontal="center" vertical="center"/>
    </xf>
    <xf numFmtId="14" fontId="2" fillId="0" borderId="16" xfId="0" applyNumberFormat="1" applyFont="1" applyBorder="1" applyAlignment="1">
      <alignment horizontal="center" vertical="center"/>
    </xf>
    <xf numFmtId="14" fontId="2" fillId="0" borderId="11" xfId="0" applyNumberFormat="1" applyFont="1" applyBorder="1" applyAlignment="1">
      <alignment horizontal="left"/>
    </xf>
    <xf numFmtId="14" fontId="2" fillId="0" borderId="15" xfId="0" applyNumberFormat="1" applyFont="1" applyBorder="1" applyAlignment="1">
      <alignment horizontal="center" vertical="center"/>
    </xf>
    <xf numFmtId="0" fontId="2" fillId="0" borderId="23" xfId="0" applyFont="1" applyBorder="1" applyAlignment="1">
      <alignment horizontal="center" vertical="center"/>
    </xf>
    <xf numFmtId="0" fontId="2" fillId="0" borderId="62" xfId="0" applyFont="1" applyBorder="1" applyAlignment="1">
      <alignment horizontal="left"/>
    </xf>
    <xf numFmtId="0" fontId="2" fillId="0" borderId="22" xfId="0" applyFont="1" applyBorder="1" applyAlignment="1">
      <alignment horizontal="center" vertical="center"/>
    </xf>
    <xf numFmtId="0" fontId="12" fillId="9" borderId="21" xfId="0" applyFont="1" applyFill="1" applyBorder="1" applyAlignment="1">
      <alignment horizontal="left"/>
    </xf>
    <xf numFmtId="0" fontId="12" fillId="9" borderId="54" xfId="0" applyFont="1" applyFill="1" applyBorder="1" applyAlignment="1">
      <alignment horizontal="left"/>
    </xf>
    <xf numFmtId="0" fontId="12" fillId="9" borderId="5" xfId="0" applyFont="1" applyFill="1" applyBorder="1" applyAlignment="1">
      <alignment horizontal="left"/>
    </xf>
    <xf numFmtId="0" fontId="0" fillId="0" borderId="21" xfId="0" applyBorder="1" applyAlignment="1">
      <alignment horizontal="center"/>
    </xf>
    <xf numFmtId="0" fontId="0" fillId="0" borderId="54" xfId="0" applyBorder="1" applyAlignment="1">
      <alignment horizontal="center"/>
    </xf>
    <xf numFmtId="0" fontId="0" fillId="0" borderId="54" xfId="0" applyBorder="1" applyAlignment="1">
      <alignment horizontal="left"/>
    </xf>
    <xf numFmtId="0" fontId="0" fillId="0" borderId="5" xfId="0" applyBorder="1" applyAlignment="1">
      <alignment horizontal="center"/>
    </xf>
    <xf numFmtId="0" fontId="0" fillId="0" borderId="9" xfId="0" applyBorder="1" applyAlignment="1">
      <alignment horizontal="center"/>
    </xf>
    <xf numFmtId="0" fontId="0" fillId="0" borderId="0" xfId="0" applyAlignment="1">
      <alignment horizontal="center"/>
    </xf>
    <xf numFmtId="0" fontId="0" fillId="0" borderId="0" xfId="0" applyAlignment="1">
      <alignment horizontal="left"/>
    </xf>
    <xf numFmtId="0" fontId="0" fillId="0" borderId="51" xfId="0" applyBorder="1" applyAlignment="1">
      <alignment horizontal="center"/>
    </xf>
    <xf numFmtId="0" fontId="0" fillId="0" borderId="27" xfId="0" applyBorder="1" applyAlignment="1">
      <alignment horizontal="center"/>
    </xf>
    <xf numFmtId="0" fontId="0" fillId="0" borderId="57" xfId="0" applyBorder="1" applyAlignment="1">
      <alignment horizontal="center"/>
    </xf>
    <xf numFmtId="0" fontId="0" fillId="0" borderId="57" xfId="0" applyBorder="1" applyAlignment="1">
      <alignment horizontal="left"/>
    </xf>
    <xf numFmtId="0" fontId="0" fillId="0" borderId="32" xfId="0" applyBorder="1" applyAlignment="1">
      <alignment horizontal="center"/>
    </xf>
    <xf numFmtId="0" fontId="11" fillId="9" borderId="21" xfId="0" applyFont="1" applyFill="1" applyBorder="1" applyAlignment="1">
      <alignment horizontal="left" vertical="center"/>
    </xf>
    <xf numFmtId="0" fontId="11" fillId="9" borderId="54" xfId="0" applyFont="1" applyFill="1" applyBorder="1" applyAlignment="1">
      <alignment horizontal="left" vertical="center"/>
    </xf>
    <xf numFmtId="0" fontId="11" fillId="9" borderId="5" xfId="0" applyFont="1" applyFill="1" applyBorder="1" applyAlignment="1">
      <alignment horizontal="left" vertical="center"/>
    </xf>
    <xf numFmtId="0" fontId="22" fillId="0" borderId="21" xfId="0" applyFont="1" applyBorder="1" applyAlignment="1">
      <alignment vertical="center"/>
    </xf>
    <xf numFmtId="0" fontId="22" fillId="0" borderId="27" xfId="0" applyFont="1" applyBorder="1" applyAlignment="1">
      <alignment vertical="center"/>
    </xf>
    <xf numFmtId="14" fontId="22" fillId="0" borderId="54" xfId="0" applyNumberFormat="1" applyFont="1" applyBorder="1" applyAlignment="1">
      <alignment horizontal="left" vertical="center"/>
    </xf>
    <xf numFmtId="14" fontId="22" fillId="0" borderId="5" xfId="0" applyNumberFormat="1" applyFont="1" applyBorder="1" applyAlignment="1">
      <alignment horizontal="left" vertical="center"/>
    </xf>
    <xf numFmtId="14" fontId="22" fillId="0" borderId="57" xfId="0" applyNumberFormat="1" applyFont="1" applyBorder="1" applyAlignment="1">
      <alignment horizontal="left" vertical="center"/>
    </xf>
    <xf numFmtId="14" fontId="22" fillId="0" borderId="32" xfId="0" applyNumberFormat="1" applyFont="1" applyBorder="1" applyAlignment="1">
      <alignment horizontal="left" vertical="center"/>
    </xf>
    <xf numFmtId="0" fontId="22" fillId="0" borderId="21" xfId="0" applyFont="1" applyBorder="1" applyAlignment="1">
      <alignment horizontal="right" vertical="center"/>
    </xf>
    <xf numFmtId="0" fontId="22" fillId="0" borderId="27" xfId="0" applyFont="1" applyBorder="1" applyAlignment="1">
      <alignment horizontal="right" vertical="center"/>
    </xf>
    <xf numFmtId="1" fontId="22" fillId="0" borderId="54" xfId="0" applyNumberFormat="1" applyFont="1" applyBorder="1" applyAlignment="1">
      <alignment horizontal="left" vertical="center"/>
    </xf>
    <xf numFmtId="1" fontId="22" fillId="0" borderId="5" xfId="0" applyNumberFormat="1" applyFont="1" applyBorder="1" applyAlignment="1">
      <alignment horizontal="center" vertical="center"/>
    </xf>
    <xf numFmtId="1" fontId="22" fillId="0" borderId="57" xfId="0" applyNumberFormat="1" applyFont="1" applyBorder="1" applyAlignment="1">
      <alignment horizontal="left" vertical="center"/>
    </xf>
    <xf numFmtId="1" fontId="22" fillId="0" borderId="32" xfId="0" applyNumberFormat="1" applyFont="1" applyBorder="1" applyAlignment="1">
      <alignment horizontal="center" vertical="center"/>
    </xf>
    <xf numFmtId="0" fontId="22" fillId="0" borderId="21" xfId="0" applyFont="1" applyBorder="1" applyAlignment="1">
      <alignment horizontal="center" vertical="center"/>
    </xf>
    <xf numFmtId="0" fontId="22" fillId="0" borderId="54" xfId="0" applyFont="1" applyBorder="1" applyAlignment="1">
      <alignment horizontal="center" vertical="center"/>
    </xf>
    <xf numFmtId="0" fontId="22" fillId="0" borderId="5" xfId="0" applyFont="1" applyBorder="1" applyAlignment="1">
      <alignment horizontal="center" vertical="center"/>
    </xf>
    <xf numFmtId="0" fontId="22" fillId="0" borderId="27" xfId="0" applyFont="1" applyBorder="1" applyAlignment="1">
      <alignment horizontal="center" vertical="center"/>
    </xf>
    <xf numFmtId="0" fontId="22" fillId="0" borderId="57" xfId="0" applyFont="1" applyBorder="1" applyAlignment="1">
      <alignment horizontal="center" vertical="center"/>
    </xf>
    <xf numFmtId="0" fontId="22" fillId="0" borderId="32" xfId="0" applyFont="1" applyBorder="1" applyAlignment="1">
      <alignment horizontal="center" vertical="center"/>
    </xf>
    <xf numFmtId="0" fontId="0" fillId="0" borderId="29" xfId="0" applyBorder="1" applyAlignment="1">
      <alignment horizontal="left" vertical="center"/>
    </xf>
    <xf numFmtId="0" fontId="0" fillId="0" borderId="11" xfId="0" applyBorder="1" applyAlignment="1">
      <alignment horizontal="left" wrapText="1"/>
    </xf>
    <xf numFmtId="49" fontId="0" fillId="31" borderId="29" xfId="0" applyNumberFormat="1" applyFill="1" applyBorder="1" applyAlignment="1">
      <alignment horizontal="left" wrapText="1"/>
    </xf>
    <xf numFmtId="49" fontId="0" fillId="31" borderId="28" xfId="0" applyNumberFormat="1" applyFill="1" applyBorder="1" applyAlignment="1">
      <alignment horizontal="left" wrapText="1"/>
    </xf>
    <xf numFmtId="49" fontId="0" fillId="31" borderId="53" xfId="0" applyNumberFormat="1" applyFill="1" applyBorder="1" applyAlignment="1">
      <alignment horizontal="left" wrapText="1"/>
    </xf>
    <xf numFmtId="49" fontId="0" fillId="31" borderId="30" xfId="0" applyNumberFormat="1" applyFill="1" applyBorder="1" applyAlignment="1">
      <alignment horizontal="left" wrapText="1"/>
    </xf>
    <xf numFmtId="49" fontId="0" fillId="31" borderId="10" xfId="0" applyNumberFormat="1" applyFill="1" applyBorder="1" applyAlignment="1">
      <alignment horizontal="left" wrapText="1"/>
    </xf>
    <xf numFmtId="49" fontId="0" fillId="31" borderId="43" xfId="0" applyNumberFormat="1" applyFill="1" applyBorder="1" applyAlignment="1">
      <alignment horizontal="left" wrapText="1"/>
    </xf>
    <xf numFmtId="49" fontId="0" fillId="31" borderId="12" xfId="0" applyNumberFormat="1" applyFill="1" applyBorder="1" applyAlignment="1">
      <alignment horizontal="left" wrapText="1"/>
    </xf>
    <xf numFmtId="0" fontId="22" fillId="19" borderId="21" xfId="0" applyFont="1" applyFill="1" applyBorder="1" applyAlignment="1">
      <alignment horizontal="center" vertical="center"/>
    </xf>
    <xf numFmtId="0" fontId="22" fillId="19" borderId="54" xfId="0" applyFont="1" applyFill="1" applyBorder="1" applyAlignment="1">
      <alignment horizontal="center" vertical="center"/>
    </xf>
    <xf numFmtId="0" fontId="22" fillId="19" borderId="5" xfId="0" applyFont="1" applyFill="1" applyBorder="1" applyAlignment="1">
      <alignment horizontal="center" vertical="center"/>
    </xf>
    <xf numFmtId="0" fontId="22" fillId="19" borderId="27" xfId="0" applyFont="1" applyFill="1" applyBorder="1" applyAlignment="1">
      <alignment horizontal="center" vertical="center"/>
    </xf>
    <xf numFmtId="0" fontId="22" fillId="19" borderId="57" xfId="0" applyFont="1" applyFill="1" applyBorder="1" applyAlignment="1">
      <alignment horizontal="center" vertical="center"/>
    </xf>
    <xf numFmtId="0" fontId="22" fillId="19" borderId="32" xfId="0" applyFont="1" applyFill="1" applyBorder="1" applyAlignment="1">
      <alignment horizontal="center" vertical="center"/>
    </xf>
    <xf numFmtId="0" fontId="10" fillId="19" borderId="31" xfId="0" applyFont="1" applyFill="1" applyBorder="1" applyAlignment="1">
      <alignment horizontal="center" vertical="center"/>
    </xf>
    <xf numFmtId="0" fontId="10" fillId="19" borderId="4" xfId="0" applyFont="1" applyFill="1" applyBorder="1" applyAlignment="1">
      <alignment horizontal="center" vertical="center"/>
    </xf>
    <xf numFmtId="166" fontId="53" fillId="19" borderId="31" xfId="2" applyNumberFormat="1" applyFont="1" applyFill="1" applyBorder="1" applyAlignment="1">
      <alignment horizontal="center" vertical="center"/>
    </xf>
    <xf numFmtId="166" fontId="53" fillId="19" borderId="4" xfId="2" applyNumberFormat="1" applyFont="1" applyFill="1" applyBorder="1" applyAlignment="1">
      <alignment horizontal="center" vertical="center"/>
    </xf>
    <xf numFmtId="0" fontId="15" fillId="0" borderId="9" xfId="0" applyFont="1" applyBorder="1" applyAlignment="1">
      <alignment horizontal="center" vertical="center"/>
    </xf>
    <xf numFmtId="0" fontId="15" fillId="0" borderId="0" xfId="0" applyFont="1" applyAlignment="1">
      <alignment horizontal="center" vertical="center"/>
    </xf>
    <xf numFmtId="0" fontId="15" fillId="0" borderId="51" xfId="0" applyFont="1" applyBorder="1" applyAlignment="1">
      <alignment horizontal="center" vertical="center"/>
    </xf>
    <xf numFmtId="0" fontId="15" fillId="0" borderId="27" xfId="0" applyFont="1" applyBorder="1" applyAlignment="1">
      <alignment horizontal="center" vertical="center"/>
    </xf>
    <xf numFmtId="0" fontId="15" fillId="0" borderId="57" xfId="0" applyFont="1" applyBorder="1" applyAlignment="1">
      <alignment horizontal="center" vertical="center"/>
    </xf>
    <xf numFmtId="0" fontId="15" fillId="0" borderId="32" xfId="0" applyFont="1" applyBorder="1" applyAlignment="1">
      <alignment horizontal="center" vertical="center"/>
    </xf>
    <xf numFmtId="0" fontId="19" fillId="0" borderId="9" xfId="0" applyFont="1" applyBorder="1" applyAlignment="1">
      <alignment horizontal="center" vertical="center"/>
    </xf>
    <xf numFmtId="0" fontId="19" fillId="0" borderId="27" xfId="0" applyFont="1" applyBorder="1" applyAlignment="1">
      <alignment horizontal="center" vertical="center"/>
    </xf>
    <xf numFmtId="166" fontId="19" fillId="0" borderId="13" xfId="2" applyNumberFormat="1" applyFont="1" applyBorder="1" applyAlignment="1">
      <alignment horizontal="center" vertical="center"/>
    </xf>
    <xf numFmtId="166" fontId="19" fillId="0" borderId="4" xfId="2" applyNumberFormat="1" applyFont="1" applyBorder="1" applyAlignment="1">
      <alignment horizontal="center" vertical="center"/>
    </xf>
    <xf numFmtId="0" fontId="0" fillId="0" borderId="2" xfId="0" applyBorder="1" applyAlignment="1">
      <alignment horizontal="center"/>
    </xf>
    <xf numFmtId="0" fontId="0" fillId="0" borderId="77" xfId="0" applyBorder="1" applyAlignment="1">
      <alignment horizontal="center"/>
    </xf>
    <xf numFmtId="0" fontId="0" fillId="0" borderId="29" xfId="0" applyBorder="1" applyAlignment="1">
      <alignment horizontal="center"/>
    </xf>
    <xf numFmtId="0" fontId="22" fillId="0" borderId="43" xfId="0" applyFont="1" applyBorder="1" applyAlignment="1">
      <alignment horizontal="left" vertical="center"/>
    </xf>
    <xf numFmtId="0" fontId="22" fillId="0" borderId="12" xfId="0" applyFont="1" applyBorder="1" applyAlignment="1">
      <alignment horizontal="left" vertical="center"/>
    </xf>
    <xf numFmtId="0" fontId="22" fillId="0" borderId="1" xfId="0" applyFont="1" applyBorder="1" applyAlignment="1">
      <alignment horizontal="center" vertical="center"/>
    </xf>
    <xf numFmtId="0" fontId="22" fillId="0" borderId="44" xfId="0" applyFont="1" applyBorder="1" applyAlignment="1">
      <alignment horizontal="center" vertical="center"/>
    </xf>
    <xf numFmtId="0" fontId="22" fillId="0" borderId="28" xfId="0" applyFont="1" applyBorder="1" applyAlignment="1">
      <alignment horizontal="center" vertical="center"/>
    </xf>
    <xf numFmtId="0" fontId="22" fillId="0" borderId="53" xfId="0" applyFont="1" applyBorder="1" applyAlignment="1">
      <alignment horizontal="center" vertical="center"/>
    </xf>
    <xf numFmtId="0" fontId="16" fillId="0" borderId="20" xfId="0" applyFont="1" applyBorder="1" applyAlignment="1">
      <alignment horizontal="left" vertical="top" wrapText="1"/>
    </xf>
    <xf numFmtId="0" fontId="16" fillId="0" borderId="50" xfId="0" applyFont="1" applyBorder="1" applyAlignment="1">
      <alignment horizontal="left" vertical="top" wrapText="1"/>
    </xf>
    <xf numFmtId="0" fontId="16" fillId="0" borderId="56" xfId="0" applyFont="1" applyBorder="1" applyAlignment="1">
      <alignment horizontal="left" vertical="top" wrapText="1"/>
    </xf>
    <xf numFmtId="0" fontId="0" fillId="0" borderId="39" xfId="0" applyBorder="1" applyAlignment="1">
      <alignment horizontal="right"/>
    </xf>
    <xf numFmtId="0" fontId="0" fillId="0" borderId="47" xfId="0" applyBorder="1" applyAlignment="1">
      <alignment horizontal="right"/>
    </xf>
    <xf numFmtId="0" fontId="2" fillId="12" borderId="39" xfId="0" applyFont="1" applyFill="1" applyBorder="1" applyAlignment="1">
      <alignment horizontal="right"/>
    </xf>
    <xf numFmtId="0" fontId="2" fillId="12" borderId="47" xfId="0" applyFont="1" applyFill="1" applyBorder="1" applyAlignment="1">
      <alignment horizontal="right"/>
    </xf>
    <xf numFmtId="0" fontId="16" fillId="0" borderId="7" xfId="0" applyFont="1" applyBorder="1" applyAlignment="1">
      <alignment horizontal="left" vertical="top" wrapText="1"/>
    </xf>
    <xf numFmtId="0" fontId="16" fillId="0" borderId="42" xfId="0" applyFont="1" applyBorder="1" applyAlignment="1">
      <alignment horizontal="left" vertical="top" wrapText="1"/>
    </xf>
    <xf numFmtId="0" fontId="16" fillId="0" borderId="55" xfId="0" applyFont="1" applyBorder="1" applyAlignment="1">
      <alignment horizontal="left" vertical="top" wrapText="1"/>
    </xf>
    <xf numFmtId="0" fontId="16" fillId="0" borderId="17" xfId="0" applyFont="1" applyBorder="1" applyAlignment="1">
      <alignment horizontal="left" vertical="top" wrapText="1"/>
    </xf>
    <xf numFmtId="0" fontId="16" fillId="0" borderId="43" xfId="0" applyFont="1" applyBorder="1" applyAlignment="1">
      <alignment horizontal="left" vertical="top" wrapText="1"/>
    </xf>
    <xf numFmtId="0" fontId="16" fillId="0" borderId="12" xfId="0" applyFont="1" applyBorder="1" applyAlignment="1">
      <alignment horizontal="left" vertical="top" wrapText="1"/>
    </xf>
    <xf numFmtId="0" fontId="3" fillId="12" borderId="39" xfId="0" applyFont="1" applyFill="1" applyBorder="1" applyAlignment="1">
      <alignment horizontal="left" vertical="center" wrapText="1"/>
    </xf>
    <xf numFmtId="0" fontId="3" fillId="12" borderId="47" xfId="0" applyFont="1" applyFill="1" applyBorder="1" applyAlignment="1">
      <alignment horizontal="left" vertical="center" wrapText="1"/>
    </xf>
    <xf numFmtId="0" fontId="3" fillId="12" borderId="14" xfId="0" applyFont="1" applyFill="1" applyBorder="1" applyAlignment="1">
      <alignment horizontal="left" vertical="center" wrapText="1"/>
    </xf>
    <xf numFmtId="0" fontId="16" fillId="0" borderId="39" xfId="0" applyFont="1" applyBorder="1" applyAlignment="1">
      <alignment horizontal="left" vertical="top" wrapText="1"/>
    </xf>
    <xf numFmtId="0" fontId="16" fillId="0" borderId="47" xfId="0" applyFont="1" applyBorder="1" applyAlignment="1">
      <alignment horizontal="left" vertical="top" wrapText="1"/>
    </xf>
    <xf numFmtId="0" fontId="16" fillId="0" borderId="84" xfId="0" applyFont="1" applyBorder="1" applyAlignment="1">
      <alignment horizontal="left" vertical="top" wrapText="1"/>
    </xf>
    <xf numFmtId="0" fontId="15" fillId="13" borderId="39" xfId="0" applyFont="1" applyFill="1" applyBorder="1" applyAlignment="1">
      <alignment horizontal="right" vertical="center"/>
    </xf>
    <xf numFmtId="0" fontId="0" fillId="13" borderId="47" xfId="0" applyFill="1" applyBorder="1" applyAlignment="1">
      <alignment horizontal="right" vertical="center"/>
    </xf>
    <xf numFmtId="0" fontId="0" fillId="13" borderId="14" xfId="0" applyFill="1" applyBorder="1" applyAlignment="1">
      <alignment horizontal="right" vertical="center"/>
    </xf>
    <xf numFmtId="0" fontId="18" fillId="14" borderId="21" xfId="0" applyFont="1" applyFill="1" applyBorder="1" applyAlignment="1">
      <alignment horizontal="center" vertical="center"/>
    </xf>
    <xf numFmtId="0" fontId="18" fillId="14" borderId="54" xfId="0" applyFont="1" applyFill="1" applyBorder="1" applyAlignment="1">
      <alignment horizontal="center" vertical="center"/>
    </xf>
    <xf numFmtId="0" fontId="18" fillId="14" borderId="69"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0" xfId="0" applyFont="1" applyFill="1" applyAlignment="1">
      <alignment horizontal="center" vertical="center"/>
    </xf>
    <xf numFmtId="0" fontId="18" fillId="14" borderId="60" xfId="0" applyFont="1" applyFill="1" applyBorder="1" applyAlignment="1">
      <alignment horizontal="center" vertical="center"/>
    </xf>
    <xf numFmtId="0" fontId="4" fillId="14" borderId="75" xfId="0" applyFont="1" applyFill="1" applyBorder="1" applyAlignment="1">
      <alignment horizontal="center" vertical="center"/>
    </xf>
    <xf numFmtId="0" fontId="4" fillId="14" borderId="74" xfId="0" applyFont="1" applyFill="1" applyBorder="1" applyAlignment="1">
      <alignment horizontal="center" vertical="center"/>
    </xf>
    <xf numFmtId="0" fontId="10" fillId="16" borderId="21" xfId="0" applyFont="1" applyFill="1" applyBorder="1" applyAlignment="1">
      <alignment horizontal="center" vertical="center"/>
    </xf>
    <xf numFmtId="0" fontId="10" fillId="16" borderId="54" xfId="0" applyFont="1" applyFill="1" applyBorder="1" applyAlignment="1">
      <alignment horizontal="center" vertical="center"/>
    </xf>
    <xf numFmtId="0" fontId="10" fillId="16" borderId="9" xfId="0" applyFont="1" applyFill="1" applyBorder="1" applyAlignment="1">
      <alignment horizontal="center" vertical="center"/>
    </xf>
    <xf numFmtId="0" fontId="10" fillId="16" borderId="0" xfId="0" applyFont="1" applyFill="1" applyAlignment="1">
      <alignment horizontal="center" vertical="center"/>
    </xf>
    <xf numFmtId="0" fontId="10" fillId="16" borderId="27" xfId="0" applyFont="1" applyFill="1" applyBorder="1" applyAlignment="1">
      <alignment horizontal="center" vertical="center"/>
    </xf>
    <xf numFmtId="0" fontId="10" fillId="16" borderId="57" xfId="0" applyFont="1" applyFill="1" applyBorder="1" applyAlignment="1">
      <alignment horizontal="center" vertical="center"/>
    </xf>
    <xf numFmtId="0" fontId="15" fillId="16" borderId="31" xfId="0" applyFont="1" applyFill="1" applyBorder="1" applyAlignment="1">
      <alignment horizontal="center" vertical="center"/>
    </xf>
    <xf numFmtId="0" fontId="15" fillId="16" borderId="13" xfId="0" applyFont="1" applyFill="1" applyBorder="1" applyAlignment="1">
      <alignment horizontal="center" vertical="center"/>
    </xf>
    <xf numFmtId="0" fontId="15" fillId="16" borderId="4" xfId="0" applyFont="1" applyFill="1" applyBorder="1" applyAlignment="1">
      <alignment horizontal="center" vertical="center"/>
    </xf>
    <xf numFmtId="0" fontId="10" fillId="16" borderId="5"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32" xfId="0" applyFont="1" applyFill="1" applyBorder="1" applyAlignment="1">
      <alignment horizontal="center" vertical="center"/>
    </xf>
    <xf numFmtId="0" fontId="15" fillId="0" borderId="21" xfId="0" applyFont="1" applyBorder="1" applyAlignment="1">
      <alignment horizontal="center" vertical="center"/>
    </xf>
    <xf numFmtId="0" fontId="15" fillId="0" borderId="54" xfId="0" applyFont="1" applyBorder="1" applyAlignment="1">
      <alignment horizontal="center" vertical="center"/>
    </xf>
    <xf numFmtId="0" fontId="15" fillId="0" borderId="5" xfId="0" applyFont="1" applyBorder="1" applyAlignment="1">
      <alignment horizontal="center" vertical="center"/>
    </xf>
    <xf numFmtId="0" fontId="19" fillId="0" borderId="21" xfId="0" applyFont="1" applyBorder="1" applyAlignment="1">
      <alignment horizontal="center" vertical="center"/>
    </xf>
    <xf numFmtId="166" fontId="19" fillId="0" borderId="31" xfId="2" applyNumberFormat="1" applyFont="1" applyBorder="1" applyAlignment="1">
      <alignment horizontal="center" vertical="center"/>
    </xf>
    <xf numFmtId="0" fontId="16" fillId="0" borderId="0" xfId="0" applyFont="1" applyAlignment="1">
      <alignment horizontal="left" vertical="top" wrapText="1"/>
    </xf>
    <xf numFmtId="0" fontId="15" fillId="11" borderId="71" xfId="0" applyFont="1" applyFill="1" applyBorder="1" applyAlignment="1">
      <alignment horizontal="center" vertical="center"/>
    </xf>
    <xf numFmtId="0" fontId="15" fillId="11" borderId="65" xfId="0" applyFont="1" applyFill="1" applyBorder="1" applyAlignment="1">
      <alignment horizontal="center" vertical="center"/>
    </xf>
    <xf numFmtId="0" fontId="2" fillId="8" borderId="31" xfId="0" applyFont="1" applyFill="1" applyBorder="1" applyAlignment="1">
      <alignment horizontal="center" vertical="center" wrapText="1"/>
    </xf>
    <xf numFmtId="0" fontId="2" fillId="8" borderId="4" xfId="0" applyFont="1" applyFill="1" applyBorder="1" applyAlignment="1">
      <alignment horizontal="center" vertical="center"/>
    </xf>
    <xf numFmtId="0" fontId="2" fillId="8" borderId="4" xfId="0" applyFont="1" applyFill="1" applyBorder="1" applyAlignment="1">
      <alignment horizontal="center" vertical="center" wrapText="1"/>
    </xf>
    <xf numFmtId="0" fontId="0" fillId="0" borderId="21" xfId="0" applyBorder="1" applyAlignment="1">
      <alignment horizontal="center" vertical="center"/>
    </xf>
    <xf numFmtId="0" fontId="0" fillId="0" borderId="5" xfId="0" applyBorder="1" applyAlignment="1">
      <alignment horizontal="center" vertical="center"/>
    </xf>
    <xf numFmtId="0" fontId="0" fillId="0" borderId="27" xfId="0" applyBorder="1" applyAlignment="1">
      <alignment horizontal="center" vertical="center"/>
    </xf>
    <xf numFmtId="0" fontId="0" fillId="0" borderId="32" xfId="0" applyBorder="1" applyAlignment="1">
      <alignment horizontal="center" vertical="center"/>
    </xf>
    <xf numFmtId="0" fontId="0" fillId="0" borderId="54"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51" xfId="0" applyBorder="1" applyAlignment="1">
      <alignment horizontal="center" vertical="center"/>
    </xf>
    <xf numFmtId="0" fontId="0" fillId="0" borderId="57" xfId="0" applyBorder="1" applyAlignment="1">
      <alignment horizontal="center" vertical="center"/>
    </xf>
    <xf numFmtId="1" fontId="32" fillId="0" borderId="72" xfId="0" applyNumberFormat="1" applyFont="1" applyBorder="1" applyAlignment="1">
      <alignment horizontal="center" vertical="top" wrapText="1"/>
    </xf>
    <xf numFmtId="1" fontId="32" fillId="0" borderId="77" xfId="0" applyNumberFormat="1" applyFont="1" applyBorder="1" applyAlignment="1">
      <alignment horizontal="center" vertical="top" wrapText="1"/>
    </xf>
    <xf numFmtId="1" fontId="32" fillId="0" borderId="83" xfId="0" applyNumberFormat="1" applyFont="1" applyBorder="1" applyAlignment="1">
      <alignment horizontal="center" vertical="top" wrapText="1"/>
    </xf>
    <xf numFmtId="0" fontId="32" fillId="0" borderId="72" xfId="0" applyFont="1" applyBorder="1" applyAlignment="1">
      <alignment horizontal="left" vertical="top" wrapText="1"/>
    </xf>
    <xf numFmtId="0" fontId="32" fillId="0" borderId="77" xfId="0" applyFont="1" applyBorder="1" applyAlignment="1">
      <alignment horizontal="left" vertical="top" wrapText="1"/>
    </xf>
    <xf numFmtId="0" fontId="32" fillId="0" borderId="83" xfId="0" applyFont="1" applyBorder="1" applyAlignment="1">
      <alignment horizontal="left" vertical="top" wrapText="1"/>
    </xf>
    <xf numFmtId="14" fontId="32" fillId="0" borderId="72" xfId="0" applyNumberFormat="1" applyFont="1" applyBorder="1" applyAlignment="1">
      <alignment horizontal="center" vertical="top" wrapText="1"/>
    </xf>
    <xf numFmtId="14" fontId="32" fillId="0" borderId="83" xfId="0" applyNumberFormat="1" applyFont="1" applyBorder="1" applyAlignment="1">
      <alignment horizontal="center" vertical="top" wrapText="1"/>
    </xf>
    <xf numFmtId="1" fontId="32" fillId="0" borderId="29" xfId="0" applyNumberFormat="1" applyFont="1" applyBorder="1" applyAlignment="1">
      <alignment horizontal="center" vertical="top" wrapText="1"/>
    </xf>
    <xf numFmtId="1" fontId="32" fillId="0" borderId="2" xfId="0" applyNumberFormat="1" applyFont="1" applyBorder="1" applyAlignment="1">
      <alignment horizontal="center" vertical="top" wrapText="1"/>
    </xf>
    <xf numFmtId="0" fontId="32" fillId="2" borderId="39" xfId="0" applyFont="1" applyFill="1" applyBorder="1" applyAlignment="1">
      <alignment horizontal="left" vertical="top"/>
    </xf>
    <xf numFmtId="0" fontId="32" fillId="2" borderId="47" xfId="0" applyFont="1" applyFill="1" applyBorder="1" applyAlignment="1">
      <alignment horizontal="left" vertical="top"/>
    </xf>
    <xf numFmtId="0" fontId="32" fillId="2" borderId="14" xfId="0" applyFont="1" applyFill="1" applyBorder="1" applyAlignment="1">
      <alignment horizontal="left" vertical="top"/>
    </xf>
    <xf numFmtId="0" fontId="32" fillId="0" borderId="29" xfId="0" applyFont="1" applyBorder="1" applyAlignment="1">
      <alignment horizontal="left" vertical="top" wrapText="1"/>
    </xf>
    <xf numFmtId="0" fontId="32" fillId="0" borderId="2" xfId="0" applyFont="1" applyBorder="1" applyAlignment="1">
      <alignment horizontal="left" vertical="top" wrapText="1"/>
    </xf>
    <xf numFmtId="14" fontId="32" fillId="0" borderId="77" xfId="0" applyNumberFormat="1" applyFont="1" applyBorder="1" applyAlignment="1">
      <alignment horizontal="center" vertical="top" wrapText="1"/>
    </xf>
    <xf numFmtId="14" fontId="32" fillId="0" borderId="29" xfId="0" applyNumberFormat="1" applyFont="1" applyBorder="1" applyAlignment="1">
      <alignment horizontal="center" vertical="top" wrapText="1"/>
    </xf>
    <xf numFmtId="14" fontId="32" fillId="0" borderId="11" xfId="0" applyNumberFormat="1" applyFont="1" applyBorder="1" applyAlignment="1">
      <alignment horizontal="center" vertical="top" wrapText="1"/>
    </xf>
    <xf numFmtId="14" fontId="32" fillId="0" borderId="2" xfId="0" applyNumberFormat="1" applyFont="1" applyBorder="1" applyAlignment="1">
      <alignment horizontal="center" vertical="top" wrapText="1"/>
    </xf>
    <xf numFmtId="1" fontId="32" fillId="0" borderId="11" xfId="0" applyNumberFormat="1" applyFont="1" applyBorder="1" applyAlignment="1">
      <alignment horizontal="center" vertical="top" wrapText="1"/>
    </xf>
    <xf numFmtId="0" fontId="32" fillId="0" borderId="11" xfId="0" applyFont="1" applyBorder="1" applyAlignment="1">
      <alignment horizontal="left" vertical="top" wrapText="1"/>
    </xf>
    <xf numFmtId="0" fontId="28" fillId="2" borderId="54"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0" xfId="0" applyFont="1" applyFill="1" applyAlignment="1">
      <alignment horizontal="center" vertical="center"/>
    </xf>
    <xf numFmtId="0" fontId="28" fillId="2" borderId="51" xfId="0" applyFont="1" applyFill="1" applyBorder="1" applyAlignment="1">
      <alignment horizontal="center" vertical="center"/>
    </xf>
    <xf numFmtId="0" fontId="28" fillId="2" borderId="57" xfId="0" applyFont="1" applyFill="1" applyBorder="1" applyAlignment="1">
      <alignment horizontal="center" vertical="center"/>
    </xf>
    <xf numFmtId="0" fontId="28" fillId="2" borderId="32" xfId="0" applyFont="1" applyFill="1" applyBorder="1" applyAlignment="1">
      <alignment horizontal="center" vertical="center"/>
    </xf>
    <xf numFmtId="9" fontId="52" fillId="27" borderId="21" xfId="2" applyFont="1" applyFill="1" applyBorder="1" applyAlignment="1">
      <alignment horizontal="center" vertical="center" wrapText="1"/>
    </xf>
    <xf numFmtId="9" fontId="52" fillId="27" borderId="5" xfId="2" applyFont="1" applyFill="1" applyBorder="1" applyAlignment="1">
      <alignment horizontal="center" vertical="center" wrapText="1"/>
    </xf>
    <xf numFmtId="9" fontId="52" fillId="27" borderId="9" xfId="2" applyFont="1" applyFill="1" applyBorder="1" applyAlignment="1">
      <alignment horizontal="center" vertical="center" wrapText="1"/>
    </xf>
    <xf numFmtId="9" fontId="52" fillId="27" borderId="51" xfId="2" applyFont="1" applyFill="1" applyBorder="1" applyAlignment="1">
      <alignment horizontal="center" vertical="center" wrapText="1"/>
    </xf>
    <xf numFmtId="9" fontId="52" fillId="27" borderId="27" xfId="2" applyFont="1" applyFill="1" applyBorder="1" applyAlignment="1">
      <alignment horizontal="center" vertical="center" wrapText="1"/>
    </xf>
    <xf numFmtId="9" fontId="52" fillId="27" borderId="32" xfId="2" applyFont="1" applyFill="1" applyBorder="1" applyAlignment="1">
      <alignment horizontal="center" vertical="center" wrapText="1"/>
    </xf>
    <xf numFmtId="0" fontId="48" fillId="26" borderId="47" xfId="0" applyFont="1" applyFill="1" applyBorder="1" applyAlignment="1">
      <alignment horizontal="center"/>
    </xf>
    <xf numFmtId="0" fontId="48" fillId="26" borderId="14" xfId="0" applyFont="1" applyFill="1" applyBorder="1" applyAlignment="1">
      <alignment horizontal="center"/>
    </xf>
    <xf numFmtId="0" fontId="32" fillId="2" borderId="39" xfId="0" applyFont="1" applyFill="1" applyBorder="1" applyAlignment="1">
      <alignment horizontal="left" vertical="center"/>
    </xf>
    <xf numFmtId="0" fontId="32" fillId="2" borderId="47" xfId="0" applyFont="1" applyFill="1" applyBorder="1" applyAlignment="1">
      <alignment horizontal="left" vertical="center"/>
    </xf>
    <xf numFmtId="0" fontId="32" fillId="2" borderId="14" xfId="0" applyFont="1" applyFill="1" applyBorder="1" applyAlignment="1">
      <alignment horizontal="left" vertical="center"/>
    </xf>
    <xf numFmtId="14" fontId="47" fillId="26" borderId="39" xfId="2" applyNumberFormat="1" applyFont="1" applyFill="1" applyBorder="1" applyAlignment="1">
      <alignment horizontal="center" vertical="center"/>
    </xf>
    <xf numFmtId="14" fontId="47" fillId="26" borderId="14" xfId="2" applyNumberFormat="1" applyFont="1" applyFill="1" applyBorder="1" applyAlignment="1">
      <alignment horizontal="center" vertical="center"/>
    </xf>
    <xf numFmtId="1" fontId="51" fillId="0" borderId="21" xfId="0" applyNumberFormat="1" applyFont="1" applyBorder="1" applyAlignment="1">
      <alignment horizontal="center" vertical="center"/>
    </xf>
    <xf numFmtId="1" fontId="51" fillId="0" borderId="5" xfId="0" applyNumberFormat="1" applyFont="1" applyBorder="1" applyAlignment="1">
      <alignment horizontal="center" vertical="center"/>
    </xf>
    <xf numFmtId="1" fontId="51" fillId="0" borderId="9" xfId="0" applyNumberFormat="1" applyFont="1" applyBorder="1" applyAlignment="1">
      <alignment horizontal="center" vertical="center"/>
    </xf>
    <xf numFmtId="1" fontId="51" fillId="0" borderId="51" xfId="0" applyNumberFormat="1" applyFont="1" applyBorder="1" applyAlignment="1">
      <alignment horizontal="center" vertical="center"/>
    </xf>
    <xf numFmtId="1" fontId="51" fillId="0" borderId="27" xfId="0" applyNumberFormat="1" applyFont="1" applyBorder="1" applyAlignment="1">
      <alignment horizontal="center" vertical="center"/>
    </xf>
    <xf numFmtId="1" fontId="51" fillId="0" borderId="32" xfId="0" applyNumberFormat="1" applyFont="1" applyBorder="1" applyAlignment="1">
      <alignment horizontal="center" vertical="center"/>
    </xf>
    <xf numFmtId="14" fontId="52" fillId="27" borderId="31" xfId="2" applyNumberFormat="1" applyFont="1" applyFill="1" applyBorder="1" applyAlignment="1">
      <alignment horizontal="center" vertical="center" wrapText="1"/>
    </xf>
    <xf numFmtId="9" fontId="52" fillId="27" borderId="13" xfId="2" applyFont="1" applyFill="1" applyBorder="1" applyAlignment="1">
      <alignment horizontal="center" vertical="center" wrapText="1"/>
    </xf>
    <xf numFmtId="9" fontId="52" fillId="27" borderId="4" xfId="2" applyFont="1" applyFill="1" applyBorder="1" applyAlignment="1">
      <alignment horizontal="center" vertical="center" wrapText="1"/>
    </xf>
    <xf numFmtId="0" fontId="52" fillId="27" borderId="21" xfId="0" applyFont="1" applyFill="1" applyBorder="1" applyAlignment="1">
      <alignment horizontal="center" vertical="center"/>
    </xf>
    <xf numFmtId="0" fontId="52" fillId="27" borderId="54" xfId="0" applyFont="1" applyFill="1" applyBorder="1" applyAlignment="1">
      <alignment horizontal="center" vertical="center"/>
    </xf>
    <xf numFmtId="0" fontId="52" fillId="27" borderId="5" xfId="0" applyFont="1" applyFill="1" applyBorder="1" applyAlignment="1">
      <alignment horizontal="center" vertical="center"/>
    </xf>
    <xf numFmtId="0" fontId="52" fillId="27" borderId="9" xfId="0" applyFont="1" applyFill="1" applyBorder="1" applyAlignment="1">
      <alignment horizontal="center" vertical="center"/>
    </xf>
    <xf numFmtId="0" fontId="52" fillId="27" borderId="0" xfId="0" applyFont="1" applyFill="1" applyAlignment="1">
      <alignment horizontal="center" vertical="center"/>
    </xf>
    <xf numFmtId="0" fontId="52" fillId="27" borderId="51" xfId="0" applyFont="1" applyFill="1" applyBorder="1" applyAlignment="1">
      <alignment horizontal="center" vertical="center"/>
    </xf>
    <xf numFmtId="0" fontId="52" fillId="27" borderId="27" xfId="0" applyFont="1" applyFill="1" applyBorder="1" applyAlignment="1">
      <alignment horizontal="center" vertical="center"/>
    </xf>
    <xf numFmtId="0" fontId="52" fillId="27" borderId="57" xfId="0" applyFont="1" applyFill="1" applyBorder="1" applyAlignment="1">
      <alignment horizontal="center" vertical="center"/>
    </xf>
    <xf numFmtId="0" fontId="52" fillId="27" borderId="32" xfId="0" applyFont="1" applyFill="1" applyBorder="1" applyAlignment="1">
      <alignment horizontal="center" vertical="center"/>
    </xf>
    <xf numFmtId="0" fontId="2" fillId="0" borderId="19" xfId="0" applyFont="1" applyBorder="1" applyAlignment="1">
      <alignment horizontal="left"/>
    </xf>
    <xf numFmtId="0" fontId="2" fillId="0" borderId="56" xfId="0" applyFont="1" applyBorder="1" applyAlignment="1">
      <alignment horizontal="left"/>
    </xf>
    <xf numFmtId="0" fontId="2" fillId="0" borderId="18" xfId="0" applyFont="1" applyBorder="1" applyAlignment="1">
      <alignment horizontal="left"/>
    </xf>
    <xf numFmtId="0" fontId="2" fillId="0" borderId="16" xfId="0" applyFont="1" applyBorder="1" applyAlignment="1">
      <alignment horizontal="left"/>
    </xf>
    <xf numFmtId="0" fontId="2" fillId="0" borderId="12" xfId="0" applyFont="1" applyBorder="1" applyAlignment="1">
      <alignment horizontal="left"/>
    </xf>
    <xf numFmtId="0" fontId="2" fillId="0" borderId="15" xfId="0" applyFont="1" applyBorder="1" applyAlignment="1">
      <alignment horizontal="left"/>
    </xf>
    <xf numFmtId="1" fontId="22" fillId="0" borderId="5" xfId="0" applyNumberFormat="1" applyFont="1" applyBorder="1" applyAlignment="1">
      <alignment horizontal="left" vertical="center"/>
    </xf>
    <xf numFmtId="1" fontId="22" fillId="0" borderId="32" xfId="0" applyNumberFormat="1" applyFont="1" applyBorder="1" applyAlignment="1">
      <alignment horizontal="left" vertical="center"/>
    </xf>
    <xf numFmtId="14" fontId="2" fillId="0" borderId="16" xfId="0" applyNumberFormat="1" applyFont="1" applyBorder="1" applyAlignment="1">
      <alignment horizontal="left"/>
    </xf>
    <xf numFmtId="14" fontId="2" fillId="0" borderId="12" xfId="0" applyNumberFormat="1" applyFont="1" applyBorder="1" applyAlignment="1">
      <alignment horizontal="left"/>
    </xf>
    <xf numFmtId="14" fontId="2" fillId="0" borderId="15" xfId="0" applyNumberFormat="1" applyFont="1" applyBorder="1" applyAlignment="1">
      <alignment horizontal="left"/>
    </xf>
    <xf numFmtId="0" fontId="2" fillId="0" borderId="23" xfId="0" applyFont="1" applyBorder="1" applyAlignment="1">
      <alignment horizontal="left"/>
    </xf>
    <xf numFmtId="0" fontId="2" fillId="0" borderId="55" xfId="0" applyFont="1" applyBorder="1" applyAlignment="1">
      <alignment horizontal="left"/>
    </xf>
    <xf numFmtId="0" fontId="2" fillId="0" borderId="22" xfId="0" applyFont="1" applyBorder="1" applyAlignment="1">
      <alignment horizontal="left"/>
    </xf>
    <xf numFmtId="0" fontId="33" fillId="0" borderId="68" xfId="0" applyFont="1" applyBorder="1" applyAlignment="1" applyProtection="1">
      <alignment horizontal="center" vertical="center" wrapText="1" shrinkToFit="1"/>
      <protection locked="0"/>
    </xf>
    <xf numFmtId="0" fontId="33" fillId="0" borderId="11" xfId="0" applyFont="1" applyBorder="1" applyAlignment="1" applyProtection="1">
      <alignment horizontal="center" vertical="center" wrapText="1" shrinkToFit="1"/>
      <protection locked="0"/>
    </xf>
    <xf numFmtId="0" fontId="33" fillId="0" borderId="62" xfId="0" applyFont="1" applyBorder="1" applyAlignment="1" applyProtection="1">
      <alignment horizontal="center" vertical="center" wrapText="1" shrinkToFit="1"/>
      <protection locked="0"/>
    </xf>
    <xf numFmtId="0" fontId="3" fillId="0" borderId="31"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72" xfId="0" applyFont="1" applyBorder="1" applyAlignment="1">
      <alignment horizontal="center" vertical="center" wrapText="1"/>
    </xf>
    <xf numFmtId="0" fontId="3" fillId="0" borderId="77"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71" xfId="0" applyFont="1" applyBorder="1" applyAlignment="1">
      <alignment horizontal="center" vertical="center" wrapText="1"/>
    </xf>
    <xf numFmtId="0" fontId="3" fillId="0" borderId="66" xfId="0" applyFont="1" applyBorder="1" applyAlignment="1">
      <alignment horizontal="center" vertical="center" wrapText="1"/>
    </xf>
    <xf numFmtId="0" fontId="3" fillId="0" borderId="65" xfId="0" applyFont="1" applyBorder="1" applyAlignment="1">
      <alignment horizontal="center" vertical="center" wrapText="1"/>
    </xf>
    <xf numFmtId="0" fontId="33" fillId="6" borderId="29" xfId="0" applyFont="1" applyFill="1" applyBorder="1" applyAlignment="1" applyProtection="1">
      <alignment horizontal="center" vertical="center" wrapText="1" shrinkToFit="1"/>
      <protection locked="0"/>
    </xf>
    <xf numFmtId="0" fontId="33" fillId="6" borderId="11" xfId="0" applyFont="1" applyFill="1" applyBorder="1" applyAlignment="1" applyProtection="1">
      <alignment horizontal="center" vertical="center" wrapText="1" shrinkToFit="1"/>
      <protection locked="0"/>
    </xf>
    <xf numFmtId="0" fontId="37" fillId="6" borderId="72" xfId="0" applyFont="1" applyFill="1" applyBorder="1" applyAlignment="1">
      <alignment horizontal="center" vertical="center"/>
    </xf>
    <xf numFmtId="0" fontId="37" fillId="6" borderId="77" xfId="0" applyFont="1" applyFill="1" applyBorder="1" applyAlignment="1">
      <alignment horizontal="center" vertical="center"/>
    </xf>
    <xf numFmtId="0" fontId="37" fillId="6" borderId="29" xfId="0" applyFont="1" applyFill="1" applyBorder="1" applyAlignment="1">
      <alignment horizontal="center" vertical="center"/>
    </xf>
    <xf numFmtId="0" fontId="33" fillId="0" borderId="2" xfId="0" applyFont="1" applyBorder="1" applyAlignment="1" applyProtection="1">
      <alignment horizontal="center" vertical="center" wrapText="1" shrinkToFit="1"/>
      <protection locked="0"/>
    </xf>
    <xf numFmtId="0" fontId="0" fillId="0" borderId="85" xfId="0" applyBorder="1" applyAlignment="1">
      <alignment horizontal="center"/>
    </xf>
    <xf numFmtId="0" fontId="0" fillId="0" borderId="86" xfId="0" applyBorder="1" applyAlignment="1">
      <alignment horizontal="center"/>
    </xf>
    <xf numFmtId="0" fontId="0" fillId="0" borderId="87" xfId="0" applyBorder="1" applyAlignment="1">
      <alignment horizontal="center"/>
    </xf>
    <xf numFmtId="0" fontId="21" fillId="2" borderId="0" xfId="0" applyFont="1" applyFill="1" applyAlignment="1">
      <alignment horizontal="center" vertical="center"/>
    </xf>
    <xf numFmtId="0" fontId="6" fillId="3" borderId="59" xfId="0" applyFont="1" applyFill="1" applyBorder="1" applyAlignment="1">
      <alignment horizontal="center" vertical="center" wrapText="1"/>
    </xf>
    <xf numFmtId="0" fontId="6" fillId="3" borderId="58" xfId="0" applyFont="1" applyFill="1" applyBorder="1" applyAlignment="1">
      <alignment horizontal="center" vertical="center" wrapText="1"/>
    </xf>
    <xf numFmtId="0" fontId="26" fillId="22" borderId="68" xfId="0" applyFont="1" applyFill="1" applyBorder="1" applyAlignment="1">
      <alignment horizontal="center" vertical="center" wrapText="1"/>
    </xf>
    <xf numFmtId="0" fontId="26" fillId="22" borderId="11" xfId="0" applyFont="1" applyFill="1" applyBorder="1" applyAlignment="1">
      <alignment horizontal="center" vertical="center" wrapText="1"/>
    </xf>
    <xf numFmtId="0" fontId="26" fillId="22" borderId="62" xfId="0" applyFont="1" applyFill="1" applyBorder="1" applyAlignment="1">
      <alignment horizontal="center" vertical="center" wrapText="1"/>
    </xf>
    <xf numFmtId="0" fontId="26" fillId="15" borderId="68" xfId="0" applyFont="1" applyFill="1" applyBorder="1" applyAlignment="1">
      <alignment horizontal="center" vertical="center" wrapText="1"/>
    </xf>
    <xf numFmtId="0" fontId="26" fillId="15" borderId="11" xfId="0" applyFont="1" applyFill="1" applyBorder="1" applyAlignment="1">
      <alignment horizontal="center" vertical="center" wrapText="1"/>
    </xf>
    <xf numFmtId="0" fontId="26" fillId="21" borderId="11" xfId="0" applyFont="1" applyFill="1" applyBorder="1" applyAlignment="1">
      <alignment horizontal="center" vertical="center" wrapText="1"/>
    </xf>
    <xf numFmtId="0" fontId="26" fillId="21" borderId="62" xfId="0" applyFont="1" applyFill="1" applyBorder="1" applyAlignment="1">
      <alignment horizontal="center" vertical="center" wrapText="1"/>
    </xf>
    <xf numFmtId="0" fontId="26" fillId="15" borderId="62" xfId="0" applyFont="1" applyFill="1" applyBorder="1" applyAlignment="1">
      <alignment horizontal="center" vertical="center" wrapText="1"/>
    </xf>
    <xf numFmtId="0" fontId="26" fillId="21" borderId="68" xfId="0" applyFont="1" applyFill="1" applyBorder="1" applyAlignment="1">
      <alignment horizontal="center" vertical="center" wrapText="1"/>
    </xf>
    <xf numFmtId="0" fontId="26" fillId="20" borderId="68" xfId="0" applyFont="1" applyFill="1" applyBorder="1" applyAlignment="1">
      <alignment horizontal="center" vertical="center" wrapText="1"/>
    </xf>
    <xf numFmtId="0" fontId="31" fillId="24" borderId="56" xfId="0" applyFont="1" applyFill="1" applyBorder="1" applyAlignment="1">
      <alignment horizontal="center" vertical="center" textRotation="90"/>
    </xf>
    <xf numFmtId="0" fontId="31" fillId="24" borderId="12" xfId="0" applyFont="1" applyFill="1" applyBorder="1" applyAlignment="1">
      <alignment horizontal="center" vertical="center" textRotation="90"/>
    </xf>
    <xf numFmtId="0" fontId="31" fillId="24" borderId="55" xfId="0" applyFont="1" applyFill="1" applyBorder="1" applyAlignment="1">
      <alignment horizontal="center" vertical="center" textRotation="90"/>
    </xf>
    <xf numFmtId="0" fontId="31" fillId="25" borderId="56" xfId="0" applyFont="1" applyFill="1" applyBorder="1" applyAlignment="1">
      <alignment horizontal="center" vertical="center" textRotation="90"/>
    </xf>
    <xf numFmtId="0" fontId="31" fillId="25" borderId="12" xfId="0" applyFont="1" applyFill="1" applyBorder="1" applyAlignment="1">
      <alignment horizontal="center" vertical="center" textRotation="90"/>
    </xf>
    <xf numFmtId="0" fontId="31" fillId="25" borderId="55" xfId="0" applyFont="1" applyFill="1" applyBorder="1" applyAlignment="1">
      <alignment horizontal="center" vertical="center" textRotation="90"/>
    </xf>
    <xf numFmtId="0" fontId="31" fillId="23" borderId="56" xfId="0" applyFont="1" applyFill="1" applyBorder="1" applyAlignment="1">
      <alignment horizontal="center" vertical="center" textRotation="90"/>
    </xf>
    <xf numFmtId="0" fontId="31" fillId="23" borderId="12" xfId="0" applyFont="1" applyFill="1" applyBorder="1" applyAlignment="1">
      <alignment horizontal="center" vertical="center" textRotation="90"/>
    </xf>
    <xf numFmtId="0" fontId="31" fillId="23" borderId="55" xfId="0" applyFont="1" applyFill="1" applyBorder="1" applyAlignment="1">
      <alignment horizontal="center" vertical="center" textRotation="90"/>
    </xf>
    <xf numFmtId="0" fontId="31" fillId="6" borderId="9" xfId="0" applyFont="1" applyFill="1" applyBorder="1" applyAlignment="1">
      <alignment horizontal="center" vertical="center" textRotation="90" wrapText="1"/>
    </xf>
    <xf numFmtId="0" fontId="31" fillId="6" borderId="27" xfId="0" applyFont="1" applyFill="1" applyBorder="1" applyAlignment="1">
      <alignment horizontal="center" vertical="center" textRotation="90" wrapText="1"/>
    </xf>
    <xf numFmtId="0" fontId="26" fillId="6" borderId="9" xfId="0" applyFont="1" applyFill="1" applyBorder="1" applyAlignment="1">
      <alignment horizontal="center" vertical="center" wrapText="1"/>
    </xf>
    <xf numFmtId="0" fontId="26" fillId="6" borderId="51" xfId="0" applyFont="1" applyFill="1" applyBorder="1" applyAlignment="1">
      <alignment horizontal="center" vertical="center" wrapText="1"/>
    </xf>
    <xf numFmtId="0" fontId="33" fillId="6" borderId="13" xfId="0" applyFont="1" applyFill="1" applyBorder="1" applyAlignment="1" applyProtection="1">
      <alignment horizontal="center" vertical="center" wrapText="1" shrinkToFit="1"/>
      <protection locked="0"/>
    </xf>
    <xf numFmtId="0" fontId="33" fillId="6" borderId="4" xfId="0" applyFont="1" applyFill="1" applyBorder="1" applyAlignment="1" applyProtection="1">
      <alignment horizontal="center" vertical="center" wrapText="1" shrinkToFit="1"/>
      <protection locked="0"/>
    </xf>
    <xf numFmtId="0" fontId="31" fillId="17" borderId="56" xfId="0" applyFont="1" applyFill="1" applyBorder="1" applyAlignment="1">
      <alignment horizontal="center" vertical="center" textRotation="90"/>
    </xf>
    <xf numFmtId="0" fontId="31" fillId="17" borderId="12" xfId="0" applyFont="1" applyFill="1" applyBorder="1" applyAlignment="1">
      <alignment horizontal="center" vertical="center" textRotation="90"/>
    </xf>
    <xf numFmtId="0" fontId="31" fillId="17" borderId="55" xfId="0" applyFont="1" applyFill="1" applyBorder="1" applyAlignment="1">
      <alignment horizontal="center" vertical="center" textRotation="90"/>
    </xf>
    <xf numFmtId="0" fontId="26" fillId="6" borderId="11" xfId="0" applyFont="1" applyFill="1" applyBorder="1" applyAlignment="1">
      <alignment horizontal="center" vertical="center" wrapText="1"/>
    </xf>
    <xf numFmtId="0" fontId="33" fillId="6" borderId="5" xfId="0" applyFont="1" applyFill="1" applyBorder="1" applyAlignment="1" applyProtection="1">
      <alignment horizontal="center" vertical="center" wrapText="1" shrinkToFit="1"/>
      <protection locked="0"/>
    </xf>
    <xf numFmtId="0" fontId="33" fillId="6" borderId="51" xfId="0" applyFont="1" applyFill="1" applyBorder="1" applyAlignment="1" applyProtection="1">
      <alignment horizontal="center" vertical="center" wrapText="1" shrinkToFit="1"/>
      <protection locked="0"/>
    </xf>
    <xf numFmtId="0" fontId="37" fillId="6" borderId="31" xfId="0" applyFont="1" applyFill="1" applyBorder="1" applyAlignment="1">
      <alignment horizontal="center" vertical="center"/>
    </xf>
    <xf numFmtId="0" fontId="37" fillId="6" borderId="13" xfId="0" applyFont="1" applyFill="1" applyBorder="1" applyAlignment="1">
      <alignment horizontal="center" vertical="center"/>
    </xf>
    <xf numFmtId="0" fontId="37" fillId="6" borderId="26" xfId="0" applyFont="1" applyFill="1" applyBorder="1" applyAlignment="1">
      <alignment horizontal="center" vertical="center"/>
    </xf>
    <xf numFmtId="0" fontId="33" fillId="6" borderId="31" xfId="0" applyFont="1" applyFill="1" applyBorder="1" applyAlignment="1" applyProtection="1">
      <alignment horizontal="center" vertical="center" wrapText="1" shrinkToFit="1"/>
      <protection locked="0"/>
    </xf>
    <xf numFmtId="0" fontId="31" fillId="6" borderId="30" xfId="0" applyFont="1" applyFill="1" applyBorder="1" applyAlignment="1">
      <alignment horizontal="center" vertical="center" textRotation="90" wrapText="1"/>
    </xf>
    <xf numFmtId="0" fontId="31" fillId="6" borderId="12" xfId="0" applyFont="1" applyFill="1" applyBorder="1" applyAlignment="1">
      <alignment horizontal="center" vertical="center" textRotation="90" wrapText="1"/>
    </xf>
    <xf numFmtId="0" fontId="26" fillId="6" borderId="29" xfId="0" applyFont="1" applyFill="1" applyBorder="1" applyAlignment="1">
      <alignment horizontal="center" vertical="center" wrapText="1"/>
    </xf>
    <xf numFmtId="0" fontId="26" fillId="20" borderId="11" xfId="0" applyFont="1" applyFill="1" applyBorder="1" applyAlignment="1">
      <alignment horizontal="center" vertical="center" wrapText="1"/>
    </xf>
    <xf numFmtId="0" fontId="26" fillId="20" borderId="62" xfId="0" applyFont="1" applyFill="1" applyBorder="1" applyAlignment="1">
      <alignment horizontal="center" vertical="center" wrapText="1"/>
    </xf>
    <xf numFmtId="0" fontId="26" fillId="6" borderId="16" xfId="0" applyFont="1" applyFill="1" applyBorder="1" applyAlignment="1">
      <alignment horizontal="center" vertical="center" wrapText="1"/>
    </xf>
    <xf numFmtId="0" fontId="26" fillId="6" borderId="15" xfId="0" applyFont="1" applyFill="1" applyBorder="1" applyAlignment="1">
      <alignment horizontal="center" vertical="center" wrapText="1"/>
    </xf>
    <xf numFmtId="0" fontId="33" fillId="6" borderId="72" xfId="0" applyFont="1" applyFill="1" applyBorder="1" applyAlignment="1" applyProtection="1">
      <alignment horizontal="center" vertical="center" wrapText="1" shrinkToFit="1"/>
      <protection locked="0"/>
    </xf>
    <xf numFmtId="0" fontId="33" fillId="6" borderId="77" xfId="0" applyFont="1" applyFill="1" applyBorder="1" applyAlignment="1" applyProtection="1">
      <alignment horizontal="center" vertical="center" wrapText="1" shrinkToFit="1"/>
      <protection locked="0"/>
    </xf>
    <xf numFmtId="0" fontId="33" fillId="0" borderId="5" xfId="0" applyFont="1" applyBorder="1" applyAlignment="1" applyProtection="1">
      <alignment horizontal="center" vertical="center" wrapText="1" shrinkToFit="1"/>
      <protection locked="0"/>
    </xf>
    <xf numFmtId="0" fontId="33" fillId="0" borderId="51" xfId="0" applyFont="1" applyBorder="1" applyAlignment="1" applyProtection="1">
      <alignment horizontal="center" vertical="center" wrapText="1" shrinkToFit="1"/>
      <protection locked="0"/>
    </xf>
    <xf numFmtId="0" fontId="33" fillId="0" borderId="32" xfId="0" applyFont="1" applyBorder="1" applyAlignment="1" applyProtection="1">
      <alignment horizontal="center" vertical="center" wrapText="1" shrinkToFit="1"/>
      <protection locked="0"/>
    </xf>
    <xf numFmtId="0" fontId="33" fillId="0" borderId="46" xfId="0" applyFont="1" applyBorder="1" applyAlignment="1" applyProtection="1">
      <alignment horizontal="center" vertical="center" wrapText="1" shrinkToFit="1"/>
      <protection locked="0"/>
    </xf>
    <xf numFmtId="0" fontId="33" fillId="0" borderId="41" xfId="0" applyFont="1" applyBorder="1" applyAlignment="1" applyProtection="1">
      <alignment horizontal="center" vertical="center" wrapText="1" shrinkToFit="1"/>
      <protection locked="0"/>
    </xf>
    <xf numFmtId="0" fontId="33" fillId="0" borderId="6" xfId="0" applyFont="1" applyBorder="1" applyAlignment="1" applyProtection="1">
      <alignment horizontal="center" vertical="center" wrapText="1" shrinkToFit="1"/>
      <protection locked="0"/>
    </xf>
    <xf numFmtId="17" fontId="8" fillId="0" borderId="10" xfId="2" applyNumberFormat="1" applyFont="1" applyFill="1" applyBorder="1" applyAlignment="1">
      <alignment horizontal="center" vertical="center"/>
    </xf>
    <xf numFmtId="17" fontId="8" fillId="0" borderId="43" xfId="2" applyNumberFormat="1" applyFont="1" applyFill="1" applyBorder="1" applyAlignment="1">
      <alignment horizontal="center" vertical="center"/>
    </xf>
    <xf numFmtId="17" fontId="8" fillId="0" borderId="12" xfId="2" applyNumberFormat="1" applyFont="1" applyFill="1" applyBorder="1" applyAlignment="1">
      <alignment horizontal="center" vertical="center"/>
    </xf>
    <xf numFmtId="17" fontId="8" fillId="0" borderId="61" xfId="2" applyNumberFormat="1" applyFont="1" applyFill="1" applyBorder="1" applyAlignment="1">
      <alignment horizontal="center" vertical="center"/>
    </xf>
    <xf numFmtId="17" fontId="8" fillId="0" borderId="55" xfId="2" applyNumberFormat="1" applyFont="1" applyFill="1" applyBorder="1" applyAlignment="1">
      <alignment horizontal="center" vertical="center"/>
    </xf>
    <xf numFmtId="0" fontId="41" fillId="0" borderId="68" xfId="0" applyFont="1" applyBorder="1" applyAlignment="1" applyProtection="1">
      <alignment horizontal="center" vertical="center" wrapText="1" shrinkToFit="1"/>
      <protection locked="0"/>
    </xf>
    <xf numFmtId="0" fontId="41" fillId="0" borderId="11" xfId="0" applyFont="1" applyBorder="1" applyAlignment="1" applyProtection="1">
      <alignment horizontal="center" vertical="center" wrapText="1" shrinkToFit="1"/>
      <protection locked="0"/>
    </xf>
    <xf numFmtId="0" fontId="41" fillId="0" borderId="62" xfId="0" applyFont="1" applyBorder="1" applyAlignment="1" applyProtection="1">
      <alignment horizontal="center" vertical="center" wrapText="1" shrinkToFit="1"/>
      <protection locked="0"/>
    </xf>
    <xf numFmtId="0" fontId="31" fillId="0" borderId="28" xfId="0" applyFont="1" applyBorder="1" applyAlignment="1">
      <alignment horizontal="center" vertical="center"/>
    </xf>
    <xf numFmtId="0" fontId="31" fillId="0" borderId="30" xfId="0" applyFont="1" applyBorder="1" applyAlignment="1">
      <alignment horizontal="center" vertical="center"/>
    </xf>
    <xf numFmtId="0" fontId="33" fillId="0" borderId="52" xfId="0" applyFont="1" applyBorder="1" applyAlignment="1" applyProtection="1">
      <alignment horizontal="center" vertical="center" wrapText="1" shrinkToFit="1"/>
      <protection locked="0"/>
    </xf>
    <xf numFmtId="0" fontId="33" fillId="0" borderId="48" xfId="0" applyFont="1" applyBorder="1" applyAlignment="1" applyProtection="1">
      <alignment horizontal="center" vertical="center" wrapText="1" shrinkToFit="1"/>
      <protection locked="0"/>
    </xf>
    <xf numFmtId="0" fontId="31" fillId="24" borderId="3" xfId="0" applyFont="1" applyFill="1" applyBorder="1" applyAlignment="1">
      <alignment horizontal="center" vertical="center" textRotation="90"/>
    </xf>
    <xf numFmtId="0" fontId="26" fillId="21" borderId="2" xfId="0" applyFont="1" applyFill="1" applyBorder="1" applyAlignment="1">
      <alignment horizontal="center" vertical="center" wrapText="1"/>
    </xf>
    <xf numFmtId="0" fontId="31" fillId="25" borderId="56" xfId="0" applyFont="1" applyFill="1" applyBorder="1" applyAlignment="1">
      <alignment horizontal="center" vertical="center" textRotation="90" wrapText="1"/>
    </xf>
    <xf numFmtId="0" fontId="31" fillId="25" borderId="12" xfId="0" applyFont="1" applyFill="1" applyBorder="1" applyAlignment="1">
      <alignment horizontal="center" vertical="center" textRotation="90" wrapText="1"/>
    </xf>
    <xf numFmtId="0" fontId="31" fillId="25" borderId="55" xfId="0" applyFont="1" applyFill="1" applyBorder="1" applyAlignment="1">
      <alignment horizontal="center" vertical="center" textRotation="90" wrapText="1"/>
    </xf>
    <xf numFmtId="0" fontId="31" fillId="24" borderId="68" xfId="0" applyFont="1" applyFill="1" applyBorder="1" applyAlignment="1">
      <alignment horizontal="center" vertical="center" textRotation="90" wrapText="1"/>
    </xf>
    <xf numFmtId="0" fontId="31" fillId="24" borderId="11" xfId="0" applyFont="1" applyFill="1" applyBorder="1" applyAlignment="1">
      <alignment horizontal="center" vertical="center" textRotation="90" wrapText="1"/>
    </xf>
    <xf numFmtId="0" fontId="31" fillId="24" borderId="12" xfId="0" applyFont="1" applyFill="1" applyBorder="1" applyAlignment="1">
      <alignment horizontal="center" vertical="center" textRotation="90" wrapText="1"/>
    </xf>
    <xf numFmtId="0" fontId="31" fillId="24" borderId="55" xfId="0" applyFont="1" applyFill="1" applyBorder="1" applyAlignment="1">
      <alignment horizontal="center" vertical="center" textRotation="90" wrapText="1"/>
    </xf>
    <xf numFmtId="0" fontId="26" fillId="21" borderId="67" xfId="0" applyFont="1" applyFill="1" applyBorder="1" applyAlignment="1">
      <alignment horizontal="center" vertical="center" wrapText="1"/>
    </xf>
    <xf numFmtId="0" fontId="26" fillId="21" borderId="56" xfId="0" applyFont="1" applyFill="1" applyBorder="1" applyAlignment="1">
      <alignment horizontal="center" vertical="center" wrapText="1"/>
    </xf>
    <xf numFmtId="0" fontId="6" fillId="3" borderId="76" xfId="0" applyFont="1" applyFill="1" applyBorder="1" applyAlignment="1">
      <alignment horizontal="center" vertical="center" wrapText="1"/>
    </xf>
    <xf numFmtId="0" fontId="6" fillId="3" borderId="54" xfId="0" applyFont="1" applyFill="1" applyBorder="1" applyAlignment="1">
      <alignment horizontal="center" vertical="center" wrapText="1"/>
    </xf>
    <xf numFmtId="0" fontId="31" fillId="23" borderId="68" xfId="0" applyFont="1" applyFill="1" applyBorder="1" applyAlignment="1">
      <alignment horizontal="center" vertical="center" textRotation="90"/>
    </xf>
    <xf numFmtId="0" fontId="31" fillId="23" borderId="11" xfId="0" applyFont="1" applyFill="1" applyBorder="1" applyAlignment="1">
      <alignment horizontal="center" vertical="center" textRotation="90"/>
    </xf>
    <xf numFmtId="0" fontId="31" fillId="23" borderId="62" xfId="0" applyFont="1" applyFill="1" applyBorder="1" applyAlignment="1">
      <alignment horizontal="center" vertical="center" textRotation="90"/>
    </xf>
    <xf numFmtId="0" fontId="31" fillId="17" borderId="68" xfId="0" applyFont="1" applyFill="1" applyBorder="1" applyAlignment="1">
      <alignment horizontal="center" vertical="center" textRotation="90" wrapText="1"/>
    </xf>
    <xf numFmtId="0" fontId="31" fillId="17" borderId="11" xfId="0" applyFont="1" applyFill="1" applyBorder="1" applyAlignment="1">
      <alignment horizontal="center" vertical="center" textRotation="90" wrapText="1"/>
    </xf>
    <xf numFmtId="0" fontId="31" fillId="17" borderId="62" xfId="0" applyFont="1" applyFill="1" applyBorder="1" applyAlignment="1">
      <alignment horizontal="center" vertical="center" textRotation="90" wrapText="1"/>
    </xf>
    <xf numFmtId="9" fontId="7" fillId="3" borderId="73" xfId="2" applyFont="1" applyFill="1" applyBorder="1" applyAlignment="1">
      <alignment horizontal="center" vertical="center"/>
    </xf>
    <xf numFmtId="9" fontId="7" fillId="3" borderId="47" xfId="2" applyFont="1" applyFill="1" applyBorder="1" applyAlignment="1">
      <alignment horizontal="center" vertical="center"/>
    </xf>
    <xf numFmtId="14" fontId="7" fillId="0" borderId="71" xfId="2" applyNumberFormat="1" applyFont="1" applyFill="1" applyBorder="1" applyAlignment="1">
      <alignment horizontal="center" vertical="center"/>
    </xf>
    <xf numFmtId="14" fontId="7" fillId="0" borderId="66" xfId="2" applyNumberFormat="1" applyFont="1" applyFill="1" applyBorder="1" applyAlignment="1">
      <alignment horizontal="center" vertical="center"/>
    </xf>
    <xf numFmtId="14" fontId="7" fillId="0" borderId="65" xfId="2" applyNumberFormat="1" applyFont="1" applyFill="1" applyBorder="1" applyAlignment="1">
      <alignment horizontal="center" vertical="center"/>
    </xf>
    <xf numFmtId="1" fontId="21" fillId="0" borderId="70" xfId="2" applyNumberFormat="1" applyFont="1" applyFill="1" applyBorder="1" applyAlignment="1" applyProtection="1">
      <alignment horizontal="center" vertical="center"/>
      <protection locked="0"/>
    </xf>
    <xf numFmtId="1" fontId="21" fillId="0" borderId="59" xfId="2" applyNumberFormat="1" applyFont="1" applyFill="1" applyBorder="1" applyAlignment="1" applyProtection="1">
      <alignment horizontal="center" vertical="center"/>
      <protection locked="0"/>
    </xf>
    <xf numFmtId="1" fontId="21" fillId="0" borderId="64" xfId="2" applyNumberFormat="1" applyFont="1" applyFill="1" applyBorder="1" applyAlignment="1" applyProtection="1">
      <alignment horizontal="center" vertical="center"/>
      <protection locked="0"/>
    </xf>
    <xf numFmtId="14" fontId="20" fillId="0" borderId="54" xfId="2" applyNumberFormat="1" applyFont="1" applyFill="1" applyBorder="1" applyAlignment="1">
      <alignment horizontal="center" vertical="center"/>
    </xf>
    <xf numFmtId="14" fontId="20" fillId="0" borderId="69" xfId="2" applyNumberFormat="1" applyFont="1" applyFill="1" applyBorder="1" applyAlignment="1">
      <alignment horizontal="center" vertical="center"/>
    </xf>
    <xf numFmtId="14" fontId="20" fillId="0" borderId="0" xfId="2" applyNumberFormat="1" applyFont="1" applyFill="1" applyBorder="1" applyAlignment="1">
      <alignment horizontal="center" vertical="center"/>
    </xf>
    <xf numFmtId="14" fontId="20" fillId="0" borderId="60" xfId="2" applyNumberFormat="1" applyFont="1" applyFill="1" applyBorder="1" applyAlignment="1">
      <alignment horizontal="center" vertical="center"/>
    </xf>
    <xf numFmtId="14" fontId="20" fillId="0" borderId="57" xfId="2" applyNumberFormat="1" applyFont="1" applyFill="1" applyBorder="1" applyAlignment="1">
      <alignment horizontal="center" vertical="center"/>
    </xf>
    <xf numFmtId="14" fontId="20" fillId="0" borderId="63" xfId="2" applyNumberFormat="1" applyFont="1" applyFill="1" applyBorder="1" applyAlignment="1">
      <alignment horizontal="center" vertical="center"/>
    </xf>
    <xf numFmtId="0" fontId="26" fillId="6" borderId="72" xfId="0" applyFont="1" applyFill="1" applyBorder="1" applyAlignment="1">
      <alignment horizontal="center" vertical="center" wrapText="1"/>
    </xf>
    <xf numFmtId="0" fontId="26" fillId="6" borderId="77" xfId="0" applyFont="1" applyFill="1" applyBorder="1" applyAlignment="1">
      <alignment horizontal="center" vertical="center" wrapText="1"/>
    </xf>
    <xf numFmtId="0" fontId="3" fillId="6" borderId="72" xfId="0" applyFont="1" applyFill="1" applyBorder="1" applyAlignment="1">
      <alignment horizontal="center" vertical="center" wrapText="1"/>
    </xf>
    <xf numFmtId="0" fontId="3" fillId="6" borderId="77" xfId="0" applyFont="1" applyFill="1" applyBorder="1" applyAlignment="1">
      <alignment horizontal="center" vertical="center" wrapText="1"/>
    </xf>
    <xf numFmtId="0" fontId="3" fillId="6" borderId="29" xfId="0" applyFont="1" applyFill="1" applyBorder="1" applyAlignment="1">
      <alignment horizontal="center" vertical="center" wrapText="1"/>
    </xf>
    <xf numFmtId="0" fontId="36" fillId="0" borderId="72" xfId="0" applyFont="1" applyBorder="1" applyAlignment="1">
      <alignment horizontal="center" vertical="center" wrapText="1"/>
    </xf>
    <xf numFmtId="0" fontId="36" fillId="0" borderId="77" xfId="0" applyFont="1" applyBorder="1" applyAlignment="1">
      <alignment horizontal="center" vertical="center" wrapText="1"/>
    </xf>
    <xf numFmtId="0" fontId="36" fillId="0" borderId="29" xfId="0" applyFont="1" applyBorder="1" applyAlignment="1">
      <alignment horizontal="center" vertical="center" wrapText="1"/>
    </xf>
    <xf numFmtId="0" fontId="3" fillId="0" borderId="11" xfId="0" applyFont="1" applyBorder="1" applyAlignment="1">
      <alignment horizontal="center" vertical="center" wrapText="1"/>
    </xf>
    <xf numFmtId="0" fontId="33" fillId="0" borderId="29" xfId="0" applyFont="1" applyBorder="1" applyAlignment="1" applyProtection="1">
      <alignment horizontal="center" vertical="center" wrapText="1" shrinkToFit="1"/>
      <protection locked="0"/>
    </xf>
    <xf numFmtId="0" fontId="36" fillId="0" borderId="31" xfId="0" applyFont="1" applyBorder="1" applyAlignment="1">
      <alignment horizontal="center" vertical="center" wrapText="1"/>
    </xf>
    <xf numFmtId="0" fontId="36" fillId="0" borderId="13" xfId="0" applyFont="1" applyBorder="1" applyAlignment="1">
      <alignment horizontal="center" vertical="center" wrapText="1"/>
    </xf>
    <xf numFmtId="0" fontId="36" fillId="0" borderId="4" xfId="0" applyFont="1" applyBorder="1" applyAlignment="1">
      <alignment horizontal="center" vertical="center" wrapText="1"/>
    </xf>
    <xf numFmtId="0" fontId="33" fillId="0" borderId="72" xfId="0" applyFont="1" applyBorder="1" applyAlignment="1" applyProtection="1">
      <alignment horizontal="center" vertical="center" wrapText="1" shrinkToFit="1"/>
      <protection locked="0"/>
    </xf>
    <xf numFmtId="0" fontId="33" fillId="0" borderId="77" xfId="0" applyFont="1" applyBorder="1" applyAlignment="1" applyProtection="1">
      <alignment horizontal="center" vertical="center" wrapText="1" shrinkToFit="1"/>
      <protection locked="0"/>
    </xf>
    <xf numFmtId="0" fontId="33" fillId="0" borderId="83" xfId="0" applyFont="1" applyBorder="1" applyAlignment="1" applyProtection="1">
      <alignment horizontal="center" vertical="center" wrapText="1" shrinkToFit="1"/>
      <protection locked="0"/>
    </xf>
    <xf numFmtId="0" fontId="59" fillId="0" borderId="68" xfId="0" applyFont="1" applyBorder="1" applyAlignment="1" applyProtection="1">
      <alignment horizontal="center" vertical="center" wrapText="1" shrinkToFit="1"/>
      <protection locked="0"/>
    </xf>
    <xf numFmtId="0" fontId="59" fillId="0" borderId="11" xfId="0" applyFont="1" applyBorder="1" applyAlignment="1" applyProtection="1">
      <alignment horizontal="center" vertical="center" wrapText="1" shrinkToFit="1"/>
      <protection locked="0"/>
    </xf>
    <xf numFmtId="0" fontId="59" fillId="0" borderId="62" xfId="0" applyFont="1" applyBorder="1" applyAlignment="1" applyProtection="1">
      <alignment horizontal="center" vertical="center" wrapText="1" shrinkToFit="1"/>
      <protection locked="0"/>
    </xf>
    <xf numFmtId="0" fontId="33" fillId="0" borderId="67" xfId="0" applyFont="1" applyBorder="1" applyAlignment="1" applyProtection="1">
      <alignment horizontal="center" vertical="center" wrapText="1" shrinkToFit="1"/>
      <protection locked="0"/>
    </xf>
    <xf numFmtId="0" fontId="33" fillId="0" borderId="10" xfId="0" applyFont="1" applyBorder="1" applyAlignment="1" applyProtection="1">
      <alignment horizontal="center" vertical="center" wrapText="1" shrinkToFit="1"/>
      <protection locked="0"/>
    </xf>
    <xf numFmtId="0" fontId="2" fillId="18" borderId="78" xfId="0" applyFont="1" applyFill="1" applyBorder="1" applyAlignment="1">
      <alignment horizontal="center"/>
    </xf>
    <xf numFmtId="0" fontId="2" fillId="18" borderId="37" xfId="0" applyFont="1" applyFill="1" applyBorder="1" applyAlignment="1">
      <alignment horizontal="center"/>
    </xf>
    <xf numFmtId="0" fontId="2" fillId="18" borderId="36" xfId="0" applyFont="1" applyFill="1" applyBorder="1" applyAlignment="1">
      <alignment horizontal="center"/>
    </xf>
    <xf numFmtId="0" fontId="2" fillId="0" borderId="78" xfId="0" applyFont="1" applyBorder="1" applyAlignment="1">
      <alignment horizontal="center"/>
    </xf>
    <xf numFmtId="0" fontId="2" fillId="0" borderId="37" xfId="0" applyFont="1" applyBorder="1" applyAlignment="1">
      <alignment horizontal="center"/>
    </xf>
    <xf numFmtId="0" fontId="2" fillId="0" borderId="36" xfId="0" applyFont="1" applyBorder="1" applyAlignment="1">
      <alignment horizontal="center"/>
    </xf>
    <xf numFmtId="0" fontId="0" fillId="0" borderId="34" xfId="0" applyBorder="1" applyAlignment="1">
      <alignment horizontal="center"/>
    </xf>
    <xf numFmtId="0" fontId="0" fillId="0" borderId="33" xfId="0" applyBorder="1" applyAlignment="1">
      <alignment horizontal="center"/>
    </xf>
    <xf numFmtId="0" fontId="0" fillId="0" borderId="16"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14" fillId="0" borderId="23" xfId="0" applyFont="1" applyBorder="1" applyAlignment="1">
      <alignment horizontal="left"/>
    </xf>
    <xf numFmtId="0" fontId="14" fillId="0" borderId="62" xfId="0" applyFont="1" applyBorder="1" applyAlignment="1">
      <alignment horizontal="left"/>
    </xf>
    <xf numFmtId="0" fontId="14" fillId="0" borderId="22" xfId="0" applyFont="1" applyBorder="1" applyAlignment="1">
      <alignment horizontal="left"/>
    </xf>
    <xf numFmtId="165" fontId="61" fillId="0" borderId="7" xfId="2" applyNumberFormat="1" applyFont="1" applyBorder="1" applyAlignment="1">
      <alignment horizontal="center"/>
    </xf>
    <xf numFmtId="165" fontId="61" fillId="0" borderId="42" xfId="2" applyNumberFormat="1" applyFont="1" applyBorder="1" applyAlignment="1">
      <alignment horizontal="center"/>
    </xf>
    <xf numFmtId="165" fontId="61" fillId="0" borderId="6" xfId="2" applyNumberFormat="1" applyFont="1" applyBorder="1" applyAlignment="1">
      <alignment horizontal="center"/>
    </xf>
    <xf numFmtId="0" fontId="14" fillId="0" borderId="16" xfId="0" applyFont="1" applyBorder="1" applyAlignment="1">
      <alignment horizontal="left"/>
    </xf>
    <xf numFmtId="0" fontId="14" fillId="0" borderId="11" xfId="0" applyFont="1" applyBorder="1" applyAlignment="1">
      <alignment horizontal="left"/>
    </xf>
    <xf numFmtId="0" fontId="14" fillId="0" borderId="15" xfId="0" applyFont="1" applyBorder="1" applyAlignment="1">
      <alignment horizontal="left"/>
    </xf>
    <xf numFmtId="165" fontId="61" fillId="0" borderId="17" xfId="2" applyNumberFormat="1" applyFont="1" applyBorder="1" applyAlignment="1">
      <alignment horizontal="center"/>
    </xf>
    <xf numFmtId="165" fontId="61" fillId="0" borderId="43" xfId="2" applyNumberFormat="1" applyFont="1" applyBorder="1" applyAlignment="1">
      <alignment horizontal="center"/>
    </xf>
    <xf numFmtId="165" fontId="61" fillId="0" borderId="41" xfId="2" applyNumberFormat="1" applyFont="1" applyBorder="1" applyAlignment="1">
      <alignment horizontal="center"/>
    </xf>
    <xf numFmtId="165" fontId="61" fillId="0" borderId="20" xfId="2" applyNumberFormat="1" applyFont="1" applyBorder="1" applyAlignment="1">
      <alignment horizontal="center"/>
    </xf>
    <xf numFmtId="165" fontId="61" fillId="0" borderId="50" xfId="2" applyNumberFormat="1" applyFont="1" applyBorder="1" applyAlignment="1">
      <alignment horizontal="center"/>
    </xf>
    <xf numFmtId="165" fontId="61" fillId="0" borderId="46" xfId="2" applyNumberFormat="1" applyFont="1" applyBorder="1" applyAlignment="1">
      <alignment horizontal="center"/>
    </xf>
    <xf numFmtId="0" fontId="31" fillId="0" borderId="39" xfId="0" applyFont="1" applyBorder="1" applyAlignment="1">
      <alignment horizontal="center"/>
    </xf>
    <xf numFmtId="0" fontId="31" fillId="0" borderId="47" xfId="0" applyFont="1" applyBorder="1" applyAlignment="1">
      <alignment horizontal="center"/>
    </xf>
    <xf numFmtId="0" fontId="31" fillId="0" borderId="14" xfId="0" applyFont="1" applyBorder="1" applyAlignment="1">
      <alignment horizontal="center"/>
    </xf>
    <xf numFmtId="0" fontId="15" fillId="11" borderId="21" xfId="0" applyFont="1" applyFill="1" applyBorder="1" applyAlignment="1">
      <alignment horizontal="center" vertical="center"/>
    </xf>
    <xf numFmtId="0" fontId="15" fillId="11" borderId="54" xfId="0" applyFont="1" applyFill="1" applyBorder="1" applyAlignment="1">
      <alignment horizontal="center" vertical="center"/>
    </xf>
    <xf numFmtId="0" fontId="15" fillId="11" borderId="5" xfId="0" applyFont="1" applyFill="1" applyBorder="1" applyAlignment="1">
      <alignment horizontal="center" vertical="center"/>
    </xf>
    <xf numFmtId="0" fontId="15" fillId="11" borderId="27" xfId="0" applyFont="1" applyFill="1" applyBorder="1" applyAlignment="1">
      <alignment horizontal="center" vertical="center"/>
    </xf>
    <xf numFmtId="0" fontId="15" fillId="11" borderId="57" xfId="0" applyFont="1" applyFill="1" applyBorder="1" applyAlignment="1">
      <alignment horizontal="center" vertical="center"/>
    </xf>
    <xf numFmtId="0" fontId="15" fillId="11" borderId="32" xfId="0" applyFont="1" applyFill="1" applyBorder="1" applyAlignment="1">
      <alignment horizontal="center" vertical="center"/>
    </xf>
    <xf numFmtId="0" fontId="2" fillId="8" borderId="21" xfId="0" applyFont="1" applyFill="1" applyBorder="1" applyAlignment="1">
      <alignment horizontal="center" vertical="center"/>
    </xf>
    <xf numFmtId="0" fontId="2" fillId="8" borderId="54" xfId="0" applyFont="1" applyFill="1" applyBorder="1" applyAlignment="1">
      <alignment horizontal="center" vertical="center"/>
    </xf>
    <xf numFmtId="0" fontId="2" fillId="8" borderId="5" xfId="0" applyFont="1" applyFill="1" applyBorder="1" applyAlignment="1">
      <alignment horizontal="center" vertical="center"/>
    </xf>
    <xf numFmtId="0" fontId="2" fillId="8" borderId="27" xfId="0" applyFont="1" applyFill="1" applyBorder="1" applyAlignment="1">
      <alignment horizontal="center" vertical="center"/>
    </xf>
    <xf numFmtId="0" fontId="2" fillId="8" borderId="57" xfId="0" applyFont="1" applyFill="1" applyBorder="1" applyAlignment="1">
      <alignment horizontal="center" vertical="center"/>
    </xf>
    <xf numFmtId="0" fontId="2" fillId="8" borderId="32" xfId="0" applyFont="1" applyFill="1" applyBorder="1" applyAlignment="1">
      <alignment horizontal="center" vertical="center"/>
    </xf>
    <xf numFmtId="0" fontId="15" fillId="0" borderId="8" xfId="0" applyFont="1" applyBorder="1" applyAlignment="1">
      <alignment horizontal="center" vertical="center"/>
    </xf>
    <xf numFmtId="0" fontId="15" fillId="0" borderId="44" xfId="0" applyFont="1" applyBorder="1" applyAlignment="1">
      <alignment horizontal="center" vertical="center"/>
    </xf>
    <xf numFmtId="0" fontId="15" fillId="0" borderId="48" xfId="0" applyFont="1" applyBorder="1" applyAlignment="1">
      <alignment horizontal="center" vertical="center"/>
    </xf>
    <xf numFmtId="165" fontId="19" fillId="0" borderId="8" xfId="2" applyNumberFormat="1" applyFont="1" applyBorder="1" applyAlignment="1">
      <alignment horizontal="center" vertical="center"/>
    </xf>
    <xf numFmtId="165" fontId="19" fillId="0" borderId="48" xfId="2" applyNumberFormat="1" applyFont="1" applyBorder="1" applyAlignment="1">
      <alignment horizontal="center" vertical="center"/>
    </xf>
    <xf numFmtId="165" fontId="19" fillId="0" borderId="35" xfId="2" applyNumberFormat="1" applyFont="1" applyBorder="1" applyAlignment="1">
      <alignment horizontal="center" vertical="center"/>
    </xf>
    <xf numFmtId="165" fontId="19" fillId="0" borderId="52" xfId="2" applyNumberFormat="1" applyFont="1" applyBorder="1" applyAlignment="1">
      <alignment horizontal="center" vertical="center"/>
    </xf>
    <xf numFmtId="165" fontId="0" fillId="0" borderId="21"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7" xfId="0" applyNumberFormat="1" applyBorder="1" applyAlignment="1">
      <alignment horizontal="center" vertical="center"/>
    </xf>
    <xf numFmtId="165" fontId="0" fillId="0" borderId="32" xfId="0" applyNumberFormat="1" applyBorder="1" applyAlignment="1">
      <alignment horizontal="center" vertical="center"/>
    </xf>
    <xf numFmtId="0" fontId="62" fillId="7" borderId="39" xfId="0" applyFont="1" applyFill="1" applyBorder="1" applyAlignment="1">
      <alignment horizontal="center" vertical="center"/>
    </xf>
    <xf numFmtId="0" fontId="62" fillId="7" borderId="47" xfId="0" applyFont="1" applyFill="1" applyBorder="1" applyAlignment="1">
      <alignment horizontal="center" vertical="center"/>
    </xf>
    <xf numFmtId="0" fontId="62" fillId="7" borderId="14" xfId="0" applyFont="1" applyFill="1" applyBorder="1" applyAlignment="1">
      <alignment horizontal="center" vertical="center"/>
    </xf>
    <xf numFmtId="165" fontId="19" fillId="0" borderId="7" xfId="2" applyNumberFormat="1" applyFont="1" applyBorder="1" applyAlignment="1">
      <alignment horizontal="center" vertical="center"/>
    </xf>
    <xf numFmtId="165" fontId="19" fillId="0" borderId="6" xfId="2" applyNumberFormat="1" applyFont="1" applyBorder="1" applyAlignment="1">
      <alignment horizontal="center" vertical="center"/>
    </xf>
    <xf numFmtId="165" fontId="63" fillId="7" borderId="39" xfId="0" applyNumberFormat="1" applyFont="1" applyFill="1" applyBorder="1" applyAlignment="1">
      <alignment horizontal="center" vertical="center"/>
    </xf>
    <xf numFmtId="165" fontId="63" fillId="7" borderId="14" xfId="0" applyNumberFormat="1" applyFont="1" applyFill="1" applyBorder="1" applyAlignment="1">
      <alignment horizontal="center" vertical="center"/>
    </xf>
    <xf numFmtId="0" fontId="15" fillId="0" borderId="35" xfId="0" applyFont="1" applyBorder="1" applyAlignment="1">
      <alignment horizontal="center" vertical="center"/>
    </xf>
    <xf numFmtId="0" fontId="15" fillId="0" borderId="53" xfId="0" applyFont="1" applyBorder="1" applyAlignment="1">
      <alignment horizontal="center" vertical="center"/>
    </xf>
    <xf numFmtId="0" fontId="15" fillId="0" borderId="52" xfId="0" applyFont="1" applyBorder="1" applyAlignment="1">
      <alignment horizontal="center" vertical="center"/>
    </xf>
    <xf numFmtId="0" fontId="31" fillId="13" borderId="39" xfId="0" applyFont="1" applyFill="1" applyBorder="1" applyAlignment="1">
      <alignment horizontal="center"/>
    </xf>
    <xf numFmtId="0" fontId="31" fillId="13" borderId="14" xfId="0" applyFont="1" applyFill="1" applyBorder="1" applyAlignment="1">
      <alignment horizontal="center"/>
    </xf>
    <xf numFmtId="0" fontId="31" fillId="0" borderId="0" xfId="0" applyFont="1" applyAlignment="1">
      <alignment horizontal="center"/>
    </xf>
    <xf numFmtId="0" fontId="60" fillId="0" borderId="21" xfId="0" applyFont="1" applyBorder="1" applyAlignment="1">
      <alignment horizontal="center" vertical="center"/>
    </xf>
    <xf numFmtId="0" fontId="60" fillId="0" borderId="5" xfId="0" applyFont="1" applyBorder="1" applyAlignment="1">
      <alignment horizontal="center" vertical="center"/>
    </xf>
    <xf numFmtId="0" fontId="60" fillId="0" borderId="9" xfId="0" applyFont="1" applyBorder="1" applyAlignment="1">
      <alignment horizontal="center" vertical="center"/>
    </xf>
    <xf numFmtId="0" fontId="60" fillId="0" borderId="32" xfId="0" applyFont="1" applyBorder="1" applyAlignment="1">
      <alignment horizontal="center" vertical="center"/>
    </xf>
    <xf numFmtId="165" fontId="64" fillId="0" borderId="21" xfId="2" applyNumberFormat="1" applyFont="1" applyBorder="1" applyAlignment="1">
      <alignment horizontal="center" vertical="center"/>
    </xf>
    <xf numFmtId="165" fontId="64" fillId="0" borderId="5" xfId="2" applyNumberFormat="1" applyFont="1" applyBorder="1" applyAlignment="1">
      <alignment horizontal="center" vertical="center"/>
    </xf>
    <xf numFmtId="165" fontId="64" fillId="0" borderId="35" xfId="2" applyNumberFormat="1" applyFont="1" applyBorder="1" applyAlignment="1">
      <alignment horizontal="center" vertical="center"/>
    </xf>
    <xf numFmtId="165" fontId="64" fillId="0" borderId="52" xfId="2" applyNumberFormat="1" applyFont="1" applyBorder="1" applyAlignment="1">
      <alignment horizontal="center" vertical="center"/>
    </xf>
    <xf numFmtId="0" fontId="4" fillId="14" borderId="59" xfId="0" applyFont="1" applyFill="1" applyBorder="1" applyAlignment="1">
      <alignment horizontal="center" vertical="center"/>
    </xf>
    <xf numFmtId="0" fontId="4" fillId="14" borderId="0" xfId="0" applyFont="1" applyFill="1" applyAlignment="1">
      <alignment horizontal="center" vertical="center"/>
    </xf>
    <xf numFmtId="0" fontId="4" fillId="14" borderId="51" xfId="0" applyFont="1" applyFill="1" applyBorder="1" applyAlignment="1">
      <alignment horizontal="center" vertical="center"/>
    </xf>
  </cellXfs>
  <cellStyles count="6">
    <cellStyle name="Hipervínculo 2" xfId="5" xr:uid="{9EB95DC7-2130-427F-84FF-87A42E66C748}"/>
    <cellStyle name="Hyperlink" xfId="3" xr:uid="{00000000-000B-0000-0000-000008000000}"/>
    <cellStyle name="Millares" xfId="1" builtinId="3"/>
    <cellStyle name="Normal" xfId="0" builtinId="0"/>
    <cellStyle name="Normal 2" xfId="4" xr:uid="{B6ECB44F-BDFD-49E4-B014-2A7F302F4D77}"/>
    <cellStyle name="Porcentaje" xfId="2" builtinId="5"/>
  </cellStyles>
  <dxfs count="1422">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b/>
        <i val="0"/>
        <color theme="9"/>
      </font>
    </dxf>
    <dxf>
      <font>
        <b/>
        <i val="0"/>
        <color rgb="FFFF0000"/>
      </font>
    </dxf>
    <dxf>
      <font>
        <b/>
        <i val="0"/>
        <color theme="9"/>
      </font>
    </dxf>
    <dxf>
      <font>
        <b/>
        <i val="0"/>
        <color rgb="FFFF0000"/>
      </font>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auto="1"/>
      </font>
      <fill>
        <patternFill>
          <bgColor rgb="FFFF0000"/>
        </patternFill>
      </fill>
    </dxf>
    <dxf>
      <font>
        <b/>
        <i val="0"/>
        <color auto="1"/>
      </font>
      <fill>
        <patternFill>
          <bgColor rgb="FFFFC000"/>
        </patternFill>
      </fill>
    </dxf>
    <dxf>
      <font>
        <b/>
        <i val="0"/>
        <color auto="1"/>
      </font>
      <fill>
        <patternFill>
          <bgColor rgb="FF00B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b/>
        <i val="0"/>
        <color rgb="FFFF0000"/>
      </font>
    </dxf>
    <dxf>
      <font>
        <b/>
        <i val="0"/>
        <color auto="1"/>
      </font>
      <fill>
        <patternFill>
          <bgColor rgb="FFFFFF00"/>
        </patternFill>
      </fill>
    </dxf>
    <dxf>
      <fill>
        <patternFill>
          <bgColor rgb="FFFF0000"/>
        </patternFill>
      </fill>
    </dxf>
    <dxf>
      <font>
        <color auto="1"/>
      </font>
    </dxf>
    <dxf>
      <fill>
        <patternFill>
          <bgColor rgb="FF00B050"/>
        </patternFill>
      </fill>
    </dxf>
    <dxf>
      <font>
        <color auto="1"/>
      </font>
    </dxf>
    <dxf>
      <font>
        <condense val="0"/>
        <extend val="0"/>
        <color rgb="FF9C0006"/>
      </font>
      <fill>
        <patternFill>
          <bgColor rgb="FFFFC7CE"/>
        </patternFill>
      </fill>
    </dxf>
    <dxf>
      <fill>
        <patternFill>
          <bgColor rgb="FFFFFF00"/>
        </patternFill>
      </fill>
    </dxf>
    <dxf>
      <font>
        <color theme="1"/>
      </font>
      <fill>
        <patternFill>
          <bgColor rgb="FFFFFF00"/>
        </patternFill>
      </fill>
    </dxf>
    <dxf>
      <fill>
        <patternFill>
          <bgColor rgb="FFFFFF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ont>
        <b/>
        <i val="0"/>
        <color auto="1"/>
      </font>
    </dxf>
    <dxf>
      <fill>
        <patternFill>
          <bgColor rgb="FFFF0000"/>
        </patternFill>
      </fill>
    </dxf>
    <dxf>
      <font>
        <b/>
        <i val="0"/>
      </font>
    </dxf>
    <dxf>
      <fill>
        <patternFill>
          <bgColor rgb="FFFFFF00"/>
        </patternFill>
      </fill>
    </dxf>
    <dxf>
      <font>
        <b/>
        <i val="0"/>
        <color auto="1"/>
      </font>
    </dxf>
    <dxf>
      <fill>
        <patternFill>
          <bgColor rgb="FF00B05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b/>
        <i val="0"/>
        <color rgb="FFFF0000"/>
      </font>
    </dxf>
    <dxf>
      <font>
        <b/>
        <i val="0"/>
        <color auto="1"/>
      </font>
      <fill>
        <patternFill>
          <bgColor rgb="FFFFFF00"/>
        </patternFill>
      </fill>
    </dxf>
    <dxf>
      <fill>
        <patternFill>
          <bgColor rgb="FFFF0000"/>
        </patternFill>
      </fill>
    </dxf>
    <dxf>
      <font>
        <color auto="1"/>
      </font>
    </dxf>
    <dxf>
      <fill>
        <patternFill>
          <bgColor rgb="FF00B050"/>
        </patternFill>
      </fill>
    </dxf>
    <dxf>
      <font>
        <color auto="1"/>
      </font>
    </dxf>
    <dxf>
      <font>
        <condense val="0"/>
        <extend val="0"/>
        <color rgb="FF9C0006"/>
      </font>
      <fill>
        <patternFill>
          <bgColor rgb="FFFFC7CE"/>
        </patternFill>
      </fill>
    </dxf>
    <dxf>
      <fill>
        <patternFill>
          <bgColor rgb="FFFFFF00"/>
        </patternFill>
      </fill>
    </dxf>
    <dxf>
      <font>
        <color theme="1"/>
      </font>
      <fill>
        <patternFill>
          <bgColor rgb="FFFFFF00"/>
        </patternFill>
      </fill>
    </dxf>
    <dxf>
      <fill>
        <patternFill>
          <bgColor rgb="FFFFFF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9"/>
      </font>
    </dxf>
    <dxf>
      <font>
        <b/>
        <i val="0"/>
        <color rgb="FFFF0000"/>
      </font>
    </dxf>
    <dxf>
      <font>
        <color rgb="FF006100"/>
      </font>
      <fill>
        <patternFill>
          <bgColor rgb="FFC6EFCE"/>
        </patternFill>
      </fill>
    </dxf>
    <dxf>
      <font>
        <color rgb="FF9C0006"/>
      </font>
      <fill>
        <patternFill>
          <bgColor rgb="FFFFC7CE"/>
        </patternFill>
      </fill>
    </dxf>
    <dxf>
      <font>
        <b/>
        <i val="0"/>
        <color theme="9"/>
      </font>
    </dxf>
    <dxf>
      <font>
        <b/>
        <i val="0"/>
        <color rgb="FFFF000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9"/>
      </font>
    </dxf>
    <dxf>
      <font>
        <b/>
        <i val="0"/>
        <color rgb="FFFF0000"/>
      </font>
    </dxf>
    <dxf>
      <font>
        <b/>
        <i val="0"/>
        <color auto="1"/>
      </font>
      <fill>
        <patternFill>
          <bgColor rgb="FF00B050"/>
        </patternFill>
      </fill>
    </dxf>
    <dxf>
      <font>
        <b/>
        <i val="0"/>
        <color auto="1"/>
      </font>
      <fill>
        <patternFill>
          <bgColor rgb="FFFF00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104148063966237E-2"/>
          <c:y val="4.6296296296296294E-2"/>
          <c:w val="0.85052011797494387"/>
          <c:h val="0.8416746864975212"/>
        </c:manualLayout>
      </c:layout>
      <c:barChart>
        <c:barDir val="col"/>
        <c:grouping val="clustered"/>
        <c:varyColors val="0"/>
        <c:ser>
          <c:idx val="0"/>
          <c:order val="0"/>
          <c:spPr>
            <a:solidFill>
              <a:schemeClr val="accent1"/>
            </a:solidFill>
            <a:ln>
              <a:noFill/>
            </a:ln>
            <a:effectLst/>
          </c:spPr>
          <c:invertIfNegative val="0"/>
          <c:cat>
            <c:strRef>
              <c:f>'INFORME AUDIT INTERNA'!$D$67:$D$70</c:f>
              <c:strCache>
                <c:ptCount val="4"/>
                <c:pt idx="0">
                  <c:v>Orden</c:v>
                </c:pt>
                <c:pt idx="1">
                  <c:v>Limpieza</c:v>
                </c:pt>
                <c:pt idx="2">
                  <c:v>Buenas Prácticas</c:v>
                </c:pt>
                <c:pt idx="3">
                  <c:v>Infraestructura</c:v>
                </c:pt>
              </c:strCache>
            </c:strRef>
          </c:cat>
          <c:val>
            <c:numRef>
              <c:f>'INFORME AUDIT INTERNA'!$E$67:$E$70</c:f>
              <c:numCache>
                <c:formatCode>#,##0</c:formatCode>
                <c:ptCount val="4"/>
                <c:pt idx="0">
                  <c:v>3</c:v>
                </c:pt>
                <c:pt idx="1">
                  <c:v>4</c:v>
                </c:pt>
                <c:pt idx="2">
                  <c:v>3</c:v>
                </c:pt>
                <c:pt idx="3">
                  <c:v>0</c:v>
                </c:pt>
              </c:numCache>
            </c:numRef>
          </c:val>
          <c:extLst>
            <c:ext xmlns:c16="http://schemas.microsoft.com/office/drawing/2014/chart" uri="{C3380CC4-5D6E-409C-BE32-E72D297353CC}">
              <c16:uniqueId val="{00000000-6835-417F-A5D9-058323F9B2C2}"/>
            </c:ext>
          </c:extLst>
        </c:ser>
        <c:dLbls>
          <c:showLegendKey val="0"/>
          <c:showVal val="0"/>
          <c:showCatName val="0"/>
          <c:showSerName val="0"/>
          <c:showPercent val="0"/>
          <c:showBubbleSize val="0"/>
        </c:dLbls>
        <c:gapWidth val="219"/>
        <c:overlap val="-27"/>
        <c:axId val="-1186936752"/>
        <c:axId val="-1186935664"/>
      </c:barChart>
      <c:lineChart>
        <c:grouping val="standard"/>
        <c:varyColors val="0"/>
        <c:ser>
          <c:idx val="1"/>
          <c:order val="1"/>
          <c:spPr>
            <a:ln w="28575" cap="rnd">
              <a:solidFill>
                <a:schemeClr val="accent2"/>
              </a:solidFill>
              <a:round/>
            </a:ln>
            <a:effectLst/>
          </c:spPr>
          <c:marker>
            <c:symbol val="none"/>
          </c:marker>
          <c:dPt>
            <c:idx val="2"/>
            <c:marker>
              <c:symbol val="none"/>
            </c:marker>
            <c:bubble3D val="0"/>
            <c:extLst>
              <c:ext xmlns:c16="http://schemas.microsoft.com/office/drawing/2014/chart" uri="{C3380CC4-5D6E-409C-BE32-E72D297353CC}">
                <c16:uniqueId val="{00000002-6835-417F-A5D9-058323F9B2C2}"/>
              </c:ext>
            </c:extLst>
          </c:dPt>
          <c:cat>
            <c:strRef>
              <c:f>'INFORME AUDIT INTERNA'!$D$67:$D$70</c:f>
              <c:strCache>
                <c:ptCount val="4"/>
                <c:pt idx="0">
                  <c:v>Orden</c:v>
                </c:pt>
                <c:pt idx="1">
                  <c:v>Limpieza</c:v>
                </c:pt>
                <c:pt idx="2">
                  <c:v>Buenas Prácticas</c:v>
                </c:pt>
                <c:pt idx="3">
                  <c:v>Infraestructura</c:v>
                </c:pt>
              </c:strCache>
            </c:strRef>
          </c:cat>
          <c:val>
            <c:numRef>
              <c:f>'INFORME AUDIT INTERNA'!$H$67:$H$70</c:f>
              <c:numCache>
                <c:formatCode>0.00%</c:formatCode>
                <c:ptCount val="4"/>
                <c:pt idx="0">
                  <c:v>0.3</c:v>
                </c:pt>
                <c:pt idx="1">
                  <c:v>0.7</c:v>
                </c:pt>
                <c:pt idx="2">
                  <c:v>1</c:v>
                </c:pt>
                <c:pt idx="3">
                  <c:v>1</c:v>
                </c:pt>
              </c:numCache>
            </c:numRef>
          </c:val>
          <c:smooth val="0"/>
          <c:extLst>
            <c:ext xmlns:c16="http://schemas.microsoft.com/office/drawing/2014/chart" uri="{C3380CC4-5D6E-409C-BE32-E72D297353CC}">
              <c16:uniqueId val="{00000003-6835-417F-A5D9-058323F9B2C2}"/>
            </c:ext>
          </c:extLst>
        </c:ser>
        <c:dLbls>
          <c:showLegendKey val="0"/>
          <c:showVal val="0"/>
          <c:showCatName val="0"/>
          <c:showSerName val="0"/>
          <c:showPercent val="0"/>
          <c:showBubbleSize val="0"/>
        </c:dLbls>
        <c:marker val="1"/>
        <c:smooth val="0"/>
        <c:axId val="-1114581264"/>
        <c:axId val="-1186937296"/>
      </c:lineChart>
      <c:catAx>
        <c:axId val="-118693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186935664"/>
        <c:crosses val="autoZero"/>
        <c:auto val="1"/>
        <c:lblAlgn val="ctr"/>
        <c:lblOffset val="100"/>
        <c:noMultiLvlLbl val="0"/>
      </c:catAx>
      <c:valAx>
        <c:axId val="-1186935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186936752"/>
        <c:crosses val="autoZero"/>
        <c:crossBetween val="between"/>
      </c:valAx>
      <c:valAx>
        <c:axId val="-1186937296"/>
        <c:scaling>
          <c:orientation val="minMax"/>
          <c:max val="1"/>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114581264"/>
        <c:crosses val="max"/>
        <c:crossBetween val="between"/>
      </c:valAx>
      <c:catAx>
        <c:axId val="-1114581264"/>
        <c:scaling>
          <c:orientation val="minMax"/>
        </c:scaling>
        <c:delete val="1"/>
        <c:axPos val="b"/>
        <c:numFmt formatCode="General" sourceLinked="1"/>
        <c:majorTickMark val="out"/>
        <c:minorTickMark val="none"/>
        <c:tickLblPos val="nextTo"/>
        <c:crossAx val="-118693729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Puntuación</a:t>
            </a:r>
            <a:r>
              <a:rPr lang="es-ES" baseline="0"/>
              <a:t> Global (%)  </a:t>
            </a:r>
            <a:endParaRPr lang="es-ES"/>
          </a:p>
        </c:rich>
      </c:tx>
      <c:overlay val="0"/>
    </c:title>
    <c:autoTitleDeleted val="0"/>
    <c:plotArea>
      <c:layout>
        <c:manualLayout>
          <c:layoutTarget val="inner"/>
          <c:xMode val="edge"/>
          <c:yMode val="edge"/>
          <c:x val="3.249355448751088E-2"/>
          <c:y val="9.8871348119128302E-2"/>
          <c:w val="0.91370684101060651"/>
          <c:h val="0.48016581696921395"/>
        </c:manualLayout>
      </c:layout>
      <c:barChart>
        <c:barDir val="col"/>
        <c:grouping val="clustered"/>
        <c:varyColors val="0"/>
        <c:ser>
          <c:idx val="1"/>
          <c:order val="0"/>
          <c:tx>
            <c:strRef>
              <c:f>'INFORME AUDIT INTERNA'!$A$8:$D$8</c:f>
              <c:strCache>
                <c:ptCount val="4"/>
                <c:pt idx="0">
                  <c:v>A. MEZCLAS (Cámaras, Bodegas, Sla. Mezclas, Sla. Aditivos, Sla.Glucosas)</c:v>
                </c:pt>
              </c:strCache>
            </c:strRef>
          </c:tx>
          <c:invertIfNegative val="0"/>
          <c:dPt>
            <c:idx val="0"/>
            <c:invertIfNegative val="0"/>
            <c:bubble3D val="0"/>
            <c:spPr>
              <a:scene3d>
                <a:camera prst="orthographicFront"/>
                <a:lightRig rig="threePt" dir="t"/>
              </a:scene3d>
              <a:sp3d>
                <a:bevelT/>
              </a:sp3d>
            </c:spPr>
            <c:extLst>
              <c:ext xmlns:c16="http://schemas.microsoft.com/office/drawing/2014/chart" uri="{C3380CC4-5D6E-409C-BE32-E72D297353CC}">
                <c16:uniqueId val="{00000001-1F6E-4D14-8DDC-14DCBC022A0D}"/>
              </c:ext>
            </c:extLst>
          </c:dPt>
          <c:val>
            <c:numRef>
              <c:f>'INFORME AUDIT INTERNA'!$F$8</c:f>
              <c:numCache>
                <c:formatCode>0.0</c:formatCode>
                <c:ptCount val="1"/>
                <c:pt idx="0">
                  <c:v>92.307692307692307</c:v>
                </c:pt>
              </c:numCache>
            </c:numRef>
          </c:val>
          <c:extLst>
            <c:ext xmlns:c16="http://schemas.microsoft.com/office/drawing/2014/chart" uri="{C3380CC4-5D6E-409C-BE32-E72D297353CC}">
              <c16:uniqueId val="{00000000-6A92-4F95-B4C9-141ADC1FB6FE}"/>
            </c:ext>
          </c:extLst>
        </c:ser>
        <c:ser>
          <c:idx val="2"/>
          <c:order val="1"/>
          <c:tx>
            <c:strRef>
              <c:f>'INFORME AUDIT INTERNA'!$A$13:$D$13</c:f>
              <c:strCache>
                <c:ptCount val="4"/>
                <c:pt idx="0">
                  <c:v>B. ALMACÉN (MMPP, MMAA, Producto Terminado y APQ) </c:v>
                </c:pt>
              </c:strCache>
            </c:strRef>
          </c:tx>
          <c:spPr>
            <a:scene3d>
              <a:camera prst="orthographicFront"/>
              <a:lightRig rig="threePt" dir="t"/>
            </a:scene3d>
            <a:sp3d>
              <a:bevelT/>
            </a:sp3d>
          </c:spPr>
          <c:invertIfNegative val="0"/>
          <c:val>
            <c:numRef>
              <c:f>'INFORME AUDIT INTERNA'!$F$13</c:f>
              <c:numCache>
                <c:formatCode>0.0</c:formatCode>
                <c:ptCount val="1"/>
                <c:pt idx="0">
                  <c:v>90.909090909090907</c:v>
                </c:pt>
              </c:numCache>
            </c:numRef>
          </c:val>
          <c:extLst>
            <c:ext xmlns:c16="http://schemas.microsoft.com/office/drawing/2014/chart" uri="{C3380CC4-5D6E-409C-BE32-E72D297353CC}">
              <c16:uniqueId val="{00000001-6A92-4F95-B4C9-141ADC1FB6FE}"/>
            </c:ext>
          </c:extLst>
        </c:ser>
        <c:ser>
          <c:idx val="3"/>
          <c:order val="2"/>
          <c:tx>
            <c:strRef>
              <c:f>'INFORME AUDIT INTERNA'!$A$18:$D$18</c:f>
              <c:strCache>
                <c:ptCount val="4"/>
                <c:pt idx="0">
                  <c:v>C. Taller de Mantenimiento, Sla Compresores, Sla Calderas, Sla CIP y PTA</c:v>
                </c:pt>
              </c:strCache>
            </c:strRef>
          </c:tx>
          <c:spPr>
            <a:scene3d>
              <a:camera prst="orthographicFront"/>
              <a:lightRig rig="threePt" dir="t"/>
            </a:scene3d>
            <a:sp3d>
              <a:bevelT/>
            </a:sp3d>
          </c:spPr>
          <c:invertIfNegative val="0"/>
          <c:val>
            <c:numRef>
              <c:f>'INFORME AUDIT INTERNA'!$F$18</c:f>
              <c:numCache>
                <c:formatCode>0.0</c:formatCode>
                <c:ptCount val="1"/>
                <c:pt idx="0">
                  <c:v>97.61904761904762</c:v>
                </c:pt>
              </c:numCache>
            </c:numRef>
          </c:val>
          <c:extLst>
            <c:ext xmlns:c16="http://schemas.microsoft.com/office/drawing/2014/chart" uri="{C3380CC4-5D6E-409C-BE32-E72D297353CC}">
              <c16:uniqueId val="{00000002-6A92-4F95-B4C9-141ADC1FB6FE}"/>
            </c:ext>
          </c:extLst>
        </c:ser>
        <c:ser>
          <c:idx val="4"/>
          <c:order val="3"/>
          <c:tx>
            <c:strRef>
              <c:f>'INFORME AUDIT INTERNA'!$A$23:$D$23</c:f>
              <c:strCache>
                <c:ptCount val="4"/>
                <c:pt idx="0">
                  <c:v>D. Laboratorio</c:v>
                </c:pt>
              </c:strCache>
            </c:strRef>
          </c:tx>
          <c:spPr>
            <a:scene3d>
              <a:camera prst="orthographicFront"/>
              <a:lightRig rig="threePt" dir="t"/>
            </a:scene3d>
            <a:sp3d>
              <a:bevelT/>
            </a:sp3d>
          </c:spPr>
          <c:invertIfNegative val="0"/>
          <c:val>
            <c:numRef>
              <c:f>'INFORME AUDIT INTERNA'!$F$23</c:f>
              <c:numCache>
                <c:formatCode>0.0</c:formatCode>
                <c:ptCount val="1"/>
                <c:pt idx="0">
                  <c:v>100</c:v>
                </c:pt>
              </c:numCache>
            </c:numRef>
          </c:val>
          <c:extLst>
            <c:ext xmlns:c16="http://schemas.microsoft.com/office/drawing/2014/chart" uri="{C3380CC4-5D6E-409C-BE32-E72D297353CC}">
              <c16:uniqueId val="{00000003-6A92-4F95-B4C9-141ADC1FB6FE}"/>
            </c:ext>
          </c:extLst>
        </c:ser>
        <c:ser>
          <c:idx val="5"/>
          <c:order val="4"/>
          <c:tx>
            <c:strRef>
              <c:f>'INFORME AUDIT INTERNA'!$A$28:$D$28</c:f>
              <c:strCache>
                <c:ptCount val="4"/>
                <c:pt idx="0">
                  <c:v>E.ENVASADO (Linea 2,8 y 9 )</c:v>
                </c:pt>
              </c:strCache>
            </c:strRef>
          </c:tx>
          <c:spPr>
            <a:scene3d>
              <a:camera prst="orthographicFront"/>
              <a:lightRig rig="threePt" dir="t"/>
            </a:scene3d>
            <a:sp3d>
              <a:bevelT/>
            </a:sp3d>
          </c:spPr>
          <c:invertIfNegative val="0"/>
          <c:val>
            <c:numRef>
              <c:f>'INFORME AUDIT INTERNA'!$F$28</c:f>
              <c:numCache>
                <c:formatCode>0.0</c:formatCode>
                <c:ptCount val="1"/>
                <c:pt idx="0">
                  <c:v>93.181818181818173</c:v>
                </c:pt>
              </c:numCache>
            </c:numRef>
          </c:val>
          <c:extLst>
            <c:ext xmlns:c16="http://schemas.microsoft.com/office/drawing/2014/chart" uri="{C3380CC4-5D6E-409C-BE32-E72D297353CC}">
              <c16:uniqueId val="{00000004-6A92-4F95-B4C9-141ADC1FB6FE}"/>
            </c:ext>
          </c:extLst>
        </c:ser>
        <c:ser>
          <c:idx val="6"/>
          <c:order val="5"/>
          <c:tx>
            <c:strRef>
              <c:f>'INFORME AUDIT INTERNA'!$A$33:$D$33</c:f>
              <c:strCache>
                <c:ptCount val="4"/>
                <c:pt idx="0">
                  <c:v>F. Exteriores</c:v>
                </c:pt>
              </c:strCache>
            </c:strRef>
          </c:tx>
          <c:spPr>
            <a:scene3d>
              <a:camera prst="orthographicFront"/>
              <a:lightRig rig="threePt" dir="t"/>
            </a:scene3d>
            <a:sp3d>
              <a:bevelT/>
            </a:sp3d>
          </c:spPr>
          <c:invertIfNegative val="0"/>
          <c:val>
            <c:numRef>
              <c:f>'INFORME AUDIT INTERNA'!$F$33</c:f>
              <c:numCache>
                <c:formatCode>0.0</c:formatCode>
                <c:ptCount val="1"/>
                <c:pt idx="0">
                  <c:v>100</c:v>
                </c:pt>
              </c:numCache>
            </c:numRef>
          </c:val>
          <c:extLst>
            <c:ext xmlns:c16="http://schemas.microsoft.com/office/drawing/2014/chart" uri="{C3380CC4-5D6E-409C-BE32-E72D297353CC}">
              <c16:uniqueId val="{00000005-6A92-4F95-B4C9-141ADC1FB6FE}"/>
            </c:ext>
          </c:extLst>
        </c:ser>
        <c:ser>
          <c:idx val="7"/>
          <c:order val="6"/>
          <c:tx>
            <c:strRef>
              <c:f>'INFORME AUDIT INTERNA'!$A$38:$D$38</c:f>
              <c:strCache>
                <c:ptCount val="4"/>
                <c:pt idx="0">
                  <c:v>G. ZONAS COMUNES (Vestuarios, Servicios, Comedor y Cuarto de Limpieza)</c:v>
                </c:pt>
              </c:strCache>
            </c:strRef>
          </c:tx>
          <c:spPr>
            <a:scene3d>
              <a:camera prst="orthographicFront"/>
              <a:lightRig rig="threePt" dir="t"/>
            </a:scene3d>
            <a:sp3d>
              <a:bevelT/>
            </a:sp3d>
          </c:spPr>
          <c:invertIfNegative val="0"/>
          <c:val>
            <c:numRef>
              <c:f>'INFORME AUDIT INTERNA'!$F$38</c:f>
              <c:numCache>
                <c:formatCode>0.0</c:formatCode>
                <c:ptCount val="1"/>
                <c:pt idx="0">
                  <c:v>88.888888888888886</c:v>
                </c:pt>
              </c:numCache>
            </c:numRef>
          </c:val>
          <c:extLst>
            <c:ext xmlns:c16="http://schemas.microsoft.com/office/drawing/2014/chart" uri="{C3380CC4-5D6E-409C-BE32-E72D297353CC}">
              <c16:uniqueId val="{00000006-6A92-4F95-B4C9-141ADC1FB6FE}"/>
            </c:ext>
          </c:extLst>
        </c:ser>
        <c:ser>
          <c:idx val="0"/>
          <c:order val="7"/>
          <c:tx>
            <c:strRef>
              <c:f>'INFORME AUDIT INTERNA'!$A$45:$D$45</c:f>
              <c:strCache>
                <c:ptCount val="4"/>
                <c:pt idx="0">
                  <c:v>TOTAL     </c:v>
                </c:pt>
              </c:strCache>
            </c:strRef>
          </c:tx>
          <c:spPr>
            <a:solidFill>
              <a:srgbClr val="00B050"/>
            </a:solidFill>
            <a:ln>
              <a:solidFill>
                <a:srgbClr val="00B050"/>
              </a:solidFill>
            </a:ln>
            <a:scene3d>
              <a:camera prst="orthographicFront"/>
              <a:lightRig rig="threePt" dir="t"/>
            </a:scene3d>
            <a:sp3d>
              <a:bevelT/>
            </a:sp3d>
          </c:spPr>
          <c:invertIfNegative val="0"/>
          <c:val>
            <c:numRef>
              <c:f>'INFORME AUDIT INTERNA'!$F$45</c:f>
              <c:numCache>
                <c:formatCode>0.0</c:formatCode>
                <c:ptCount val="1"/>
                <c:pt idx="0">
                  <c:v>95.769230769230774</c:v>
                </c:pt>
              </c:numCache>
            </c:numRef>
          </c:val>
          <c:extLst>
            <c:ext xmlns:c16="http://schemas.microsoft.com/office/drawing/2014/chart" uri="{C3380CC4-5D6E-409C-BE32-E72D297353CC}">
              <c16:uniqueId val="{00000002-1F6E-4D14-8DDC-14DCBC022A0D}"/>
            </c:ext>
          </c:extLst>
        </c:ser>
        <c:dLbls>
          <c:showLegendKey val="0"/>
          <c:showVal val="0"/>
          <c:showCatName val="0"/>
          <c:showSerName val="0"/>
          <c:showPercent val="0"/>
          <c:showBubbleSize val="0"/>
        </c:dLbls>
        <c:gapWidth val="377"/>
        <c:axId val="-1114585072"/>
        <c:axId val="-1114580720"/>
      </c:barChart>
      <c:catAx>
        <c:axId val="-1114585072"/>
        <c:scaling>
          <c:orientation val="minMax"/>
        </c:scaling>
        <c:delete val="1"/>
        <c:axPos val="b"/>
        <c:majorTickMark val="none"/>
        <c:minorTickMark val="none"/>
        <c:tickLblPos val="none"/>
        <c:crossAx val="-1114580720"/>
        <c:crosses val="autoZero"/>
        <c:auto val="1"/>
        <c:lblAlgn val="ctr"/>
        <c:lblOffset val="100"/>
        <c:noMultiLvlLbl val="0"/>
      </c:catAx>
      <c:valAx>
        <c:axId val="-1114580720"/>
        <c:scaling>
          <c:orientation val="minMax"/>
          <c:max val="100"/>
          <c:min val="40"/>
        </c:scaling>
        <c:delete val="0"/>
        <c:axPos val="l"/>
        <c:majorGridlines/>
        <c:numFmt formatCode="0.0" sourceLinked="1"/>
        <c:majorTickMark val="none"/>
        <c:minorTickMark val="in"/>
        <c:tickLblPos val="nextTo"/>
        <c:spPr>
          <a:ln w="9525">
            <a:solidFill>
              <a:schemeClr val="accent1"/>
            </a:solidFill>
          </a:ln>
        </c:spPr>
        <c:crossAx val="-1114585072"/>
        <c:crosses val="autoZero"/>
        <c:crossBetween val="between"/>
        <c:minorUnit val="5"/>
      </c:valAx>
    </c:plotArea>
    <c:legend>
      <c:legendPos val="b"/>
      <c:legendEntry>
        <c:idx val="0"/>
        <c:txPr>
          <a:bodyPr rot="0"/>
          <a:lstStyle/>
          <a:p>
            <a:pPr>
              <a:defRPr sz="1050"/>
            </a:pPr>
            <a:endParaRPr lang="es-ES"/>
          </a:p>
        </c:txPr>
      </c:legendEntry>
      <c:layout>
        <c:manualLayout>
          <c:xMode val="edge"/>
          <c:yMode val="edge"/>
          <c:x val="1.4223143058964455E-2"/>
          <c:y val="0.61443320503750254"/>
          <c:w val="0.94507480493135787"/>
          <c:h val="0.37683666464768822"/>
        </c:manualLayout>
      </c:layout>
      <c:overlay val="0"/>
      <c:txPr>
        <a:bodyPr rot="0"/>
        <a:lstStyle/>
        <a:p>
          <a:pPr>
            <a:defRPr sz="1050"/>
          </a:pPr>
          <a:endParaRPr lang="es-ES"/>
        </a:p>
      </c:txPr>
    </c:legend>
    <c:plotVisOnly val="1"/>
    <c:dispBlanksAs val="gap"/>
    <c:showDLblsOverMax val="0"/>
  </c:chart>
  <c:printSettings>
    <c:headerFooter/>
    <c:pageMargins b="0.75000000000000966" l="0.70000000000000062" r="0.70000000000000062" t="0.75000000000000966"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B. ALMACÉN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(ListasDatos!$E$70:$E$72,ListasDatos!$E$75)</c:f>
              <c:numCache>
                <c:formatCode>0.0%</c:formatCode>
                <c:ptCount val="4"/>
                <c:pt idx="0">
                  <c:v>0.84090909090909094</c:v>
                </c:pt>
                <c:pt idx="1">
                  <c:v>0.97619047619047616</c:v>
                </c:pt>
                <c:pt idx="2">
                  <c:v>0.9375</c:v>
                </c:pt>
                <c:pt idx="3">
                  <c:v>0.94444444444444442</c:v>
                </c:pt>
              </c:numCache>
            </c:numRef>
          </c:val>
          <c:extLst>
            <c:ext xmlns:c16="http://schemas.microsoft.com/office/drawing/2014/chart" uri="{C3380CC4-5D6E-409C-BE32-E72D297353CC}">
              <c16:uniqueId val="{00000000-50C9-4A44-9E50-6AF1C1970EF7}"/>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(ListasDatos!$F$70:$F$72,ListasDatos!$F$75)</c:f>
              <c:numCache>
                <c:formatCode>0.0%</c:formatCode>
                <c:ptCount val="4"/>
                <c:pt idx="0">
                  <c:v>0.95454545454545459</c:v>
                </c:pt>
                <c:pt idx="1">
                  <c:v>1</c:v>
                </c:pt>
                <c:pt idx="2">
                  <c:v>0</c:v>
                </c:pt>
                <c:pt idx="3">
                  <c:v>1</c:v>
                </c:pt>
              </c:numCache>
            </c:numRef>
          </c:val>
          <c:extLst>
            <c:ext xmlns:c16="http://schemas.microsoft.com/office/drawing/2014/chart" uri="{C3380CC4-5D6E-409C-BE32-E72D297353CC}">
              <c16:uniqueId val="{00000001-50C9-4A44-9E50-6AF1C1970EF7}"/>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(ListasDatos!$G$70:$G$72,ListasDatos!$G$75)</c:f>
              <c:numCache>
                <c:formatCode>0.0%</c:formatCode>
                <c:ptCount val="4"/>
                <c:pt idx="0">
                  <c:v>0.77272727272727271</c:v>
                </c:pt>
                <c:pt idx="1">
                  <c:v>0.95238095238095233</c:v>
                </c:pt>
                <c:pt idx="2">
                  <c:v>1</c:v>
                </c:pt>
                <c:pt idx="3">
                  <c:v>0.88888888888888884</c:v>
                </c:pt>
              </c:numCache>
            </c:numRef>
          </c:val>
          <c:extLst>
            <c:ext xmlns:c16="http://schemas.microsoft.com/office/drawing/2014/chart" uri="{C3380CC4-5D6E-409C-BE32-E72D297353CC}">
              <c16:uniqueId val="{00000002-50C9-4A44-9E50-6AF1C1970EF7}"/>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(ListasDatos!$H$70:$H$72,ListasDatos!$H$75)</c:f>
              <c:numCache>
                <c:formatCode>0.0%</c:formatCode>
                <c:ptCount val="4"/>
                <c:pt idx="0">
                  <c:v>1</c:v>
                </c:pt>
                <c:pt idx="1">
                  <c:v>1</c:v>
                </c:pt>
                <c:pt idx="2">
                  <c:v>0</c:v>
                </c:pt>
                <c:pt idx="3">
                  <c:v>1</c:v>
                </c:pt>
              </c:numCache>
            </c:numRef>
          </c:val>
          <c:extLst>
            <c:ext xmlns:c16="http://schemas.microsoft.com/office/drawing/2014/chart" uri="{C3380CC4-5D6E-409C-BE32-E72D297353CC}">
              <c16:uniqueId val="{00000003-50C9-4A44-9E50-6AF1C1970EF7}"/>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(ListasDatos!$I$70:$I$72,ListasDatos!$I$75)</c:f>
              <c:numCache>
                <c:formatCode>0.0%</c:formatCode>
                <c:ptCount val="4"/>
                <c:pt idx="0">
                  <c:v>0.77272727272727271</c:v>
                </c:pt>
                <c:pt idx="1">
                  <c:v>0.9285714285714286</c:v>
                </c:pt>
                <c:pt idx="2">
                  <c:v>0.9375</c:v>
                </c:pt>
                <c:pt idx="3">
                  <c:v>0.97222222222222221</c:v>
                </c:pt>
              </c:numCache>
            </c:numRef>
          </c:val>
          <c:extLst>
            <c:ext xmlns:c16="http://schemas.microsoft.com/office/drawing/2014/chart" uri="{C3380CC4-5D6E-409C-BE32-E72D297353CC}">
              <c16:uniqueId val="{00000004-50C9-4A44-9E50-6AF1C1970EF7}"/>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(ListasDatos!$J$70:$J$72,ListasDatos!$J$75)</c:f>
              <c:numCache>
                <c:formatCode>0.0%</c:formatCode>
                <c:ptCount val="4"/>
                <c:pt idx="0">
                  <c:v>0.93181818181818177</c:v>
                </c:pt>
                <c:pt idx="1">
                  <c:v>0.97619047619047616</c:v>
                </c:pt>
                <c:pt idx="2">
                  <c:v>0</c:v>
                </c:pt>
                <c:pt idx="3">
                  <c:v>1</c:v>
                </c:pt>
              </c:numCache>
            </c:numRef>
          </c:val>
          <c:extLst>
            <c:ext xmlns:c16="http://schemas.microsoft.com/office/drawing/2014/chart" uri="{C3380CC4-5D6E-409C-BE32-E72D297353CC}">
              <c16:uniqueId val="{00000005-50C9-4A44-9E50-6AF1C1970EF7}"/>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(ListasDatos!$K$70:$K$72,ListasDatos!$K$75)</c:f>
              <c:numCache>
                <c:formatCode>0.0%</c:formatCode>
                <c:ptCount val="4"/>
                <c:pt idx="0">
                  <c:v>0.95454545454545459</c:v>
                </c:pt>
                <c:pt idx="1">
                  <c:v>0.95238095238095233</c:v>
                </c:pt>
                <c:pt idx="2">
                  <c:v>1</c:v>
                </c:pt>
                <c:pt idx="3">
                  <c:v>1</c:v>
                </c:pt>
              </c:numCache>
            </c:numRef>
          </c:val>
          <c:extLst>
            <c:ext xmlns:c16="http://schemas.microsoft.com/office/drawing/2014/chart" uri="{C3380CC4-5D6E-409C-BE32-E72D297353CC}">
              <c16:uniqueId val="{00000006-50C9-4A44-9E50-6AF1C1970EF7}"/>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ListasDatos!$L$70:$L$72</c:f>
              <c:numCache>
                <c:formatCode>0.0%</c:formatCode>
                <c:ptCount val="3"/>
                <c:pt idx="0">
                  <c:v>0.90909090909090906</c:v>
                </c:pt>
                <c:pt idx="1">
                  <c:v>0.9285714285714286</c:v>
                </c:pt>
                <c:pt idx="2">
                  <c:v>0</c:v>
                </c:pt>
              </c:numCache>
            </c:numRef>
          </c:val>
          <c:extLst>
            <c:ext xmlns:c16="http://schemas.microsoft.com/office/drawing/2014/chart" uri="{C3380CC4-5D6E-409C-BE32-E72D297353CC}">
              <c16:uniqueId val="{00000007-50C9-4A44-9E50-6AF1C1970EF7}"/>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(ListasDatos!$M$70:$M$72,ListasDatos!$M$75)</c:f>
              <c:numCache>
                <c:formatCode>0.0%</c:formatCode>
                <c:ptCount val="4"/>
                <c:pt idx="0">
                  <c:v>0.90909090909090906</c:v>
                </c:pt>
                <c:pt idx="1">
                  <c:v>0.97619047619047616</c:v>
                </c:pt>
                <c:pt idx="2">
                  <c:v>1</c:v>
                </c:pt>
                <c:pt idx="3">
                  <c:v>0.88888888888888884</c:v>
                </c:pt>
              </c:numCache>
            </c:numRef>
          </c:val>
          <c:extLst>
            <c:ext xmlns:c16="http://schemas.microsoft.com/office/drawing/2014/chart" uri="{C3380CC4-5D6E-409C-BE32-E72D297353CC}">
              <c16:uniqueId val="{00000008-50C9-4A44-9E50-6AF1C1970EF7}"/>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ListasDatos!$N$70:$N$72</c:f>
              <c:numCache>
                <c:formatCode>0.0%</c:formatCode>
                <c:ptCount val="3"/>
                <c:pt idx="0">
                  <c:v>0.95454545454545459</c:v>
                </c:pt>
                <c:pt idx="1">
                  <c:v>0.97619047619047616</c:v>
                </c:pt>
                <c:pt idx="2">
                  <c:v>0</c:v>
                </c:pt>
              </c:numCache>
            </c:numRef>
          </c:val>
          <c:extLst>
            <c:ext xmlns:c16="http://schemas.microsoft.com/office/drawing/2014/chart" uri="{C3380CC4-5D6E-409C-BE32-E72D297353CC}">
              <c16:uniqueId val="{00000009-50C9-4A44-9E50-6AF1C1970EF7}"/>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(ListasDatos!$O$70:$O$72,ListasDatos!$O$75)</c:f>
              <c:numCache>
                <c:formatCode>0.0%</c:formatCode>
                <c:ptCount val="4"/>
                <c:pt idx="0">
                  <c:v>0.84090909090909094</c:v>
                </c:pt>
                <c:pt idx="1">
                  <c:v>0.95238095238095233</c:v>
                </c:pt>
                <c:pt idx="2">
                  <c:v>0</c:v>
                </c:pt>
                <c:pt idx="3">
                  <c:v>1</c:v>
                </c:pt>
              </c:numCache>
            </c:numRef>
          </c:val>
          <c:extLst>
            <c:ext xmlns:c16="http://schemas.microsoft.com/office/drawing/2014/chart" uri="{C3380CC4-5D6E-409C-BE32-E72D297353CC}">
              <c16:uniqueId val="{0000000A-50C9-4A44-9E50-6AF1C1970EF7}"/>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(ListasDatos!$P$70:$P$72,ListasDatos!$P$75)</c:f>
              <c:numCache>
                <c:formatCode>0.0%</c:formatCode>
                <c:ptCount val="4"/>
                <c:pt idx="0">
                  <c:v>0.93181818181818177</c:v>
                </c:pt>
                <c:pt idx="1">
                  <c:v>1.0238095238095237</c:v>
                </c:pt>
                <c:pt idx="2">
                  <c:v>0</c:v>
                </c:pt>
                <c:pt idx="3">
                  <c:v>0.97222222222222221</c:v>
                </c:pt>
              </c:numCache>
            </c:numRef>
          </c:val>
          <c:extLst>
            <c:ext xmlns:c16="http://schemas.microsoft.com/office/drawing/2014/chart" uri="{C3380CC4-5D6E-409C-BE32-E72D297353CC}">
              <c16:uniqueId val="{0000000B-50C9-4A44-9E50-6AF1C1970EF7}"/>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(ListasDatos!$Q$70:$Q$72,ListasDatos!$Q$75)</c:f>
              <c:numCache>
                <c:formatCode>0.0%</c:formatCode>
                <c:ptCount val="4"/>
                <c:pt idx="0">
                  <c:v>0</c:v>
                </c:pt>
                <c:pt idx="1">
                  <c:v>0</c:v>
                </c:pt>
                <c:pt idx="2">
                  <c:v>0</c:v>
                </c:pt>
                <c:pt idx="3">
                  <c:v>0</c:v>
                </c:pt>
              </c:numCache>
            </c:numRef>
          </c:val>
          <c:extLst>
            <c:ext xmlns:c16="http://schemas.microsoft.com/office/drawing/2014/chart" uri="{C3380CC4-5D6E-409C-BE32-E72D297353CC}">
              <c16:uniqueId val="{0000000C-50C9-4A44-9E50-6AF1C1970EF7}"/>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(ListasDatos!$R$70:$R$72,ListasDatos!$R$75)</c:f>
              <c:numCache>
                <c:formatCode>0.0%</c:formatCode>
                <c:ptCount val="4"/>
                <c:pt idx="0">
                  <c:v>0</c:v>
                </c:pt>
                <c:pt idx="1">
                  <c:v>0</c:v>
                </c:pt>
                <c:pt idx="2">
                  <c:v>0</c:v>
                </c:pt>
                <c:pt idx="3">
                  <c:v>0</c:v>
                </c:pt>
              </c:numCache>
            </c:numRef>
          </c:val>
          <c:extLst>
            <c:ext xmlns:c16="http://schemas.microsoft.com/office/drawing/2014/chart" uri="{C3380CC4-5D6E-409C-BE32-E72D297353CC}">
              <c16:uniqueId val="{0000000D-50C9-4A44-9E50-6AF1C1970EF7}"/>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(ListasDatos!$S$70:$S$72,ListasDatos!$S$75)</c:f>
              <c:numCache>
                <c:formatCode>0.0%</c:formatCode>
                <c:ptCount val="4"/>
                <c:pt idx="0">
                  <c:v>0.47916666666666669</c:v>
                </c:pt>
                <c:pt idx="1">
                  <c:v>0.95634920634920639</c:v>
                </c:pt>
                <c:pt idx="2">
                  <c:v>0.8125</c:v>
                </c:pt>
                <c:pt idx="3">
                  <c:v>0.96527777777777768</c:v>
                </c:pt>
              </c:numCache>
            </c:numRef>
          </c:val>
          <c:extLst>
            <c:ext xmlns:c16="http://schemas.microsoft.com/office/drawing/2014/chart" uri="{C3380CC4-5D6E-409C-BE32-E72D297353CC}">
              <c16:uniqueId val="{0000000F-50C9-4A44-9E50-6AF1C1970EF7}"/>
            </c:ext>
          </c:extLst>
        </c:ser>
        <c:dLbls>
          <c:showLegendKey val="0"/>
          <c:showVal val="0"/>
          <c:showCatName val="0"/>
          <c:showSerName val="0"/>
          <c:showPercent val="0"/>
          <c:showBubbleSize val="0"/>
        </c:dLbls>
        <c:gapWidth val="219"/>
        <c:overlap val="-27"/>
        <c:axId val="-1114580176"/>
        <c:axId val="-1114579632"/>
      </c:barChart>
      <c:catAx>
        <c:axId val="-1114580176"/>
        <c:scaling>
          <c:orientation val="minMax"/>
        </c:scaling>
        <c:delete val="1"/>
        <c:axPos val="b"/>
        <c:numFmt formatCode="General" sourceLinked="1"/>
        <c:majorTickMark val="none"/>
        <c:minorTickMark val="none"/>
        <c:tickLblPos val="nextTo"/>
        <c:crossAx val="-1114579632"/>
        <c:crosses val="autoZero"/>
        <c:auto val="1"/>
        <c:lblAlgn val="ctr"/>
        <c:lblOffset val="100"/>
        <c:noMultiLvlLbl val="0"/>
      </c:catAx>
      <c:valAx>
        <c:axId val="-1114579632"/>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14580176"/>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A. MEZCLAS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(ListasDatos!$E$69:$E$72,ListasDatos!$E$75)</c:f>
              <c:numCache>
                <c:formatCode>0.0%</c:formatCode>
                <c:ptCount val="5"/>
                <c:pt idx="0">
                  <c:v>0.92307692307692313</c:v>
                </c:pt>
                <c:pt idx="1">
                  <c:v>0.84090909090909094</c:v>
                </c:pt>
                <c:pt idx="2">
                  <c:v>0.97619047619047616</c:v>
                </c:pt>
                <c:pt idx="3">
                  <c:v>0.9375</c:v>
                </c:pt>
                <c:pt idx="4">
                  <c:v>0.94444444444444442</c:v>
                </c:pt>
              </c:numCache>
            </c:numRef>
          </c:val>
          <c:extLst>
            <c:ext xmlns:c16="http://schemas.microsoft.com/office/drawing/2014/chart" uri="{C3380CC4-5D6E-409C-BE32-E72D297353CC}">
              <c16:uniqueId val="{00000000-1AB5-424B-B95D-3F44643070DD}"/>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(ListasDatos!$F$69:$F$72,ListasDatos!$F$75)</c:f>
              <c:numCache>
                <c:formatCode>0.0%</c:formatCode>
                <c:ptCount val="5"/>
                <c:pt idx="0">
                  <c:v>0.92307692307692313</c:v>
                </c:pt>
                <c:pt idx="1">
                  <c:v>0.95454545454545459</c:v>
                </c:pt>
                <c:pt idx="2">
                  <c:v>1</c:v>
                </c:pt>
                <c:pt idx="3">
                  <c:v>0</c:v>
                </c:pt>
                <c:pt idx="4">
                  <c:v>1</c:v>
                </c:pt>
              </c:numCache>
            </c:numRef>
          </c:val>
          <c:extLst>
            <c:ext xmlns:c16="http://schemas.microsoft.com/office/drawing/2014/chart" uri="{C3380CC4-5D6E-409C-BE32-E72D297353CC}">
              <c16:uniqueId val="{00000001-1AB5-424B-B95D-3F44643070DD}"/>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(ListasDatos!$G$69:$G$72,ListasDatos!$G$75)</c:f>
              <c:numCache>
                <c:formatCode>0.0%</c:formatCode>
                <c:ptCount val="5"/>
                <c:pt idx="0">
                  <c:v>0.86538461538461542</c:v>
                </c:pt>
                <c:pt idx="1">
                  <c:v>0.77272727272727271</c:v>
                </c:pt>
                <c:pt idx="2">
                  <c:v>0.95238095238095233</c:v>
                </c:pt>
                <c:pt idx="3">
                  <c:v>1</c:v>
                </c:pt>
                <c:pt idx="4">
                  <c:v>0.88888888888888884</c:v>
                </c:pt>
              </c:numCache>
            </c:numRef>
          </c:val>
          <c:extLst>
            <c:ext xmlns:c16="http://schemas.microsoft.com/office/drawing/2014/chart" uri="{C3380CC4-5D6E-409C-BE32-E72D297353CC}">
              <c16:uniqueId val="{00000002-1AB5-424B-B95D-3F44643070DD}"/>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(ListasDatos!$H$69:$H$72,ListasDatos!$H$75)</c:f>
              <c:numCache>
                <c:formatCode>0.0%</c:formatCode>
                <c:ptCount val="5"/>
                <c:pt idx="0">
                  <c:v>0.86538461538461542</c:v>
                </c:pt>
                <c:pt idx="1">
                  <c:v>1</c:v>
                </c:pt>
                <c:pt idx="2">
                  <c:v>1</c:v>
                </c:pt>
                <c:pt idx="3">
                  <c:v>0</c:v>
                </c:pt>
                <c:pt idx="4">
                  <c:v>1</c:v>
                </c:pt>
              </c:numCache>
            </c:numRef>
          </c:val>
          <c:extLst>
            <c:ext xmlns:c16="http://schemas.microsoft.com/office/drawing/2014/chart" uri="{C3380CC4-5D6E-409C-BE32-E72D297353CC}">
              <c16:uniqueId val="{00000003-1AB5-424B-B95D-3F44643070DD}"/>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(ListasDatos!$I$69:$I$72,ListasDatos!$I$75)</c:f>
              <c:numCache>
                <c:formatCode>0.0%</c:formatCode>
                <c:ptCount val="5"/>
                <c:pt idx="0">
                  <c:v>0.90384615384615385</c:v>
                </c:pt>
                <c:pt idx="1">
                  <c:v>0.77272727272727271</c:v>
                </c:pt>
                <c:pt idx="2">
                  <c:v>0.9285714285714286</c:v>
                </c:pt>
                <c:pt idx="3">
                  <c:v>0.9375</c:v>
                </c:pt>
                <c:pt idx="4">
                  <c:v>0.97222222222222221</c:v>
                </c:pt>
              </c:numCache>
            </c:numRef>
          </c:val>
          <c:extLst>
            <c:ext xmlns:c16="http://schemas.microsoft.com/office/drawing/2014/chart" uri="{C3380CC4-5D6E-409C-BE32-E72D297353CC}">
              <c16:uniqueId val="{00000004-1AB5-424B-B95D-3F44643070DD}"/>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(ListasDatos!$J$69:$J$72,ListasDatos!$J$75)</c:f>
              <c:numCache>
                <c:formatCode>0.0%</c:formatCode>
                <c:ptCount val="5"/>
                <c:pt idx="0">
                  <c:v>0.80769230769230771</c:v>
                </c:pt>
                <c:pt idx="1">
                  <c:v>0.93181818181818177</c:v>
                </c:pt>
                <c:pt idx="2">
                  <c:v>0.97619047619047616</c:v>
                </c:pt>
                <c:pt idx="3">
                  <c:v>0</c:v>
                </c:pt>
                <c:pt idx="4">
                  <c:v>1</c:v>
                </c:pt>
              </c:numCache>
            </c:numRef>
          </c:val>
          <c:extLst>
            <c:ext xmlns:c16="http://schemas.microsoft.com/office/drawing/2014/chart" uri="{C3380CC4-5D6E-409C-BE32-E72D297353CC}">
              <c16:uniqueId val="{00000005-1AB5-424B-B95D-3F44643070DD}"/>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(ListasDatos!$K$69:$K$72,ListasDatos!$K$75)</c:f>
              <c:numCache>
                <c:formatCode>0.0%</c:formatCode>
                <c:ptCount val="5"/>
                <c:pt idx="0">
                  <c:v>0.94230769230769229</c:v>
                </c:pt>
                <c:pt idx="1">
                  <c:v>0.95454545454545459</c:v>
                </c:pt>
                <c:pt idx="2">
                  <c:v>0.95238095238095233</c:v>
                </c:pt>
                <c:pt idx="3">
                  <c:v>1</c:v>
                </c:pt>
                <c:pt idx="4">
                  <c:v>1</c:v>
                </c:pt>
              </c:numCache>
            </c:numRef>
          </c:val>
          <c:extLst>
            <c:ext xmlns:c16="http://schemas.microsoft.com/office/drawing/2014/chart" uri="{C3380CC4-5D6E-409C-BE32-E72D297353CC}">
              <c16:uniqueId val="{00000006-1AB5-424B-B95D-3F44643070DD}"/>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ListasDatos!$L$69:$L$72</c:f>
              <c:numCache>
                <c:formatCode>0.0%</c:formatCode>
                <c:ptCount val="4"/>
                <c:pt idx="0">
                  <c:v>0.94230769230769229</c:v>
                </c:pt>
                <c:pt idx="1">
                  <c:v>0.90909090909090906</c:v>
                </c:pt>
                <c:pt idx="2">
                  <c:v>0.9285714285714286</c:v>
                </c:pt>
                <c:pt idx="3">
                  <c:v>0</c:v>
                </c:pt>
              </c:numCache>
            </c:numRef>
          </c:val>
          <c:extLst>
            <c:ext xmlns:c16="http://schemas.microsoft.com/office/drawing/2014/chart" uri="{C3380CC4-5D6E-409C-BE32-E72D297353CC}">
              <c16:uniqueId val="{00000007-1AB5-424B-B95D-3F44643070DD}"/>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(ListasDatos!$M$69:$M$72,ListasDatos!$M$75)</c:f>
              <c:numCache>
                <c:formatCode>0.0%</c:formatCode>
                <c:ptCount val="5"/>
                <c:pt idx="0">
                  <c:v>0.92307692307692313</c:v>
                </c:pt>
                <c:pt idx="1">
                  <c:v>0.90909090909090906</c:v>
                </c:pt>
                <c:pt idx="2">
                  <c:v>0.97619047619047616</c:v>
                </c:pt>
                <c:pt idx="3">
                  <c:v>1</c:v>
                </c:pt>
                <c:pt idx="4">
                  <c:v>0.88888888888888884</c:v>
                </c:pt>
              </c:numCache>
            </c:numRef>
          </c:val>
          <c:extLst>
            <c:ext xmlns:c16="http://schemas.microsoft.com/office/drawing/2014/chart" uri="{C3380CC4-5D6E-409C-BE32-E72D297353CC}">
              <c16:uniqueId val="{00000008-1AB5-424B-B95D-3F44643070DD}"/>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ListasDatos!$N$69:$N$72</c:f>
              <c:numCache>
                <c:formatCode>0.0%</c:formatCode>
                <c:ptCount val="4"/>
                <c:pt idx="0">
                  <c:v>0.96153846153846156</c:v>
                </c:pt>
                <c:pt idx="1">
                  <c:v>0.95454545454545459</c:v>
                </c:pt>
                <c:pt idx="2">
                  <c:v>0.97619047619047616</c:v>
                </c:pt>
                <c:pt idx="3">
                  <c:v>0</c:v>
                </c:pt>
              </c:numCache>
            </c:numRef>
          </c:val>
          <c:extLst>
            <c:ext xmlns:c16="http://schemas.microsoft.com/office/drawing/2014/chart" uri="{C3380CC4-5D6E-409C-BE32-E72D297353CC}">
              <c16:uniqueId val="{00000009-1AB5-424B-B95D-3F44643070DD}"/>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(ListasDatos!$O$69:$O$72,ListasDatos!$O$75)</c:f>
              <c:numCache>
                <c:formatCode>0.0%</c:formatCode>
                <c:ptCount val="5"/>
                <c:pt idx="0">
                  <c:v>0.92307692307692313</c:v>
                </c:pt>
                <c:pt idx="1">
                  <c:v>0.84090909090909094</c:v>
                </c:pt>
                <c:pt idx="2">
                  <c:v>0.95238095238095233</c:v>
                </c:pt>
                <c:pt idx="3">
                  <c:v>0</c:v>
                </c:pt>
                <c:pt idx="4">
                  <c:v>1</c:v>
                </c:pt>
              </c:numCache>
            </c:numRef>
          </c:val>
          <c:extLst>
            <c:ext xmlns:c16="http://schemas.microsoft.com/office/drawing/2014/chart" uri="{C3380CC4-5D6E-409C-BE32-E72D297353CC}">
              <c16:uniqueId val="{0000000A-1AB5-424B-B95D-3F44643070DD}"/>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(ListasDatos!$P$69:$P$72,ListasDatos!$P$75)</c:f>
              <c:numCache>
                <c:formatCode>0.0%</c:formatCode>
                <c:ptCount val="5"/>
                <c:pt idx="0">
                  <c:v>0.94230769230769229</c:v>
                </c:pt>
                <c:pt idx="1">
                  <c:v>0.93181818181818177</c:v>
                </c:pt>
                <c:pt idx="2">
                  <c:v>1.0238095238095237</c:v>
                </c:pt>
                <c:pt idx="3">
                  <c:v>0</c:v>
                </c:pt>
                <c:pt idx="4">
                  <c:v>0.97222222222222221</c:v>
                </c:pt>
              </c:numCache>
            </c:numRef>
          </c:val>
          <c:extLst>
            <c:ext xmlns:c16="http://schemas.microsoft.com/office/drawing/2014/chart" uri="{C3380CC4-5D6E-409C-BE32-E72D297353CC}">
              <c16:uniqueId val="{0000000B-1AB5-424B-B95D-3F44643070DD}"/>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(ListasDatos!$Q$69:$Q$72,ListasDatos!$Q$75)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C-1AB5-424B-B95D-3F44643070DD}"/>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(ListasDatos!$R$69:$R$72,ListasDatos!$R$75)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D-1AB5-424B-B95D-3F44643070DD}"/>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(ListasDatos!$D$69:$D$72,ListasDatos!$D$75)</c:f>
              <c:strCache>
                <c:ptCount val="5"/>
                <c:pt idx="0">
                  <c:v>A. MEZCLAS (Cámaras, Bodegas, Sla. Mezclas, Sla. Aditivos, Sla.Glucosas)</c:v>
                </c:pt>
                <c:pt idx="1">
                  <c:v>B. ALMACÉN (MMPP, MMAA, Producto Terminado y APQ) </c:v>
                </c:pt>
                <c:pt idx="2">
                  <c:v>C. Taller de Mantenimiento, Sla Compresores, Sla Calderas, Sla CIP y PTA</c:v>
                </c:pt>
                <c:pt idx="3">
                  <c:v>D. Laboratorio</c:v>
                </c:pt>
                <c:pt idx="4">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(ListasDatos!$S$69:$S$72,ListasDatos!$S$75)</c:f>
              <c:numCache>
                <c:formatCode>0.0%</c:formatCode>
                <c:ptCount val="5"/>
                <c:pt idx="0">
                  <c:v>0.91025641025641024</c:v>
                </c:pt>
                <c:pt idx="1">
                  <c:v>0.47916666666666669</c:v>
                </c:pt>
                <c:pt idx="2">
                  <c:v>0.95634920634920639</c:v>
                </c:pt>
                <c:pt idx="3">
                  <c:v>0.8125</c:v>
                </c:pt>
                <c:pt idx="4">
                  <c:v>0.96527777777777768</c:v>
                </c:pt>
              </c:numCache>
            </c:numRef>
          </c:val>
          <c:extLst>
            <c:ext xmlns:c16="http://schemas.microsoft.com/office/drawing/2014/chart" uri="{C3380CC4-5D6E-409C-BE32-E72D297353CC}">
              <c16:uniqueId val="{0000000F-1AB5-424B-B95D-3F44643070DD}"/>
            </c:ext>
          </c:extLst>
        </c:ser>
        <c:dLbls>
          <c:showLegendKey val="0"/>
          <c:showVal val="0"/>
          <c:showCatName val="0"/>
          <c:showSerName val="0"/>
          <c:showPercent val="0"/>
          <c:showBubbleSize val="0"/>
        </c:dLbls>
        <c:gapWidth val="219"/>
        <c:overlap val="-27"/>
        <c:axId val="-1114579088"/>
        <c:axId val="-1114583984"/>
      </c:barChart>
      <c:catAx>
        <c:axId val="-1114579088"/>
        <c:scaling>
          <c:orientation val="minMax"/>
        </c:scaling>
        <c:delete val="1"/>
        <c:axPos val="b"/>
        <c:numFmt formatCode="General" sourceLinked="1"/>
        <c:majorTickMark val="none"/>
        <c:minorTickMark val="none"/>
        <c:tickLblPos val="nextTo"/>
        <c:crossAx val="-1114583984"/>
        <c:crosses val="autoZero"/>
        <c:auto val="1"/>
        <c:lblAlgn val="ctr"/>
        <c:lblOffset val="100"/>
        <c:noMultiLvlLbl val="0"/>
      </c:catAx>
      <c:valAx>
        <c:axId val="-1114583984"/>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14579088"/>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BUENAS PRÁCTICAS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ListasDatos!$E$62:$E$65</c15:sqref>
                  </c15:fullRef>
                </c:ext>
              </c:extLst>
              <c:f>ListasDatos!$E$65</c:f>
              <c:numCache>
                <c:formatCode>0.0%</c:formatCode>
                <c:ptCount val="1"/>
                <c:pt idx="0">
                  <c:v>1</c:v>
                </c:pt>
              </c:numCache>
            </c:numRef>
          </c:val>
          <c:extLst>
            <c:ext xmlns:c16="http://schemas.microsoft.com/office/drawing/2014/chart" uri="{C3380CC4-5D6E-409C-BE32-E72D297353CC}">
              <c16:uniqueId val="{00000000-784B-4DC5-83C0-B9E72097FDE6}"/>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ListasDatos!$F$62:$F$65</c15:sqref>
                  </c15:fullRef>
                </c:ext>
              </c:extLst>
              <c:f>ListasDatos!$F$65</c:f>
              <c:numCache>
                <c:formatCode>0.0%</c:formatCode>
                <c:ptCount val="1"/>
                <c:pt idx="0">
                  <c:v>1</c:v>
                </c:pt>
              </c:numCache>
            </c:numRef>
          </c:val>
          <c:extLst>
            <c:ext xmlns:c16="http://schemas.microsoft.com/office/drawing/2014/chart" uri="{C3380CC4-5D6E-409C-BE32-E72D297353CC}">
              <c16:uniqueId val="{00000001-784B-4DC5-83C0-B9E72097FDE6}"/>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ListasDatos!$G$62:$G$65</c15:sqref>
                  </c15:fullRef>
                </c:ext>
              </c:extLst>
              <c:f>ListasDatos!$G$65</c:f>
              <c:numCache>
                <c:formatCode>0.0%</c:formatCode>
                <c:ptCount val="1"/>
                <c:pt idx="0">
                  <c:v>1</c:v>
                </c:pt>
              </c:numCache>
            </c:numRef>
          </c:val>
          <c:extLst>
            <c:ext xmlns:c16="http://schemas.microsoft.com/office/drawing/2014/chart" uri="{C3380CC4-5D6E-409C-BE32-E72D297353CC}">
              <c16:uniqueId val="{00000002-784B-4DC5-83C0-B9E72097FDE6}"/>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ListasDatos!$H$62:$H$65</c15:sqref>
                  </c15:fullRef>
                </c:ext>
              </c:extLst>
              <c:f>ListasDatos!$H$65</c:f>
              <c:numCache>
                <c:formatCode>0.0%</c:formatCode>
                <c:ptCount val="1"/>
                <c:pt idx="0">
                  <c:v>1</c:v>
                </c:pt>
              </c:numCache>
            </c:numRef>
          </c:val>
          <c:extLst>
            <c:ext xmlns:c16="http://schemas.microsoft.com/office/drawing/2014/chart" uri="{C3380CC4-5D6E-409C-BE32-E72D297353CC}">
              <c16:uniqueId val="{00000003-784B-4DC5-83C0-B9E72097FDE6}"/>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ListasDatos!$I$62:$I$65</c15:sqref>
                  </c15:fullRef>
                </c:ext>
              </c:extLst>
              <c:f>ListasDatos!$I$65</c:f>
              <c:numCache>
                <c:formatCode>0.0%</c:formatCode>
                <c:ptCount val="1"/>
                <c:pt idx="0">
                  <c:v>0.98484848484848486</c:v>
                </c:pt>
              </c:numCache>
            </c:numRef>
          </c:val>
          <c:extLst>
            <c:ext xmlns:c16="http://schemas.microsoft.com/office/drawing/2014/chart" uri="{C3380CC4-5D6E-409C-BE32-E72D297353CC}">
              <c16:uniqueId val="{00000004-784B-4DC5-83C0-B9E72097FDE6}"/>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ListasDatos!$J$62:$J$65</c15:sqref>
                  </c15:fullRef>
                </c:ext>
              </c:extLst>
              <c:f>ListasDatos!$J$65</c:f>
              <c:numCache>
                <c:formatCode>0.0%</c:formatCode>
                <c:ptCount val="1"/>
                <c:pt idx="0">
                  <c:v>1</c:v>
                </c:pt>
              </c:numCache>
            </c:numRef>
          </c:val>
          <c:extLst>
            <c:ext xmlns:c16="http://schemas.microsoft.com/office/drawing/2014/chart" uri="{C3380CC4-5D6E-409C-BE32-E72D297353CC}">
              <c16:uniqueId val="{00000005-784B-4DC5-83C0-B9E72097FDE6}"/>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ListasDatos!$K$62:$K$65</c15:sqref>
                  </c15:fullRef>
                </c:ext>
              </c:extLst>
              <c:f>ListasDatos!$K$65</c:f>
              <c:numCache>
                <c:formatCode>0.0%</c:formatCode>
                <c:ptCount val="1"/>
                <c:pt idx="0">
                  <c:v>1.0303030303030303</c:v>
                </c:pt>
              </c:numCache>
            </c:numRef>
          </c:val>
          <c:extLst>
            <c:ext xmlns:c16="http://schemas.microsoft.com/office/drawing/2014/chart" uri="{C3380CC4-5D6E-409C-BE32-E72D297353CC}">
              <c16:uniqueId val="{00000006-784B-4DC5-83C0-B9E72097FDE6}"/>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ListasDatos!$L$62:$L$65</c15:sqref>
                  </c15:fullRef>
                </c:ext>
              </c:extLst>
              <c:f>ListasDatos!$L$65</c:f>
              <c:numCache>
                <c:formatCode>0.0%</c:formatCode>
                <c:ptCount val="1"/>
                <c:pt idx="0">
                  <c:v>1</c:v>
                </c:pt>
              </c:numCache>
            </c:numRef>
          </c:val>
          <c:extLst>
            <c:ext xmlns:c16="http://schemas.microsoft.com/office/drawing/2014/chart" uri="{C3380CC4-5D6E-409C-BE32-E72D297353CC}">
              <c16:uniqueId val="{00000007-784B-4DC5-83C0-B9E72097FDE6}"/>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ListasDatos!$M$62:$M$65</c15:sqref>
                  </c15:fullRef>
                </c:ext>
              </c:extLst>
              <c:f>ListasDatos!$M$65</c:f>
              <c:numCache>
                <c:formatCode>0.0%</c:formatCode>
                <c:ptCount val="1"/>
                <c:pt idx="0">
                  <c:v>0.96969696969696972</c:v>
                </c:pt>
              </c:numCache>
            </c:numRef>
          </c:val>
          <c:extLst>
            <c:ext xmlns:c16="http://schemas.microsoft.com/office/drawing/2014/chart" uri="{C3380CC4-5D6E-409C-BE32-E72D297353CC}">
              <c16:uniqueId val="{00000008-784B-4DC5-83C0-B9E72097FDE6}"/>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ListasDatos!$N$62:$N$65</c15:sqref>
                  </c15:fullRef>
                </c:ext>
              </c:extLst>
              <c:f>ListasDatos!$N$65</c:f>
              <c:numCache>
                <c:formatCode>0.0%</c:formatCode>
                <c:ptCount val="1"/>
                <c:pt idx="0">
                  <c:v>0.9642857142857143</c:v>
                </c:pt>
              </c:numCache>
            </c:numRef>
          </c:val>
          <c:extLst>
            <c:ext xmlns:c16="http://schemas.microsoft.com/office/drawing/2014/chart" uri="{C3380CC4-5D6E-409C-BE32-E72D297353CC}">
              <c16:uniqueId val="{00000009-784B-4DC5-83C0-B9E72097FDE6}"/>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ListasDatos!$O$62:$O$65</c15:sqref>
                  </c15:fullRef>
                </c:ext>
              </c:extLst>
              <c:f>ListasDatos!$O$65</c:f>
              <c:numCache>
                <c:formatCode>0.0%</c:formatCode>
                <c:ptCount val="1"/>
                <c:pt idx="0">
                  <c:v>0.84848484848484851</c:v>
                </c:pt>
              </c:numCache>
            </c:numRef>
          </c:val>
          <c:extLst>
            <c:ext xmlns:c16="http://schemas.microsoft.com/office/drawing/2014/chart" uri="{C3380CC4-5D6E-409C-BE32-E72D297353CC}">
              <c16:uniqueId val="{0000000A-784B-4DC5-83C0-B9E72097FDE6}"/>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ListasDatos!$P$62:$P$65</c15:sqref>
                  </c15:fullRef>
                </c:ext>
              </c:extLst>
              <c:f>ListasDatos!$P$65</c:f>
              <c:numCache>
                <c:formatCode>0.0%</c:formatCode>
                <c:ptCount val="1"/>
                <c:pt idx="0">
                  <c:v>1</c:v>
                </c:pt>
              </c:numCache>
            </c:numRef>
          </c:val>
          <c:extLst>
            <c:ext xmlns:c16="http://schemas.microsoft.com/office/drawing/2014/chart" uri="{C3380CC4-5D6E-409C-BE32-E72D297353CC}">
              <c16:uniqueId val="{0000000B-784B-4DC5-83C0-B9E72097FDE6}"/>
            </c:ext>
          </c:extLst>
        </c:ser>
        <c:ser>
          <c:idx val="12"/>
          <c:order val="12"/>
          <c:tx>
            <c:strRef>
              <c:f>ListasDatos!$Q$61</c:f>
              <c:strCache>
                <c:ptCount val="1"/>
                <c:pt idx="0">
                  <c:v>CAL1</c:v>
                </c:pt>
              </c:strCache>
            </c:strRef>
          </c:tx>
          <c:spPr>
            <a:solidFill>
              <a:srgbClr val="C00000"/>
            </a:solidFill>
            <a:ln>
              <a:noFill/>
            </a:ln>
            <a:effectLst/>
          </c:spPr>
          <c:invertIfNegative val="0"/>
          <c:dPt>
            <c:idx val="6"/>
            <c:invertIfNegative val="0"/>
            <c:bubble3D val="0"/>
            <c:extLst>
              <c:ext xmlns:c16="http://schemas.microsoft.com/office/drawing/2014/chart" uri="{C3380CC4-5D6E-409C-BE32-E72D297353CC}">
                <c16:uniqueId val="{00000000-49AE-46A1-8AF9-3C9808008F31}"/>
              </c:ext>
            </c:extLst>
          </c:dPt>
          <c:dLbls>
            <c:dLbl>
              <c:idx val="9"/>
              <c:layout>
                <c:manualLayout>
                  <c:x val="7.6408787010506206E-3"/>
                  <c:y val="1.3266998341625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84B-4DC5-83C0-B9E72097FDE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ListasDatos!$Q$62:$Q$65</c15:sqref>
                  </c15:fullRef>
                </c:ext>
              </c:extLst>
              <c:f>ListasDatos!$Q$65</c:f>
              <c:numCache>
                <c:formatCode>0.0%</c:formatCode>
                <c:ptCount val="1"/>
                <c:pt idx="0">
                  <c:v>0</c:v>
                </c:pt>
              </c:numCache>
            </c:numRef>
          </c:val>
          <c:extLst>
            <c:ext xmlns:c16="http://schemas.microsoft.com/office/drawing/2014/chart" uri="{C3380CC4-5D6E-409C-BE32-E72D297353CC}">
              <c16:uniqueId val="{0000000D-784B-4DC5-83C0-B9E72097FDE6}"/>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ListasDatos!$R$62:$R$65</c15:sqref>
                  </c15:fullRef>
                </c:ext>
              </c:extLst>
              <c:f>ListasDatos!$R$65</c:f>
              <c:numCache>
                <c:formatCode>0.0%</c:formatCode>
                <c:ptCount val="1"/>
                <c:pt idx="0">
                  <c:v>0</c:v>
                </c:pt>
              </c:numCache>
            </c:numRef>
          </c:val>
          <c:extLst>
            <c:ext xmlns:c16="http://schemas.microsoft.com/office/drawing/2014/chart" uri="{C3380CC4-5D6E-409C-BE32-E72D297353CC}">
              <c16:uniqueId val="{0000000E-784B-4DC5-83C0-B9E72097FDE6}"/>
            </c:ext>
          </c:extLst>
        </c:ser>
        <c:ser>
          <c:idx val="14"/>
          <c:order val="14"/>
          <c:tx>
            <c:strRef>
              <c:f>ListasDatos!$S$61</c:f>
              <c:strCache>
                <c:ptCount val="1"/>
                <c:pt idx="0">
                  <c:v>PROMEDIO ANUAL</c:v>
                </c:pt>
              </c:strCache>
            </c:strRef>
          </c:tx>
          <c:spPr>
            <a:solidFill>
              <a:srgbClr val="00B050"/>
            </a:solidFill>
            <a:ln>
              <a:noFill/>
            </a:ln>
            <a:effectLst/>
          </c:spPr>
          <c:invertIfNegative val="0"/>
          <c:dLbls>
            <c:dLbl>
              <c:idx val="9"/>
              <c:layout>
                <c:manualLayout>
                  <c:x val="0"/>
                  <c:y val="1.9900497512437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84B-4DC5-83C0-B9E72097FDE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ListasDatos!$D$62:$D$65</c15:sqref>
                  </c15:fullRef>
                </c:ext>
              </c:extLst>
              <c:f>ListasDatos!$D$65</c:f>
              <c:strCache>
                <c:ptCount val="1"/>
                <c:pt idx="0">
                  <c:v>Buenas Prácticas</c:v>
                </c:pt>
              </c:strCache>
            </c:strRef>
          </c:cat>
          <c:val>
            <c:numRef>
              <c:extLst>
                <c:ext xmlns:c15="http://schemas.microsoft.com/office/drawing/2012/chart" uri="{02D57815-91ED-43cb-92C2-25804820EDAC}">
                  <c15:fullRef>
                    <c15:sqref>ListasDatos!$S$62:$S$65</c15:sqref>
                  </c15:fullRef>
                </c:ext>
              </c:extLst>
              <c:f>ListasDatos!$S$65</c:f>
              <c:numCache>
                <c:formatCode>0.0%</c:formatCode>
                <c:ptCount val="1"/>
                <c:pt idx="0">
                  <c:v>0.98313492063492047</c:v>
                </c:pt>
              </c:numCache>
            </c:numRef>
          </c:val>
          <c:extLst>
            <c:ext xmlns:c16="http://schemas.microsoft.com/office/drawing/2014/chart" uri="{C3380CC4-5D6E-409C-BE32-E72D297353CC}">
              <c16:uniqueId val="{00000011-784B-4DC5-83C0-B9E72097FDE6}"/>
            </c:ext>
          </c:extLst>
        </c:ser>
        <c:dLbls>
          <c:showLegendKey val="0"/>
          <c:showVal val="0"/>
          <c:showCatName val="0"/>
          <c:showSerName val="0"/>
          <c:showPercent val="0"/>
          <c:showBubbleSize val="0"/>
        </c:dLbls>
        <c:gapWidth val="219"/>
        <c:overlap val="-27"/>
        <c:axId val="-1114586160"/>
        <c:axId val="-1114585616"/>
      </c:barChart>
      <c:catAx>
        <c:axId val="-1114586160"/>
        <c:scaling>
          <c:orientation val="minMax"/>
        </c:scaling>
        <c:delete val="1"/>
        <c:axPos val="b"/>
        <c:numFmt formatCode="General" sourceLinked="1"/>
        <c:majorTickMark val="none"/>
        <c:minorTickMark val="none"/>
        <c:tickLblPos val="nextTo"/>
        <c:crossAx val="-1114585616"/>
        <c:crosses val="autoZero"/>
        <c:auto val="1"/>
        <c:lblAlgn val="ctr"/>
        <c:lblOffset val="100"/>
        <c:noMultiLvlLbl val="0"/>
      </c:catAx>
      <c:valAx>
        <c:axId val="-1114585616"/>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14586160"/>
        <c:crosses val="autoZero"/>
        <c:crossBetween val="between"/>
        <c:minorUnit val="5.000000000000001E-2"/>
      </c:valAx>
      <c:spPr>
        <a:noFill/>
        <a:ln>
          <a:noFill/>
        </a:ln>
        <a:effectLst/>
      </c:spPr>
    </c:plotArea>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LIMPIEZA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ListasDatos!$E$62:$E$65</c15:sqref>
                  </c15:fullRef>
                </c:ext>
              </c:extLst>
              <c:f>ListasDatos!$E$64</c:f>
              <c:numCache>
                <c:formatCode>0.0%</c:formatCode>
                <c:ptCount val="1"/>
                <c:pt idx="0">
                  <c:v>0.93333333333333335</c:v>
                </c:pt>
              </c:numCache>
            </c:numRef>
          </c:val>
          <c:extLst>
            <c:ext xmlns:c16="http://schemas.microsoft.com/office/drawing/2014/chart" uri="{C3380CC4-5D6E-409C-BE32-E72D297353CC}">
              <c16:uniqueId val="{00000000-EA22-4ED1-A60D-FA5CD382288F}"/>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ListasDatos!$F$62:$F$65</c15:sqref>
                  </c15:fullRef>
                </c:ext>
              </c:extLst>
              <c:f>ListasDatos!$F$64</c:f>
              <c:numCache>
                <c:formatCode>0.0%</c:formatCode>
                <c:ptCount val="1"/>
                <c:pt idx="0">
                  <c:v>0.95</c:v>
                </c:pt>
              </c:numCache>
            </c:numRef>
          </c:val>
          <c:extLst>
            <c:ext xmlns:c16="http://schemas.microsoft.com/office/drawing/2014/chart" uri="{C3380CC4-5D6E-409C-BE32-E72D297353CC}">
              <c16:uniqueId val="{00000001-EA22-4ED1-A60D-FA5CD382288F}"/>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ListasDatos!$G$62:$G$65</c15:sqref>
                  </c15:fullRef>
                </c:ext>
              </c:extLst>
              <c:f>ListasDatos!$G$64</c:f>
              <c:numCache>
                <c:formatCode>0.0%</c:formatCode>
                <c:ptCount val="1"/>
                <c:pt idx="0">
                  <c:v>0.85555555555555551</c:v>
                </c:pt>
              </c:numCache>
            </c:numRef>
          </c:val>
          <c:extLst>
            <c:ext xmlns:c16="http://schemas.microsoft.com/office/drawing/2014/chart" uri="{C3380CC4-5D6E-409C-BE32-E72D297353CC}">
              <c16:uniqueId val="{00000002-EA22-4ED1-A60D-FA5CD382288F}"/>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ListasDatos!$H$62:$H$65</c15:sqref>
                  </c15:fullRef>
                </c:ext>
              </c:extLst>
              <c:f>ListasDatos!$H$64</c:f>
              <c:numCache>
                <c:formatCode>0.0%</c:formatCode>
                <c:ptCount val="1"/>
                <c:pt idx="0">
                  <c:v>1</c:v>
                </c:pt>
              </c:numCache>
            </c:numRef>
          </c:val>
          <c:extLst>
            <c:ext xmlns:c16="http://schemas.microsoft.com/office/drawing/2014/chart" uri="{C3380CC4-5D6E-409C-BE32-E72D297353CC}">
              <c16:uniqueId val="{00000003-EA22-4ED1-A60D-FA5CD382288F}"/>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ListasDatos!$I$62:$I$65</c15:sqref>
                  </c15:fullRef>
                </c:ext>
              </c:extLst>
              <c:f>ListasDatos!$I$64</c:f>
              <c:numCache>
                <c:formatCode>0.0%</c:formatCode>
                <c:ptCount val="1"/>
                <c:pt idx="0">
                  <c:v>0.91111111111111109</c:v>
                </c:pt>
              </c:numCache>
            </c:numRef>
          </c:val>
          <c:extLst>
            <c:ext xmlns:c16="http://schemas.microsoft.com/office/drawing/2014/chart" uri="{C3380CC4-5D6E-409C-BE32-E72D297353CC}">
              <c16:uniqueId val="{00000004-EA22-4ED1-A60D-FA5CD382288F}"/>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ListasDatos!$J$62:$J$65</c15:sqref>
                  </c15:fullRef>
                </c:ext>
              </c:extLst>
              <c:f>ListasDatos!$J$64</c:f>
              <c:numCache>
                <c:formatCode>0.0%</c:formatCode>
                <c:ptCount val="1"/>
                <c:pt idx="0">
                  <c:v>0.9375</c:v>
                </c:pt>
              </c:numCache>
            </c:numRef>
          </c:val>
          <c:extLst>
            <c:ext xmlns:c16="http://schemas.microsoft.com/office/drawing/2014/chart" uri="{C3380CC4-5D6E-409C-BE32-E72D297353CC}">
              <c16:uniqueId val="{00000005-EA22-4ED1-A60D-FA5CD382288F}"/>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ListasDatos!$K$62:$K$65</c15:sqref>
                  </c15:fullRef>
                </c:ext>
              </c:extLst>
              <c:f>ListasDatos!$K$64</c:f>
              <c:numCache>
                <c:formatCode>0.0%</c:formatCode>
                <c:ptCount val="1"/>
                <c:pt idx="0">
                  <c:v>0.87777777777777777</c:v>
                </c:pt>
              </c:numCache>
            </c:numRef>
          </c:val>
          <c:extLst>
            <c:ext xmlns:c16="http://schemas.microsoft.com/office/drawing/2014/chart" uri="{C3380CC4-5D6E-409C-BE32-E72D297353CC}">
              <c16:uniqueId val="{00000006-EA22-4ED1-A60D-FA5CD382288F}"/>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ListasDatos!$L$62:$L$65</c15:sqref>
                  </c15:fullRef>
                </c:ext>
              </c:extLst>
              <c:f>ListasDatos!$L$64</c:f>
              <c:numCache>
                <c:formatCode>0.0%</c:formatCode>
                <c:ptCount val="1"/>
                <c:pt idx="0">
                  <c:v>0.98750000000000004</c:v>
                </c:pt>
              </c:numCache>
            </c:numRef>
          </c:val>
          <c:extLst>
            <c:ext xmlns:c16="http://schemas.microsoft.com/office/drawing/2014/chart" uri="{C3380CC4-5D6E-409C-BE32-E72D297353CC}">
              <c16:uniqueId val="{00000007-EA22-4ED1-A60D-FA5CD382288F}"/>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ListasDatos!$M$62:$M$65</c15:sqref>
                  </c15:fullRef>
                </c:ext>
              </c:extLst>
              <c:f>ListasDatos!$M$64</c:f>
              <c:numCache>
                <c:formatCode>0.0%</c:formatCode>
                <c:ptCount val="1"/>
                <c:pt idx="0">
                  <c:v>0.94444444444444442</c:v>
                </c:pt>
              </c:numCache>
            </c:numRef>
          </c:val>
          <c:extLst>
            <c:ext xmlns:c16="http://schemas.microsoft.com/office/drawing/2014/chart" uri="{C3380CC4-5D6E-409C-BE32-E72D297353CC}">
              <c16:uniqueId val="{00000008-EA22-4ED1-A60D-FA5CD382288F}"/>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ListasDatos!$N$62:$N$65</c15:sqref>
                  </c15:fullRef>
                </c:ext>
              </c:extLst>
              <c:f>ListasDatos!$N$64</c:f>
              <c:numCache>
                <c:formatCode>0.0%</c:formatCode>
                <c:ptCount val="1"/>
                <c:pt idx="0">
                  <c:v>0.91249999999999998</c:v>
                </c:pt>
              </c:numCache>
            </c:numRef>
          </c:val>
          <c:extLst>
            <c:ext xmlns:c16="http://schemas.microsoft.com/office/drawing/2014/chart" uri="{C3380CC4-5D6E-409C-BE32-E72D297353CC}">
              <c16:uniqueId val="{00000009-EA22-4ED1-A60D-FA5CD382288F}"/>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ListasDatos!$O$62:$O$65</c15:sqref>
                  </c15:fullRef>
                </c:ext>
              </c:extLst>
              <c:f>ListasDatos!$O$64</c:f>
              <c:numCache>
                <c:formatCode>0.0%</c:formatCode>
                <c:ptCount val="1"/>
                <c:pt idx="0">
                  <c:v>0.78888888888888886</c:v>
                </c:pt>
              </c:numCache>
            </c:numRef>
          </c:val>
          <c:extLst>
            <c:ext xmlns:c16="http://schemas.microsoft.com/office/drawing/2014/chart" uri="{C3380CC4-5D6E-409C-BE32-E72D297353CC}">
              <c16:uniqueId val="{0000000A-EA22-4ED1-A60D-FA5CD382288F}"/>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ListasDatos!$P$62:$P$65</c15:sqref>
                  </c15:fullRef>
                </c:ext>
              </c:extLst>
              <c:f>ListasDatos!$P$64</c:f>
              <c:numCache>
                <c:formatCode>0.0%</c:formatCode>
                <c:ptCount val="1"/>
                <c:pt idx="0">
                  <c:v>0.95</c:v>
                </c:pt>
              </c:numCache>
            </c:numRef>
          </c:val>
          <c:extLst>
            <c:ext xmlns:c16="http://schemas.microsoft.com/office/drawing/2014/chart" uri="{C3380CC4-5D6E-409C-BE32-E72D297353CC}">
              <c16:uniqueId val="{0000000B-EA22-4ED1-A60D-FA5CD382288F}"/>
            </c:ext>
          </c:extLst>
        </c:ser>
        <c:ser>
          <c:idx val="12"/>
          <c:order val="12"/>
          <c:tx>
            <c:strRef>
              <c:f>ListasDatos!$Q$61</c:f>
              <c:strCache>
                <c:ptCount val="1"/>
                <c:pt idx="0">
                  <c:v>CAL1</c:v>
                </c:pt>
              </c:strCache>
            </c:strRef>
          </c:tx>
          <c:spPr>
            <a:solidFill>
              <a:srgbClr val="C00000"/>
            </a:solidFill>
            <a:ln>
              <a:noFill/>
            </a:ln>
            <a:effectLst/>
          </c:spPr>
          <c:invertIfNegative val="0"/>
          <c:dPt>
            <c:idx val="5"/>
            <c:invertIfNegative val="0"/>
            <c:bubble3D val="0"/>
            <c:extLst>
              <c:ext xmlns:c16="http://schemas.microsoft.com/office/drawing/2014/chart" uri="{C3380CC4-5D6E-409C-BE32-E72D297353CC}">
                <c16:uniqueId val="{00000000-8BA0-455A-9F24-7D2BA69A99B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ListasDatos!$Q$62:$Q$65</c15:sqref>
                  </c15:fullRef>
                </c:ext>
              </c:extLst>
              <c:f>ListasDatos!$Q$64</c:f>
              <c:numCache>
                <c:formatCode>0.0%</c:formatCode>
                <c:ptCount val="1"/>
                <c:pt idx="0">
                  <c:v>0</c:v>
                </c:pt>
              </c:numCache>
            </c:numRef>
          </c:val>
          <c:extLst>
            <c:ext xmlns:c16="http://schemas.microsoft.com/office/drawing/2014/chart" uri="{C3380CC4-5D6E-409C-BE32-E72D297353CC}">
              <c16:uniqueId val="{0000000C-EA22-4ED1-A60D-FA5CD382288F}"/>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ListasDatos!$R$62:$R$65</c15:sqref>
                  </c15:fullRef>
                </c:ext>
              </c:extLst>
              <c:f>ListasDatos!$R$64</c:f>
              <c:numCache>
                <c:formatCode>0.0%</c:formatCode>
                <c:ptCount val="1"/>
                <c:pt idx="0">
                  <c:v>0</c:v>
                </c:pt>
              </c:numCache>
            </c:numRef>
          </c:val>
          <c:extLst>
            <c:ext xmlns:c16="http://schemas.microsoft.com/office/drawing/2014/chart" uri="{C3380CC4-5D6E-409C-BE32-E72D297353CC}">
              <c16:uniqueId val="{0000000D-EA22-4ED1-A60D-FA5CD382288F}"/>
            </c:ext>
          </c:extLst>
        </c:ser>
        <c:ser>
          <c:idx val="14"/>
          <c:order val="14"/>
          <c:tx>
            <c:strRef>
              <c:f>ListasDatos!$S$61</c:f>
              <c:strCache>
                <c:ptCount val="1"/>
                <c:pt idx="0">
                  <c:v>PROMEDIO ANUAL</c:v>
                </c:pt>
              </c:strCache>
            </c:strRef>
          </c:tx>
          <c:spPr>
            <a:solidFill>
              <a:srgbClr val="00B050"/>
            </a:solidFill>
            <a:ln>
              <a:noFill/>
            </a:ln>
            <a:effectLst/>
          </c:spPr>
          <c:invertIfNegative val="0"/>
          <c:dLbls>
            <c:dLbl>
              <c:idx val="5"/>
              <c:layout>
                <c:manualLayout>
                  <c:x val="3.8204393505253103E-3"/>
                  <c:y val="1.9900497512437752E-2"/>
                </c:manualLayout>
              </c:layout>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3-F0C9-4D74-9705-D3CB7FED712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ListasDatos!$D$62:$D$65</c15:sqref>
                  </c15:fullRef>
                </c:ext>
              </c:extLst>
              <c:f>ListasDatos!$D$64</c:f>
              <c:strCache>
                <c:ptCount val="1"/>
                <c:pt idx="0">
                  <c:v>Limpieza</c:v>
                </c:pt>
              </c:strCache>
            </c:strRef>
          </c:cat>
          <c:val>
            <c:numRef>
              <c:extLst>
                <c:ext xmlns:c15="http://schemas.microsoft.com/office/drawing/2012/chart" uri="{02D57815-91ED-43cb-92C2-25804820EDAC}">
                  <c15:fullRef>
                    <c15:sqref>ListasDatos!$S$62:$S$65</c15:sqref>
                  </c15:fullRef>
                </c:ext>
              </c:extLst>
              <c:f>ListasDatos!$S$64</c:f>
              <c:numCache>
                <c:formatCode>0.0%</c:formatCode>
                <c:ptCount val="1"/>
                <c:pt idx="0">
                  <c:v>0.83877314814814818</c:v>
                </c:pt>
              </c:numCache>
            </c:numRef>
          </c:val>
          <c:extLst>
            <c:ext xmlns:c16="http://schemas.microsoft.com/office/drawing/2014/chart" uri="{C3380CC4-5D6E-409C-BE32-E72D297353CC}">
              <c16:uniqueId val="{0000000F-EA22-4ED1-A60D-FA5CD382288F}"/>
            </c:ext>
          </c:extLst>
        </c:ser>
        <c:dLbls>
          <c:showLegendKey val="0"/>
          <c:showVal val="0"/>
          <c:showCatName val="0"/>
          <c:showSerName val="0"/>
          <c:showPercent val="0"/>
          <c:showBubbleSize val="0"/>
        </c:dLbls>
        <c:gapWidth val="219"/>
        <c:overlap val="-27"/>
        <c:axId val="-1114584528"/>
        <c:axId val="-1114582896"/>
      </c:barChart>
      <c:catAx>
        <c:axId val="-1114584528"/>
        <c:scaling>
          <c:orientation val="minMax"/>
        </c:scaling>
        <c:delete val="1"/>
        <c:axPos val="b"/>
        <c:numFmt formatCode="General" sourceLinked="1"/>
        <c:majorTickMark val="none"/>
        <c:minorTickMark val="none"/>
        <c:tickLblPos val="nextTo"/>
        <c:crossAx val="-1114582896"/>
        <c:crosses val="autoZero"/>
        <c:auto val="1"/>
        <c:lblAlgn val="ctr"/>
        <c:lblOffset val="100"/>
        <c:noMultiLvlLbl val="0"/>
      </c:catAx>
      <c:valAx>
        <c:axId val="-1114582896"/>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14584528"/>
        <c:crosses val="autoZero"/>
        <c:crossBetween val="between"/>
        <c:minorUnit val="5.000000000000001E-2"/>
      </c:valAx>
      <c:spPr>
        <a:noFill/>
        <a:ln>
          <a:noFill/>
        </a:ln>
        <a:effectLst/>
      </c:spPr>
    </c:plotArea>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ORDEN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ListasDatos!$E$62:$E$65</c15:sqref>
                  </c15:fullRef>
                </c:ext>
              </c:extLst>
              <c:f>ListasDatos!$E$63</c:f>
              <c:numCache>
                <c:formatCode>0.0%</c:formatCode>
                <c:ptCount val="1"/>
                <c:pt idx="0">
                  <c:v>0.8571428571428571</c:v>
                </c:pt>
              </c:numCache>
            </c:numRef>
          </c:val>
          <c:extLst>
            <c:ext xmlns:c16="http://schemas.microsoft.com/office/drawing/2014/chart" uri="{C3380CC4-5D6E-409C-BE32-E72D297353CC}">
              <c16:uniqueId val="{00000000-7B3A-4DE7-96B4-A8BFF379126D}"/>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ListasDatos!$F$62:$F$65</c15:sqref>
                  </c15:fullRef>
                </c:ext>
              </c:extLst>
              <c:f>ListasDatos!$F$63</c:f>
              <c:numCache>
                <c:formatCode>0.0%</c:formatCode>
                <c:ptCount val="1"/>
                <c:pt idx="0">
                  <c:v>1</c:v>
                </c:pt>
              </c:numCache>
            </c:numRef>
          </c:val>
          <c:extLst>
            <c:ext xmlns:c16="http://schemas.microsoft.com/office/drawing/2014/chart" uri="{C3380CC4-5D6E-409C-BE32-E72D297353CC}">
              <c16:uniqueId val="{00000001-7B3A-4DE7-96B4-A8BFF379126D}"/>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ListasDatos!$G$62:$G$65</c15:sqref>
                  </c15:fullRef>
                </c:ext>
              </c:extLst>
              <c:f>ListasDatos!$G$63</c:f>
              <c:numCache>
                <c:formatCode>0.0%</c:formatCode>
                <c:ptCount val="1"/>
                <c:pt idx="0">
                  <c:v>0.9</c:v>
                </c:pt>
              </c:numCache>
            </c:numRef>
          </c:val>
          <c:extLst>
            <c:ext xmlns:c16="http://schemas.microsoft.com/office/drawing/2014/chart" uri="{C3380CC4-5D6E-409C-BE32-E72D297353CC}">
              <c16:uniqueId val="{00000002-7B3A-4DE7-96B4-A8BFF379126D}"/>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ListasDatos!$H$62:$H$65</c15:sqref>
                  </c15:fullRef>
                </c:ext>
              </c:extLst>
              <c:f>ListasDatos!$H$63</c:f>
              <c:numCache>
                <c:formatCode>0.0%</c:formatCode>
                <c:ptCount val="1"/>
                <c:pt idx="0">
                  <c:v>0.953125</c:v>
                </c:pt>
              </c:numCache>
            </c:numRef>
          </c:val>
          <c:extLst>
            <c:ext xmlns:c16="http://schemas.microsoft.com/office/drawing/2014/chart" uri="{C3380CC4-5D6E-409C-BE32-E72D297353CC}">
              <c16:uniqueId val="{00000003-7B3A-4DE7-96B4-A8BFF379126D}"/>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ListasDatos!$I$62:$I$65</c15:sqref>
                  </c15:fullRef>
                </c:ext>
              </c:extLst>
              <c:f>ListasDatos!$I$63</c:f>
              <c:numCache>
                <c:formatCode>0.0%</c:formatCode>
                <c:ptCount val="1"/>
                <c:pt idx="0">
                  <c:v>0.88571428571428568</c:v>
                </c:pt>
              </c:numCache>
            </c:numRef>
          </c:val>
          <c:extLst>
            <c:ext xmlns:c16="http://schemas.microsoft.com/office/drawing/2014/chart" uri="{C3380CC4-5D6E-409C-BE32-E72D297353CC}">
              <c16:uniqueId val="{00000004-7B3A-4DE7-96B4-A8BFF379126D}"/>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ListasDatos!$J$62:$J$65</c15:sqref>
                  </c15:fullRef>
                </c:ext>
              </c:extLst>
              <c:f>ListasDatos!$J$63</c:f>
              <c:numCache>
                <c:formatCode>0.0%</c:formatCode>
                <c:ptCount val="1"/>
                <c:pt idx="0">
                  <c:v>0.90625</c:v>
                </c:pt>
              </c:numCache>
            </c:numRef>
          </c:val>
          <c:extLst>
            <c:ext xmlns:c16="http://schemas.microsoft.com/office/drawing/2014/chart" uri="{C3380CC4-5D6E-409C-BE32-E72D297353CC}">
              <c16:uniqueId val="{00000005-7B3A-4DE7-96B4-A8BFF379126D}"/>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ListasDatos!$K$62:$K$65</c15:sqref>
                  </c15:fullRef>
                </c:ext>
              </c:extLst>
              <c:f>ListasDatos!$K$63</c:f>
              <c:numCache>
                <c:formatCode>0.0%</c:formatCode>
                <c:ptCount val="1"/>
                <c:pt idx="0">
                  <c:v>0.9285714285714286</c:v>
                </c:pt>
              </c:numCache>
            </c:numRef>
          </c:val>
          <c:extLst>
            <c:ext xmlns:c16="http://schemas.microsoft.com/office/drawing/2014/chart" uri="{C3380CC4-5D6E-409C-BE32-E72D297353CC}">
              <c16:uniqueId val="{00000006-7B3A-4DE7-96B4-A8BFF379126D}"/>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ListasDatos!$L$62:$L$65</c15:sqref>
                  </c15:fullRef>
                </c:ext>
              </c:extLst>
              <c:f>ListasDatos!$L$63</c:f>
              <c:numCache>
                <c:formatCode>0.0%</c:formatCode>
                <c:ptCount val="1"/>
                <c:pt idx="0">
                  <c:v>0.953125</c:v>
                </c:pt>
              </c:numCache>
            </c:numRef>
          </c:val>
          <c:extLst>
            <c:ext xmlns:c16="http://schemas.microsoft.com/office/drawing/2014/chart" uri="{C3380CC4-5D6E-409C-BE32-E72D297353CC}">
              <c16:uniqueId val="{00000007-7B3A-4DE7-96B4-A8BFF379126D}"/>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ListasDatos!$M$62:$M$65</c15:sqref>
                  </c15:fullRef>
                </c:ext>
              </c:extLst>
              <c:f>ListasDatos!$M$63</c:f>
              <c:numCache>
                <c:formatCode>0.0%</c:formatCode>
                <c:ptCount val="1"/>
                <c:pt idx="0">
                  <c:v>0.94285714285714284</c:v>
                </c:pt>
              </c:numCache>
            </c:numRef>
          </c:val>
          <c:extLst>
            <c:ext xmlns:c16="http://schemas.microsoft.com/office/drawing/2014/chart" uri="{C3380CC4-5D6E-409C-BE32-E72D297353CC}">
              <c16:uniqueId val="{00000008-7B3A-4DE7-96B4-A8BFF379126D}"/>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ListasDatos!$N$62:$N$65</c15:sqref>
                  </c15:fullRef>
                </c:ext>
              </c:extLst>
              <c:f>ListasDatos!$N$63</c:f>
              <c:numCache>
                <c:formatCode>0.0%</c:formatCode>
                <c:ptCount val="1"/>
                <c:pt idx="0">
                  <c:v>0.921875</c:v>
                </c:pt>
              </c:numCache>
            </c:numRef>
          </c:val>
          <c:extLst>
            <c:ext xmlns:c16="http://schemas.microsoft.com/office/drawing/2014/chart" uri="{C3380CC4-5D6E-409C-BE32-E72D297353CC}">
              <c16:uniqueId val="{00000009-7B3A-4DE7-96B4-A8BFF379126D}"/>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ListasDatos!$O$62:$O$65</c15:sqref>
                  </c15:fullRef>
                </c:ext>
              </c:extLst>
              <c:f>ListasDatos!$O$63</c:f>
              <c:numCache>
                <c:formatCode>0.0%</c:formatCode>
                <c:ptCount val="1"/>
                <c:pt idx="0">
                  <c:v>0.7142857142857143</c:v>
                </c:pt>
              </c:numCache>
            </c:numRef>
          </c:val>
          <c:extLst>
            <c:ext xmlns:c16="http://schemas.microsoft.com/office/drawing/2014/chart" uri="{C3380CC4-5D6E-409C-BE32-E72D297353CC}">
              <c16:uniqueId val="{0000000A-7B3A-4DE7-96B4-A8BFF379126D}"/>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ListasDatos!$P$62:$P$65</c15:sqref>
                  </c15:fullRef>
                </c:ext>
              </c:extLst>
              <c:f>ListasDatos!$P$63</c:f>
              <c:numCache>
                <c:formatCode>0.0%</c:formatCode>
                <c:ptCount val="1"/>
                <c:pt idx="0">
                  <c:v>0.984375</c:v>
                </c:pt>
              </c:numCache>
            </c:numRef>
          </c:val>
          <c:extLst>
            <c:ext xmlns:c16="http://schemas.microsoft.com/office/drawing/2014/chart" uri="{C3380CC4-5D6E-409C-BE32-E72D297353CC}">
              <c16:uniqueId val="{0000000B-7B3A-4DE7-96B4-A8BFF379126D}"/>
            </c:ext>
          </c:extLst>
        </c:ser>
        <c:ser>
          <c:idx val="12"/>
          <c:order val="12"/>
          <c:tx>
            <c:strRef>
              <c:f>ListasDatos!$Q$61</c:f>
              <c:strCache>
                <c:ptCount val="1"/>
                <c:pt idx="0">
                  <c:v>CAL1</c:v>
                </c:pt>
              </c:strCache>
            </c:strRef>
          </c:tx>
          <c:spPr>
            <a:solidFill>
              <a:srgbClr val="C00000"/>
            </a:solidFill>
            <a:ln>
              <a:noFill/>
            </a:ln>
            <a:effectLst/>
          </c:spPr>
          <c:invertIfNegative val="0"/>
          <c:dPt>
            <c:idx val="4"/>
            <c:invertIfNegative val="0"/>
            <c:bubble3D val="0"/>
            <c:extLst>
              <c:ext xmlns:c16="http://schemas.microsoft.com/office/drawing/2014/chart" uri="{C3380CC4-5D6E-409C-BE32-E72D297353CC}">
                <c16:uniqueId val="{00000000-D1E0-48EA-A398-46338F46206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ListasDatos!$Q$62:$Q$65</c15:sqref>
                  </c15:fullRef>
                </c:ext>
              </c:extLst>
              <c:f>ListasDatos!$Q$63</c:f>
              <c:numCache>
                <c:formatCode>0.0%</c:formatCode>
                <c:ptCount val="1"/>
                <c:pt idx="0">
                  <c:v>0</c:v>
                </c:pt>
              </c:numCache>
            </c:numRef>
          </c:val>
          <c:extLst>
            <c:ext xmlns:c16="http://schemas.microsoft.com/office/drawing/2014/chart" uri="{C3380CC4-5D6E-409C-BE32-E72D297353CC}">
              <c16:uniqueId val="{0000000C-7B3A-4DE7-96B4-A8BFF379126D}"/>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ListasDatos!$R$62:$R$65</c15:sqref>
                  </c15:fullRef>
                </c:ext>
              </c:extLst>
              <c:f>ListasDatos!$R$63</c:f>
              <c:numCache>
                <c:formatCode>0.0%</c:formatCode>
                <c:ptCount val="1"/>
                <c:pt idx="0">
                  <c:v>0</c:v>
                </c:pt>
              </c:numCache>
            </c:numRef>
          </c:val>
          <c:extLst>
            <c:ext xmlns:c16="http://schemas.microsoft.com/office/drawing/2014/chart" uri="{C3380CC4-5D6E-409C-BE32-E72D297353CC}">
              <c16:uniqueId val="{0000000D-7B3A-4DE7-96B4-A8BFF379126D}"/>
            </c:ext>
          </c:extLst>
        </c:ser>
        <c:ser>
          <c:idx val="14"/>
          <c:order val="14"/>
          <c:tx>
            <c:strRef>
              <c:f>ListasDatos!$S$61</c:f>
              <c:strCache>
                <c:ptCount val="1"/>
                <c:pt idx="0">
                  <c:v>PROMEDIO ANUAL</c:v>
                </c:pt>
              </c:strCache>
            </c:strRef>
          </c:tx>
          <c:spPr>
            <a:solidFill>
              <a:srgbClr val="00B050"/>
            </a:solidFill>
            <a:ln>
              <a:noFill/>
            </a:ln>
            <a:effectLst/>
          </c:spPr>
          <c:invertIfNegative val="0"/>
          <c:dLbls>
            <c:dLbl>
              <c:idx val="4"/>
              <c:layout>
                <c:manualLayout>
                  <c:x val="3.8204393505253103E-3"/>
                  <c:y val="1.99004975124377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3-046D-43F6-89A9-F81AE170AC9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ListasDatos!$D$62:$D$65</c15:sqref>
                  </c15:fullRef>
                </c:ext>
              </c:extLst>
              <c:f>ListasDatos!$D$63</c:f>
              <c:strCache>
                <c:ptCount val="1"/>
                <c:pt idx="0">
                  <c:v>Orden</c:v>
                </c:pt>
              </c:strCache>
            </c:strRef>
          </c:cat>
          <c:val>
            <c:numRef>
              <c:extLst>
                <c:ext xmlns:c15="http://schemas.microsoft.com/office/drawing/2012/chart" uri="{02D57815-91ED-43cb-92C2-25804820EDAC}">
                  <c15:fullRef>
                    <c15:sqref>ListasDatos!$S$62:$S$65</c15:sqref>
                  </c15:fullRef>
                </c:ext>
              </c:extLst>
              <c:f>ListasDatos!$S$63</c:f>
              <c:numCache>
                <c:formatCode>0.0%</c:formatCode>
                <c:ptCount val="1"/>
                <c:pt idx="0">
                  <c:v>0.91227678571428561</c:v>
                </c:pt>
              </c:numCache>
            </c:numRef>
          </c:val>
          <c:extLst>
            <c:ext xmlns:c16="http://schemas.microsoft.com/office/drawing/2014/chart" uri="{C3380CC4-5D6E-409C-BE32-E72D297353CC}">
              <c16:uniqueId val="{0000000F-7B3A-4DE7-96B4-A8BFF379126D}"/>
            </c:ext>
          </c:extLst>
        </c:ser>
        <c:dLbls>
          <c:showLegendKey val="0"/>
          <c:showVal val="0"/>
          <c:showCatName val="0"/>
          <c:showSerName val="0"/>
          <c:showPercent val="0"/>
          <c:showBubbleSize val="0"/>
        </c:dLbls>
        <c:gapWidth val="219"/>
        <c:overlap val="-27"/>
        <c:axId val="-1114583440"/>
        <c:axId val="-1114582352"/>
      </c:barChart>
      <c:catAx>
        <c:axId val="-1114583440"/>
        <c:scaling>
          <c:orientation val="minMax"/>
        </c:scaling>
        <c:delete val="1"/>
        <c:axPos val="b"/>
        <c:numFmt formatCode="General" sourceLinked="1"/>
        <c:majorTickMark val="none"/>
        <c:minorTickMark val="none"/>
        <c:tickLblPos val="nextTo"/>
        <c:crossAx val="-1114582352"/>
        <c:crosses val="autoZero"/>
        <c:auto val="1"/>
        <c:lblAlgn val="ctr"/>
        <c:lblOffset val="100"/>
        <c:noMultiLvlLbl val="0"/>
      </c:catAx>
      <c:valAx>
        <c:axId val="-1114582352"/>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14583440"/>
        <c:crosses val="autoZero"/>
        <c:crossBetween val="between"/>
        <c:minorUnit val="5.000000000000001E-2"/>
      </c:valAx>
      <c:spPr>
        <a:noFill/>
        <a:ln>
          <a:noFill/>
        </a:ln>
        <a:effectLst/>
      </c:spPr>
    </c:plotArea>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s-ES" sz="1400" b="1" i="0" baseline="0">
                <a:effectLst/>
              </a:rPr>
              <a:t>GRADO CUMPLIMIENTO - ACTIVIDAD</a:t>
            </a:r>
            <a:endParaRPr lang="es-ES" sz="1400">
              <a:effectLst/>
            </a:endParaRPr>
          </a:p>
          <a:p>
            <a:pPr>
              <a:defRPr>
                <a:solidFill>
                  <a:sysClr val="windowText" lastClr="000000"/>
                </a:solidFill>
              </a:defRPr>
            </a:pPr>
            <a:r>
              <a:rPr lang="es-ES" sz="1400" b="0" i="0" baseline="0">
                <a:solidFill>
                  <a:schemeClr val="bg1">
                    <a:lumMod val="50000"/>
                  </a:schemeClr>
                </a:solidFill>
                <a:effectLst/>
              </a:rPr>
              <a:t>Promedio anual acumulado</a:t>
            </a:r>
            <a:endParaRPr lang="es-ES" sz="1400">
              <a:solidFill>
                <a:schemeClr val="bg1">
                  <a:lumMod val="50000"/>
                </a:schemeClr>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ES"/>
        </a:p>
      </c:txPr>
    </c:title>
    <c:autoTitleDeleted val="0"/>
    <c:plotArea>
      <c:layout/>
      <c:barChart>
        <c:barDir val="col"/>
        <c:grouping val="clustered"/>
        <c:varyColors val="0"/>
        <c:ser>
          <c:idx val="12"/>
          <c:order val="12"/>
          <c:tx>
            <c:strRef>
              <c:f>ListasDatos!$S$61</c:f>
              <c:strCache>
                <c:ptCount val="1"/>
                <c:pt idx="0">
                  <c:v>PROMEDIO ANUAL</c:v>
                </c:pt>
              </c:strCache>
            </c:strRef>
          </c:tx>
          <c:spPr>
            <a:solidFill>
              <a:srgbClr val="00B050"/>
            </a:solidFill>
            <a:ln>
              <a:noFill/>
            </a:ln>
            <a:effectLst/>
            <a:scene3d>
              <a:camera prst="orthographicFront"/>
              <a:lightRig rig="threePt" dir="t"/>
            </a:scene3d>
            <a:sp3d>
              <a:bevelT/>
            </a:sp3d>
          </c:spPr>
          <c:invertIfNegative val="0"/>
          <c:dPt>
            <c:idx val="0"/>
            <c:invertIfNegative val="0"/>
            <c:bubble3D val="0"/>
            <c:spPr>
              <a:solidFill>
                <a:srgbClr val="FFC000"/>
              </a:solidFill>
              <a:ln>
                <a:noFill/>
              </a:ln>
              <a:effectLst/>
              <a:scene3d>
                <a:camera prst="orthographicFront"/>
                <a:lightRig rig="threePt" dir="t"/>
              </a:scene3d>
              <a:sp3d>
                <a:bevelT/>
              </a:sp3d>
            </c:spPr>
            <c:extLst>
              <c:ext xmlns:c16="http://schemas.microsoft.com/office/drawing/2014/chart" uri="{C3380CC4-5D6E-409C-BE32-E72D297353CC}">
                <c16:uniqueId val="{00000001-E439-4DF9-9F62-60D8676B5522}"/>
              </c:ext>
            </c:extLst>
          </c:dPt>
          <c:dPt>
            <c:idx val="1"/>
            <c:invertIfNegative val="0"/>
            <c:bubble3D val="0"/>
            <c:spPr>
              <a:solidFill>
                <a:srgbClr val="00B0F0"/>
              </a:solidFill>
              <a:ln>
                <a:noFill/>
              </a:ln>
              <a:effectLst/>
              <a:scene3d>
                <a:camera prst="orthographicFront"/>
                <a:lightRig rig="threePt" dir="t"/>
              </a:scene3d>
              <a:sp3d>
                <a:bevelT/>
              </a:sp3d>
            </c:spPr>
            <c:extLst>
              <c:ext xmlns:c16="http://schemas.microsoft.com/office/drawing/2014/chart" uri="{C3380CC4-5D6E-409C-BE32-E72D297353CC}">
                <c16:uniqueId val="{00000003-E439-4DF9-9F62-60D8676B5522}"/>
              </c:ext>
            </c:extLst>
          </c:dPt>
          <c:dPt>
            <c:idx val="2"/>
            <c:invertIfNegative val="0"/>
            <c:bubble3D val="0"/>
            <c:spPr>
              <a:solidFill>
                <a:schemeClr val="accent2">
                  <a:lumMod val="75000"/>
                </a:schemeClr>
              </a:solidFill>
              <a:ln>
                <a:noFill/>
              </a:ln>
              <a:effectLst/>
              <a:scene3d>
                <a:camera prst="orthographicFront"/>
                <a:lightRig rig="threePt" dir="t"/>
              </a:scene3d>
              <a:sp3d>
                <a:bevelT/>
              </a:sp3d>
            </c:spPr>
            <c:extLst>
              <c:ext xmlns:c16="http://schemas.microsoft.com/office/drawing/2014/chart" uri="{C3380CC4-5D6E-409C-BE32-E72D297353CC}">
                <c16:uniqueId val="{00000005-E439-4DF9-9F62-60D8676B5522}"/>
              </c:ext>
            </c:extLst>
          </c:dPt>
          <c:cat>
            <c:strRef>
              <c:f>ListasDatos!$D$62:$D$65</c:f>
              <c:strCache>
                <c:ptCount val="4"/>
                <c:pt idx="0">
                  <c:v>Infraestructuras</c:v>
                </c:pt>
                <c:pt idx="1">
                  <c:v>Orden</c:v>
                </c:pt>
                <c:pt idx="2">
                  <c:v>Limpieza</c:v>
                </c:pt>
                <c:pt idx="3">
                  <c:v>Buenas Prácticas</c:v>
                </c:pt>
              </c:strCache>
            </c:strRef>
          </c:cat>
          <c:val>
            <c:numRef>
              <c:f>ListasDatos!$S$62:$S$65</c:f>
              <c:numCache>
                <c:formatCode>0.0%</c:formatCode>
                <c:ptCount val="4"/>
                <c:pt idx="0">
                  <c:v>0</c:v>
                </c:pt>
                <c:pt idx="1">
                  <c:v>0.91227678571428561</c:v>
                </c:pt>
                <c:pt idx="2">
                  <c:v>0.83877314814814818</c:v>
                </c:pt>
                <c:pt idx="3">
                  <c:v>0.98313492063492047</c:v>
                </c:pt>
              </c:numCache>
            </c:numRef>
          </c:val>
          <c:extLst>
            <c:ext xmlns:c16="http://schemas.microsoft.com/office/drawing/2014/chart" uri="{C3380CC4-5D6E-409C-BE32-E72D297353CC}">
              <c16:uniqueId val="{00000006-E439-4DF9-9F62-60D8676B5522}"/>
            </c:ext>
          </c:extLst>
        </c:ser>
        <c:dLbls>
          <c:showLegendKey val="0"/>
          <c:showVal val="0"/>
          <c:showCatName val="0"/>
          <c:showSerName val="0"/>
          <c:showPercent val="0"/>
          <c:showBubbleSize val="0"/>
        </c:dLbls>
        <c:gapWidth val="219"/>
        <c:overlap val="-27"/>
        <c:axId val="-1109550656"/>
        <c:axId val="-1109552832"/>
        <c:extLst>
          <c:ext xmlns:c15="http://schemas.microsoft.com/office/drawing/2012/chart" uri="{02D57815-91ED-43cb-92C2-25804820EDAC}">
            <c15:filteredBarSeries>
              <c15:ser>
                <c:idx val="0"/>
                <c:order val="0"/>
                <c:tx>
                  <c:strRef>
                    <c:extLst>
                      <c:ext uri="{02D57815-91ED-43cb-92C2-25804820EDAC}">
                        <c15:formulaRef>
                          <c15:sqref>ListasDatos!$E$61</c15:sqref>
                        </c15:formulaRef>
                      </c:ext>
                    </c:extLst>
                    <c:strCache>
                      <c:ptCount val="1"/>
                      <c:pt idx="0">
                        <c:v>enero</c:v>
                      </c:pt>
                    </c:strCache>
                  </c:strRef>
                </c:tx>
                <c:spPr>
                  <a:solidFill>
                    <a:schemeClr val="accent1"/>
                  </a:solidFill>
                  <a:ln>
                    <a:noFill/>
                  </a:ln>
                  <a:effectLst/>
                </c:spPr>
                <c:invertIfNegative val="0"/>
                <c:cat>
                  <c:strRef>
                    <c:extLst>
                      <c:ex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c:ext uri="{02D57815-91ED-43cb-92C2-25804820EDAC}">
                        <c15:formulaRef>
                          <c15:sqref>ListasDatos!$E$62:$E$65</c15:sqref>
                        </c15:formulaRef>
                      </c:ext>
                    </c:extLst>
                    <c:numCache>
                      <c:formatCode>0.0%</c:formatCode>
                      <c:ptCount val="4"/>
                      <c:pt idx="0">
                        <c:v>0.85483870967741937</c:v>
                      </c:pt>
                      <c:pt idx="1">
                        <c:v>0.8571428571428571</c:v>
                      </c:pt>
                      <c:pt idx="2">
                        <c:v>0.93333333333333335</c:v>
                      </c:pt>
                      <c:pt idx="3">
                        <c:v>1</c:v>
                      </c:pt>
                    </c:numCache>
                  </c:numRef>
                </c:val>
                <c:extLst>
                  <c:ext xmlns:c16="http://schemas.microsoft.com/office/drawing/2014/chart" uri="{C3380CC4-5D6E-409C-BE32-E72D297353CC}">
                    <c16:uniqueId val="{00000007-E439-4DF9-9F62-60D8676B552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ListasDatos!$F$61</c15:sqref>
                        </c15:formulaRef>
                      </c:ext>
                    </c:extLst>
                    <c:strCache>
                      <c:ptCount val="1"/>
                      <c:pt idx="0">
                        <c:v>febrero</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ListasDatos!$F$62:$F$65</c15:sqref>
                        </c15:formulaRef>
                      </c:ext>
                    </c:extLst>
                    <c:numCache>
                      <c:formatCode>0.0%</c:formatCode>
                      <c:ptCount val="4"/>
                      <c:pt idx="0">
                        <c:v>0.9285714285714286</c:v>
                      </c:pt>
                      <c:pt idx="1">
                        <c:v>1</c:v>
                      </c:pt>
                      <c:pt idx="2">
                        <c:v>0.95</c:v>
                      </c:pt>
                      <c:pt idx="3">
                        <c:v>1</c:v>
                      </c:pt>
                    </c:numCache>
                  </c:numRef>
                </c:val>
                <c:extLst xmlns:c15="http://schemas.microsoft.com/office/drawing/2012/chart">
                  <c:ext xmlns:c16="http://schemas.microsoft.com/office/drawing/2014/chart" uri="{C3380CC4-5D6E-409C-BE32-E72D297353CC}">
                    <c16:uniqueId val="{00000008-E439-4DF9-9F62-60D8676B552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ListasDatos!$G$61</c15:sqref>
                        </c15:formulaRef>
                      </c:ext>
                    </c:extLst>
                    <c:strCache>
                      <c:ptCount val="1"/>
                      <c:pt idx="0">
                        <c:v>marzo</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ListasDatos!$G$62:$G$65</c15:sqref>
                        </c15:formulaRef>
                      </c:ext>
                    </c:extLst>
                    <c:numCache>
                      <c:formatCode>0.0%</c:formatCode>
                      <c:ptCount val="4"/>
                      <c:pt idx="0">
                        <c:v>0.80645161290322576</c:v>
                      </c:pt>
                      <c:pt idx="1">
                        <c:v>0.9</c:v>
                      </c:pt>
                      <c:pt idx="2">
                        <c:v>0.85555555555555551</c:v>
                      </c:pt>
                      <c:pt idx="3">
                        <c:v>1</c:v>
                      </c:pt>
                    </c:numCache>
                  </c:numRef>
                </c:val>
                <c:extLst xmlns:c15="http://schemas.microsoft.com/office/drawing/2012/chart">
                  <c:ext xmlns:c16="http://schemas.microsoft.com/office/drawing/2014/chart" uri="{C3380CC4-5D6E-409C-BE32-E72D297353CC}">
                    <c16:uniqueId val="{00000009-E439-4DF9-9F62-60D8676B552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ListasDatos!$H$61</c15:sqref>
                        </c15:formulaRef>
                      </c:ext>
                    </c:extLst>
                    <c:strCache>
                      <c:ptCount val="1"/>
                      <c:pt idx="0">
                        <c:v>abril</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ListasDatos!$H$62:$H$65</c15:sqref>
                        </c15:formulaRef>
                      </c:ext>
                    </c:extLst>
                    <c:numCache>
                      <c:formatCode>0.0%</c:formatCode>
                      <c:ptCount val="4"/>
                      <c:pt idx="0">
                        <c:v>0.9107142857142857</c:v>
                      </c:pt>
                      <c:pt idx="1">
                        <c:v>0.953125</c:v>
                      </c:pt>
                      <c:pt idx="2">
                        <c:v>1</c:v>
                      </c:pt>
                      <c:pt idx="3">
                        <c:v>1</c:v>
                      </c:pt>
                    </c:numCache>
                  </c:numRef>
                </c:val>
                <c:extLst xmlns:c15="http://schemas.microsoft.com/office/drawing/2012/chart">
                  <c:ext xmlns:c16="http://schemas.microsoft.com/office/drawing/2014/chart" uri="{C3380CC4-5D6E-409C-BE32-E72D297353CC}">
                    <c16:uniqueId val="{0000000A-E439-4DF9-9F62-60D8676B552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ListasDatos!$I$61</c15:sqref>
                        </c15:formulaRef>
                      </c:ext>
                    </c:extLst>
                    <c:strCache>
                      <c:ptCount val="1"/>
                      <c:pt idx="0">
                        <c:v>mayo</c:v>
                      </c:pt>
                    </c:strCache>
                  </c:strRef>
                </c:tx>
                <c:spPr>
                  <a:solidFill>
                    <a:schemeClr val="accent5"/>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ListasDatos!$I$62:$I$65</c15:sqref>
                        </c15:formulaRef>
                      </c:ext>
                    </c:extLst>
                    <c:numCache>
                      <c:formatCode>0.0%</c:formatCode>
                      <c:ptCount val="4"/>
                      <c:pt idx="0">
                        <c:v>0.83870967741935487</c:v>
                      </c:pt>
                      <c:pt idx="1">
                        <c:v>0.88571428571428568</c:v>
                      </c:pt>
                      <c:pt idx="2">
                        <c:v>0.91111111111111109</c:v>
                      </c:pt>
                      <c:pt idx="3">
                        <c:v>0.98484848484848486</c:v>
                      </c:pt>
                    </c:numCache>
                  </c:numRef>
                </c:val>
                <c:extLst xmlns:c15="http://schemas.microsoft.com/office/drawing/2012/chart">
                  <c:ext xmlns:c16="http://schemas.microsoft.com/office/drawing/2014/chart" uri="{C3380CC4-5D6E-409C-BE32-E72D297353CC}">
                    <c16:uniqueId val="{0000000B-E439-4DF9-9F62-60D8676B552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ListasDatos!$J$61</c15:sqref>
                        </c15:formulaRef>
                      </c:ext>
                    </c:extLst>
                    <c:strCache>
                      <c:ptCount val="1"/>
                      <c:pt idx="0">
                        <c:v>junio</c:v>
                      </c:pt>
                    </c:strCache>
                  </c:strRef>
                </c:tx>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ListasDatos!$J$62:$J$65</c15:sqref>
                        </c15:formulaRef>
                      </c:ext>
                    </c:extLst>
                    <c:numCache>
                      <c:formatCode>0.0%</c:formatCode>
                      <c:ptCount val="4"/>
                      <c:pt idx="0">
                        <c:v>0.8571428571428571</c:v>
                      </c:pt>
                      <c:pt idx="1">
                        <c:v>0.90625</c:v>
                      </c:pt>
                      <c:pt idx="2">
                        <c:v>0.9375</c:v>
                      </c:pt>
                      <c:pt idx="3">
                        <c:v>1</c:v>
                      </c:pt>
                    </c:numCache>
                  </c:numRef>
                </c:val>
                <c:extLst xmlns:c15="http://schemas.microsoft.com/office/drawing/2012/chart">
                  <c:ext xmlns:c16="http://schemas.microsoft.com/office/drawing/2014/chart" uri="{C3380CC4-5D6E-409C-BE32-E72D297353CC}">
                    <c16:uniqueId val="{0000000C-E439-4DF9-9F62-60D8676B552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ListasDatos!$K$61</c15:sqref>
                        </c15:formulaRef>
                      </c:ext>
                    </c:extLst>
                    <c:strCache>
                      <c:ptCount val="1"/>
                      <c:pt idx="0">
                        <c:v>julio</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ListasDatos!$K$62:$K$65</c15:sqref>
                        </c15:formulaRef>
                      </c:ext>
                    </c:extLst>
                    <c:numCache>
                      <c:formatCode>0.0%</c:formatCode>
                      <c:ptCount val="4"/>
                      <c:pt idx="0">
                        <c:v>0.967741935483871</c:v>
                      </c:pt>
                      <c:pt idx="1">
                        <c:v>0.9285714285714286</c:v>
                      </c:pt>
                      <c:pt idx="2">
                        <c:v>0.87777777777777777</c:v>
                      </c:pt>
                      <c:pt idx="3">
                        <c:v>1.0303030303030303</c:v>
                      </c:pt>
                    </c:numCache>
                  </c:numRef>
                </c:val>
                <c:extLst xmlns:c15="http://schemas.microsoft.com/office/drawing/2012/chart">
                  <c:ext xmlns:c16="http://schemas.microsoft.com/office/drawing/2014/chart" uri="{C3380CC4-5D6E-409C-BE32-E72D297353CC}">
                    <c16:uniqueId val="{0000000D-E439-4DF9-9F62-60D8676B552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ListasDatos!$L$61</c15:sqref>
                        </c15:formulaRef>
                      </c:ext>
                    </c:extLst>
                    <c:strCache>
                      <c:ptCount val="1"/>
                      <c:pt idx="0">
                        <c:v>agosto</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ListasDatos!$L$62:$L$65</c15:sqref>
                        </c15:formulaRef>
                      </c:ext>
                    </c:extLst>
                    <c:numCache>
                      <c:formatCode>0.0%</c:formatCode>
                      <c:ptCount val="4"/>
                      <c:pt idx="0">
                        <c:v>0.8392857142857143</c:v>
                      </c:pt>
                      <c:pt idx="1">
                        <c:v>0.953125</c:v>
                      </c:pt>
                      <c:pt idx="2">
                        <c:v>0.98750000000000004</c:v>
                      </c:pt>
                      <c:pt idx="3">
                        <c:v>1</c:v>
                      </c:pt>
                    </c:numCache>
                  </c:numRef>
                </c:val>
                <c:extLst xmlns:c15="http://schemas.microsoft.com/office/drawing/2012/chart">
                  <c:ext xmlns:c16="http://schemas.microsoft.com/office/drawing/2014/chart" uri="{C3380CC4-5D6E-409C-BE32-E72D297353CC}">
                    <c16:uniqueId val="{0000000E-E439-4DF9-9F62-60D8676B552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ListasDatos!$M$61</c15:sqref>
                        </c15:formulaRef>
                      </c:ext>
                    </c:extLst>
                    <c:strCache>
                      <c:ptCount val="1"/>
                      <c:pt idx="0">
                        <c:v>septiembre</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ListasDatos!$M$62:$M$65</c15:sqref>
                        </c15:formulaRef>
                      </c:ext>
                    </c:extLst>
                    <c:numCache>
                      <c:formatCode>0.0%</c:formatCode>
                      <c:ptCount val="4"/>
                      <c:pt idx="0">
                        <c:v>0.95161290322580649</c:v>
                      </c:pt>
                      <c:pt idx="1">
                        <c:v>0.94285714285714284</c:v>
                      </c:pt>
                      <c:pt idx="2">
                        <c:v>0.94444444444444442</c:v>
                      </c:pt>
                      <c:pt idx="3">
                        <c:v>0.96969696969696972</c:v>
                      </c:pt>
                    </c:numCache>
                  </c:numRef>
                </c:val>
                <c:extLst xmlns:c15="http://schemas.microsoft.com/office/drawing/2012/chart">
                  <c:ext xmlns:c16="http://schemas.microsoft.com/office/drawing/2014/chart" uri="{C3380CC4-5D6E-409C-BE32-E72D297353CC}">
                    <c16:uniqueId val="{0000000F-E439-4DF9-9F62-60D8676B552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ListasDatos!$N$61</c15:sqref>
                        </c15:formulaRef>
                      </c:ext>
                    </c:extLst>
                    <c:strCache>
                      <c:ptCount val="1"/>
                      <c:pt idx="0">
                        <c:v>octubre</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ListasDatos!$N$62:$N$65</c15:sqref>
                        </c15:formulaRef>
                      </c:ext>
                    </c:extLst>
                    <c:numCache>
                      <c:formatCode>0.0%</c:formatCode>
                      <c:ptCount val="4"/>
                      <c:pt idx="0">
                        <c:v>0.9821428571428571</c:v>
                      </c:pt>
                      <c:pt idx="1">
                        <c:v>0.921875</c:v>
                      </c:pt>
                      <c:pt idx="2">
                        <c:v>0.91249999999999998</c:v>
                      </c:pt>
                      <c:pt idx="3">
                        <c:v>0.9642857142857143</c:v>
                      </c:pt>
                    </c:numCache>
                  </c:numRef>
                </c:val>
                <c:extLst xmlns:c15="http://schemas.microsoft.com/office/drawing/2012/chart">
                  <c:ext xmlns:c16="http://schemas.microsoft.com/office/drawing/2014/chart" uri="{C3380CC4-5D6E-409C-BE32-E72D297353CC}">
                    <c16:uniqueId val="{00000010-E439-4DF9-9F62-60D8676B552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ListasDatos!$O$61</c15:sqref>
                        </c15:formulaRef>
                      </c:ext>
                    </c:extLst>
                    <c:strCache>
                      <c:ptCount val="1"/>
                      <c:pt idx="0">
                        <c:v>noviembre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ListasDatos!$O$62:$O$65</c15:sqref>
                        </c15:formulaRef>
                      </c:ext>
                    </c:extLst>
                    <c:numCache>
                      <c:formatCode>0.0%</c:formatCode>
                      <c:ptCount val="4"/>
                      <c:pt idx="0">
                        <c:v>0.85483870967741937</c:v>
                      </c:pt>
                      <c:pt idx="1">
                        <c:v>0.7142857142857143</c:v>
                      </c:pt>
                      <c:pt idx="2">
                        <c:v>0.78888888888888886</c:v>
                      </c:pt>
                      <c:pt idx="3">
                        <c:v>0.84848484848484851</c:v>
                      </c:pt>
                    </c:numCache>
                  </c:numRef>
                </c:val>
                <c:extLst xmlns:c15="http://schemas.microsoft.com/office/drawing/2012/chart">
                  <c:ext xmlns:c16="http://schemas.microsoft.com/office/drawing/2014/chart" uri="{C3380CC4-5D6E-409C-BE32-E72D297353CC}">
                    <c16:uniqueId val="{00000011-E439-4DF9-9F62-60D8676B552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ListasDatos!$P$61</c15:sqref>
                        </c15:formulaRef>
                      </c:ext>
                    </c:extLst>
                    <c:strCache>
                      <c:ptCount val="1"/>
                      <c:pt idx="0">
                        <c:v>diciembre</c:v>
                      </c:pt>
                    </c:strCache>
                  </c:strRef>
                </c:tx>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ListasDatos!$D$62:$D$65</c15:sqref>
                        </c15:formulaRef>
                      </c:ext>
                    </c:extLst>
                    <c:strCache>
                      <c:ptCount val="4"/>
                      <c:pt idx="0">
                        <c:v>Infraestructuras</c:v>
                      </c:pt>
                      <c:pt idx="1">
                        <c:v>Orden</c:v>
                      </c:pt>
                      <c:pt idx="2">
                        <c:v>Limpieza</c:v>
                      </c:pt>
                      <c:pt idx="3">
                        <c:v>Buenas Prácticas</c:v>
                      </c:pt>
                    </c:strCache>
                  </c:strRef>
                </c:cat>
                <c:val>
                  <c:numRef>
                    <c:extLst xmlns:c15="http://schemas.microsoft.com/office/drawing/2012/chart">
                      <c:ext xmlns:c15="http://schemas.microsoft.com/office/drawing/2012/chart" uri="{02D57815-91ED-43cb-92C2-25804820EDAC}">
                        <c15:formulaRef>
                          <c15:sqref>ListasDatos!$P$62:$P$65</c15:sqref>
                        </c15:formulaRef>
                      </c:ext>
                    </c:extLst>
                    <c:numCache>
                      <c:formatCode>0.0%</c:formatCode>
                      <c:ptCount val="4"/>
                      <c:pt idx="0">
                        <c:v>0.9107142857142857</c:v>
                      </c:pt>
                      <c:pt idx="1">
                        <c:v>0.984375</c:v>
                      </c:pt>
                      <c:pt idx="2">
                        <c:v>0.95</c:v>
                      </c:pt>
                      <c:pt idx="3">
                        <c:v>1</c:v>
                      </c:pt>
                    </c:numCache>
                  </c:numRef>
                </c:val>
                <c:extLst xmlns:c15="http://schemas.microsoft.com/office/drawing/2012/chart">
                  <c:ext xmlns:c16="http://schemas.microsoft.com/office/drawing/2014/chart" uri="{C3380CC4-5D6E-409C-BE32-E72D297353CC}">
                    <c16:uniqueId val="{00000012-E439-4DF9-9F62-60D8676B5522}"/>
                  </c:ext>
                </c:extLst>
              </c15:ser>
            </c15:filteredBarSeries>
          </c:ext>
        </c:extLst>
      </c:barChart>
      <c:catAx>
        <c:axId val="-110955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52832"/>
        <c:crosses val="autoZero"/>
        <c:auto val="1"/>
        <c:lblAlgn val="ctr"/>
        <c:lblOffset val="100"/>
        <c:noMultiLvlLbl val="0"/>
      </c:catAx>
      <c:valAx>
        <c:axId val="-1109552832"/>
        <c:scaling>
          <c:orientation val="minMax"/>
          <c:max val="1"/>
          <c:min val="0.60000000000000009"/>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50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INFRAESTRUCTURAS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ListasDatos!$E$62:$E$65</c15:sqref>
                  </c15:fullRef>
                </c:ext>
              </c:extLst>
              <c:f>ListasDatos!$E$62</c:f>
              <c:numCache>
                <c:formatCode>0.0%</c:formatCode>
                <c:ptCount val="1"/>
                <c:pt idx="0">
                  <c:v>0.85483870967741937</c:v>
                </c:pt>
              </c:numCache>
            </c:numRef>
          </c:val>
          <c:extLst>
            <c:ext xmlns:c16="http://schemas.microsoft.com/office/drawing/2014/chart" uri="{C3380CC4-5D6E-409C-BE32-E72D297353CC}">
              <c16:uniqueId val="{00000000-CC6C-4B06-84F2-A6254EDBE7E8}"/>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ListasDatos!$F$62:$F$65</c15:sqref>
                  </c15:fullRef>
                </c:ext>
              </c:extLst>
              <c:f>ListasDatos!$F$62</c:f>
              <c:numCache>
                <c:formatCode>0.0%</c:formatCode>
                <c:ptCount val="1"/>
                <c:pt idx="0">
                  <c:v>0.9285714285714286</c:v>
                </c:pt>
              </c:numCache>
            </c:numRef>
          </c:val>
          <c:extLst>
            <c:ext xmlns:c16="http://schemas.microsoft.com/office/drawing/2014/chart" uri="{C3380CC4-5D6E-409C-BE32-E72D297353CC}">
              <c16:uniqueId val="{00000001-CC6C-4B06-84F2-A6254EDBE7E8}"/>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ListasDatos!$G$62:$G$65</c15:sqref>
                  </c15:fullRef>
                </c:ext>
              </c:extLst>
              <c:f>ListasDatos!$G$62</c:f>
              <c:numCache>
                <c:formatCode>0.0%</c:formatCode>
                <c:ptCount val="1"/>
                <c:pt idx="0">
                  <c:v>0.80645161290322576</c:v>
                </c:pt>
              </c:numCache>
            </c:numRef>
          </c:val>
          <c:extLst>
            <c:ext xmlns:c16="http://schemas.microsoft.com/office/drawing/2014/chart" uri="{C3380CC4-5D6E-409C-BE32-E72D297353CC}">
              <c16:uniqueId val="{00000002-CC6C-4B06-84F2-A6254EDBE7E8}"/>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ListasDatos!$H$62:$H$65</c15:sqref>
                  </c15:fullRef>
                </c:ext>
              </c:extLst>
              <c:f>ListasDatos!$H$62</c:f>
              <c:numCache>
                <c:formatCode>0.0%</c:formatCode>
                <c:ptCount val="1"/>
                <c:pt idx="0">
                  <c:v>0.9107142857142857</c:v>
                </c:pt>
              </c:numCache>
            </c:numRef>
          </c:val>
          <c:extLst>
            <c:ext xmlns:c16="http://schemas.microsoft.com/office/drawing/2014/chart" uri="{C3380CC4-5D6E-409C-BE32-E72D297353CC}">
              <c16:uniqueId val="{00000003-CC6C-4B06-84F2-A6254EDBE7E8}"/>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ListasDatos!$I$62:$I$65</c15:sqref>
                  </c15:fullRef>
                </c:ext>
              </c:extLst>
              <c:f>ListasDatos!$I$62</c:f>
              <c:numCache>
                <c:formatCode>0.0%</c:formatCode>
                <c:ptCount val="1"/>
                <c:pt idx="0">
                  <c:v>0.83870967741935487</c:v>
                </c:pt>
              </c:numCache>
            </c:numRef>
          </c:val>
          <c:extLst>
            <c:ext xmlns:c16="http://schemas.microsoft.com/office/drawing/2014/chart" uri="{C3380CC4-5D6E-409C-BE32-E72D297353CC}">
              <c16:uniqueId val="{00000004-CC6C-4B06-84F2-A6254EDBE7E8}"/>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ListasDatos!$J$62:$J$65</c15:sqref>
                  </c15:fullRef>
                </c:ext>
              </c:extLst>
              <c:f>ListasDatos!$J$62</c:f>
              <c:numCache>
                <c:formatCode>0.0%</c:formatCode>
                <c:ptCount val="1"/>
                <c:pt idx="0">
                  <c:v>0.8571428571428571</c:v>
                </c:pt>
              </c:numCache>
            </c:numRef>
          </c:val>
          <c:extLst>
            <c:ext xmlns:c16="http://schemas.microsoft.com/office/drawing/2014/chart" uri="{C3380CC4-5D6E-409C-BE32-E72D297353CC}">
              <c16:uniqueId val="{00000005-CC6C-4B06-84F2-A6254EDBE7E8}"/>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ListasDatos!$K$62:$K$65</c15:sqref>
                  </c15:fullRef>
                </c:ext>
              </c:extLst>
              <c:f>ListasDatos!$K$62</c:f>
              <c:numCache>
                <c:formatCode>0.0%</c:formatCode>
                <c:ptCount val="1"/>
                <c:pt idx="0">
                  <c:v>0.967741935483871</c:v>
                </c:pt>
              </c:numCache>
            </c:numRef>
          </c:val>
          <c:extLst>
            <c:ext xmlns:c16="http://schemas.microsoft.com/office/drawing/2014/chart" uri="{C3380CC4-5D6E-409C-BE32-E72D297353CC}">
              <c16:uniqueId val="{00000006-CC6C-4B06-84F2-A6254EDBE7E8}"/>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ListasDatos!$L$62:$L$65</c15:sqref>
                  </c15:fullRef>
                </c:ext>
              </c:extLst>
              <c:f>ListasDatos!$L$62</c:f>
              <c:numCache>
                <c:formatCode>0.0%</c:formatCode>
                <c:ptCount val="1"/>
                <c:pt idx="0">
                  <c:v>0.8392857142857143</c:v>
                </c:pt>
              </c:numCache>
            </c:numRef>
          </c:val>
          <c:extLst>
            <c:ext xmlns:c16="http://schemas.microsoft.com/office/drawing/2014/chart" uri="{C3380CC4-5D6E-409C-BE32-E72D297353CC}">
              <c16:uniqueId val="{00000007-CC6C-4B06-84F2-A6254EDBE7E8}"/>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ListasDatos!$M$62:$M$65</c15:sqref>
                  </c15:fullRef>
                </c:ext>
              </c:extLst>
              <c:f>ListasDatos!$M$62</c:f>
              <c:numCache>
                <c:formatCode>0.0%</c:formatCode>
                <c:ptCount val="1"/>
                <c:pt idx="0">
                  <c:v>0.95161290322580649</c:v>
                </c:pt>
              </c:numCache>
            </c:numRef>
          </c:val>
          <c:extLst>
            <c:ext xmlns:c16="http://schemas.microsoft.com/office/drawing/2014/chart" uri="{C3380CC4-5D6E-409C-BE32-E72D297353CC}">
              <c16:uniqueId val="{00000008-CC6C-4B06-84F2-A6254EDBE7E8}"/>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ListasDatos!$N$62:$N$65</c15:sqref>
                  </c15:fullRef>
                </c:ext>
              </c:extLst>
              <c:f>ListasDatos!$N$62</c:f>
              <c:numCache>
                <c:formatCode>0.0%</c:formatCode>
                <c:ptCount val="1"/>
                <c:pt idx="0">
                  <c:v>0.9821428571428571</c:v>
                </c:pt>
              </c:numCache>
            </c:numRef>
          </c:val>
          <c:extLst>
            <c:ext xmlns:c16="http://schemas.microsoft.com/office/drawing/2014/chart" uri="{C3380CC4-5D6E-409C-BE32-E72D297353CC}">
              <c16:uniqueId val="{00000009-CC6C-4B06-84F2-A6254EDBE7E8}"/>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ListasDatos!$O$62:$O$65</c15:sqref>
                  </c15:fullRef>
                </c:ext>
              </c:extLst>
              <c:f>ListasDatos!$O$62</c:f>
              <c:numCache>
                <c:formatCode>0.0%</c:formatCode>
                <c:ptCount val="1"/>
                <c:pt idx="0">
                  <c:v>0.85483870967741937</c:v>
                </c:pt>
              </c:numCache>
            </c:numRef>
          </c:val>
          <c:extLst>
            <c:ext xmlns:c16="http://schemas.microsoft.com/office/drawing/2014/chart" uri="{C3380CC4-5D6E-409C-BE32-E72D297353CC}">
              <c16:uniqueId val="{0000000A-CC6C-4B06-84F2-A6254EDBE7E8}"/>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ListasDatos!$P$62:$P$65</c15:sqref>
                  </c15:fullRef>
                </c:ext>
              </c:extLst>
              <c:f>ListasDatos!$P$62</c:f>
              <c:numCache>
                <c:formatCode>0.0%</c:formatCode>
                <c:ptCount val="1"/>
                <c:pt idx="0">
                  <c:v>0.9107142857142857</c:v>
                </c:pt>
              </c:numCache>
            </c:numRef>
          </c:val>
          <c:extLst>
            <c:ext xmlns:c16="http://schemas.microsoft.com/office/drawing/2014/chart" uri="{C3380CC4-5D6E-409C-BE32-E72D297353CC}">
              <c16:uniqueId val="{0000000B-CC6C-4B06-84F2-A6254EDBE7E8}"/>
            </c:ext>
          </c:extLst>
        </c:ser>
        <c:ser>
          <c:idx val="12"/>
          <c:order val="12"/>
          <c:tx>
            <c:strRef>
              <c:f>ListasDatos!$Q$61</c:f>
              <c:strCache>
                <c:ptCount val="1"/>
                <c:pt idx="0">
                  <c:v>CAL1</c:v>
                </c:pt>
              </c:strCache>
            </c:strRef>
          </c:tx>
          <c:spPr>
            <a:solidFill>
              <a:schemeClr val="accent1">
                <a:lumMod val="80000"/>
                <a:lumOff val="20000"/>
              </a:schemeClr>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D-CC6C-4B06-84F2-A6254EDBE7E8}"/>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C6C-4B06-84F2-A6254EDBE7E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ListasDatos!$Q$62:$Q$65</c15:sqref>
                  </c15:fullRef>
                </c:ext>
              </c:extLst>
              <c:f>ListasDatos!$Q$62</c:f>
              <c:numCache>
                <c:formatCode>0.0%</c:formatCode>
                <c:ptCount val="1"/>
                <c:pt idx="0">
                  <c:v>0</c:v>
                </c:pt>
              </c:numCache>
            </c:numRef>
          </c:val>
          <c:extLst>
            <c:ext xmlns:c16="http://schemas.microsoft.com/office/drawing/2014/chart" uri="{C3380CC4-5D6E-409C-BE32-E72D297353CC}">
              <c16:uniqueId val="{0000000E-CC6C-4B06-84F2-A6254EDBE7E8}"/>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ListasDatos!$R$62:$R$65</c15:sqref>
                  </c15:fullRef>
                </c:ext>
              </c:extLst>
              <c:f>ListasDatos!$R$62</c:f>
              <c:numCache>
                <c:formatCode>0.0%</c:formatCode>
                <c:ptCount val="1"/>
                <c:pt idx="0">
                  <c:v>0</c:v>
                </c:pt>
              </c:numCache>
            </c:numRef>
          </c:val>
          <c:extLst>
            <c:ext xmlns:c16="http://schemas.microsoft.com/office/drawing/2014/chart" uri="{C3380CC4-5D6E-409C-BE32-E72D297353CC}">
              <c16:uniqueId val="{0000000F-CC6C-4B06-84F2-A6254EDBE7E8}"/>
            </c:ext>
          </c:extLst>
        </c:ser>
        <c:ser>
          <c:idx val="14"/>
          <c:order val="14"/>
          <c:tx>
            <c:strRef>
              <c:f>ListasDatos!$S$61</c:f>
              <c:strCache>
                <c:ptCount val="1"/>
                <c:pt idx="0">
                  <c:v>PROMEDIO ANUAL</c:v>
                </c:pt>
              </c:strCache>
            </c:strRef>
          </c:tx>
          <c:spPr>
            <a:solidFill>
              <a:srgbClr val="00B050"/>
            </a:solidFill>
            <a:ln>
              <a:noFill/>
            </a:ln>
            <a:effectLst/>
          </c:spPr>
          <c:invertIfNegative val="0"/>
          <c:dLbls>
            <c:dLbl>
              <c:idx val="0"/>
              <c:layout>
                <c:manualLayout>
                  <c:x val="3.8204393505253103E-3"/>
                  <c:y val="1.99004975124377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C6C-4B06-84F2-A6254EDBE7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ListasDatos!$D$62:$D$65</c15:sqref>
                  </c15:fullRef>
                </c:ext>
              </c:extLst>
              <c:f>ListasDatos!$D$62</c:f>
              <c:strCache>
                <c:ptCount val="1"/>
                <c:pt idx="0">
                  <c:v>Infraestructuras</c:v>
                </c:pt>
              </c:strCache>
            </c:strRef>
          </c:cat>
          <c:val>
            <c:numRef>
              <c:extLst>
                <c:ext xmlns:c15="http://schemas.microsoft.com/office/drawing/2012/chart" uri="{02D57815-91ED-43cb-92C2-25804820EDAC}">
                  <c15:fullRef>
                    <c15:sqref>ListasDatos!$S$62:$S$65</c15:sqref>
                  </c15:fullRef>
                </c:ext>
              </c:extLst>
              <c:f>ListasDatos!$S$62</c:f>
              <c:numCache>
                <c:formatCode>0.0%</c:formatCode>
                <c:ptCount val="1"/>
                <c:pt idx="0">
                  <c:v>0</c:v>
                </c:pt>
              </c:numCache>
            </c:numRef>
          </c:val>
          <c:extLst>
            <c:ext xmlns:c16="http://schemas.microsoft.com/office/drawing/2014/chart" uri="{C3380CC4-5D6E-409C-BE32-E72D297353CC}">
              <c16:uniqueId val="{00000012-CC6C-4B06-84F2-A6254EDBE7E8}"/>
            </c:ext>
          </c:extLst>
        </c:ser>
        <c:dLbls>
          <c:showLegendKey val="0"/>
          <c:showVal val="0"/>
          <c:showCatName val="0"/>
          <c:showSerName val="0"/>
          <c:showPercent val="0"/>
          <c:showBubbleSize val="0"/>
        </c:dLbls>
        <c:gapWidth val="219"/>
        <c:overlap val="-27"/>
        <c:axId val="-1109545760"/>
        <c:axId val="-1109550112"/>
      </c:barChart>
      <c:catAx>
        <c:axId val="-1109545760"/>
        <c:scaling>
          <c:orientation val="minMax"/>
        </c:scaling>
        <c:delete val="1"/>
        <c:axPos val="b"/>
        <c:numFmt formatCode="General" sourceLinked="1"/>
        <c:majorTickMark val="none"/>
        <c:minorTickMark val="none"/>
        <c:tickLblPos val="nextTo"/>
        <c:crossAx val="-1109550112"/>
        <c:crosses val="autoZero"/>
        <c:auto val="1"/>
        <c:lblAlgn val="ctr"/>
        <c:lblOffset val="100"/>
        <c:noMultiLvlLbl val="0"/>
      </c:catAx>
      <c:valAx>
        <c:axId val="-1109550112"/>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45760"/>
        <c:crosses val="autoZero"/>
        <c:crossBetween val="between"/>
        <c:minorUnit val="5.000000000000001E-2"/>
      </c:valAx>
      <c:spPr>
        <a:noFill/>
        <a:ln>
          <a:noFill/>
        </a:ln>
        <a:effectLst/>
      </c:spPr>
    </c:plotArea>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solidFill>
                  <a:sysClr val="windowText" lastClr="000000"/>
                </a:solidFill>
              </a:rPr>
              <a:t>GRADO CUMPLIMIENTO - ÁREA</a:t>
            </a:r>
          </a:p>
          <a:p>
            <a:pPr>
              <a:defRPr/>
            </a:pPr>
            <a:r>
              <a:rPr lang="es-ES"/>
              <a:t>Promedio anual acumulado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7.7782518805261075E-2"/>
          <c:y val="0.21075864811713751"/>
          <c:w val="0.59633293743310023"/>
          <c:h val="0.75083577753660535"/>
        </c:manualLayout>
      </c:layout>
      <c:barChart>
        <c:barDir val="col"/>
        <c:grouping val="clustered"/>
        <c:varyColors val="0"/>
        <c:ser>
          <c:idx val="0"/>
          <c:order val="0"/>
          <c:tx>
            <c:strRef>
              <c:f>ListasDatos!$D$69</c:f>
              <c:strCache>
                <c:ptCount val="1"/>
                <c:pt idx="0">
                  <c:v>A. MEZCLAS (Cámaras, Bodegas, Sla. Mezclas, Sla. Aditivos, Sla.Glucosas)</c:v>
                </c:pt>
              </c:strCache>
            </c:strRef>
          </c:tx>
          <c:spPr>
            <a:solidFill>
              <a:schemeClr val="accent1"/>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ListasDatos!$E$69:$S$69</c15:sqref>
                  </c15:fullRef>
                </c:ext>
              </c:extLst>
              <c:f>ListasDatos!$S$69</c:f>
              <c:numCache>
                <c:formatCode>0.0%</c:formatCode>
                <c:ptCount val="1"/>
                <c:pt idx="0">
                  <c:v>0.91025641025641024</c:v>
                </c:pt>
              </c:numCache>
            </c:numRef>
          </c:val>
          <c:extLst>
            <c:ext xmlns:c16="http://schemas.microsoft.com/office/drawing/2014/chart" uri="{C3380CC4-5D6E-409C-BE32-E72D297353CC}">
              <c16:uniqueId val="{00000000-6E28-4736-95B2-47AFEF6AD007}"/>
            </c:ext>
          </c:extLst>
        </c:ser>
        <c:ser>
          <c:idx val="1"/>
          <c:order val="1"/>
          <c:tx>
            <c:strRef>
              <c:f>ListasDatos!$D$70</c:f>
              <c:strCache>
                <c:ptCount val="1"/>
                <c:pt idx="0">
                  <c:v>B. ALMACÉN (MMPP, MMAA, Producto Terminado y APQ) </c:v>
                </c:pt>
              </c:strCache>
            </c:strRef>
          </c:tx>
          <c:spPr>
            <a:solidFill>
              <a:schemeClr val="accent2"/>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ListasDatos!$E$70:$S$70</c15:sqref>
                  </c15:fullRef>
                </c:ext>
              </c:extLst>
              <c:f>ListasDatos!$S$70</c:f>
              <c:numCache>
                <c:formatCode>0.0%</c:formatCode>
                <c:ptCount val="1"/>
                <c:pt idx="0">
                  <c:v>0.47916666666666669</c:v>
                </c:pt>
              </c:numCache>
            </c:numRef>
          </c:val>
          <c:extLst>
            <c:ext xmlns:c16="http://schemas.microsoft.com/office/drawing/2014/chart" uri="{C3380CC4-5D6E-409C-BE32-E72D297353CC}">
              <c16:uniqueId val="{00000001-6E28-4736-95B2-47AFEF6AD007}"/>
            </c:ext>
          </c:extLst>
        </c:ser>
        <c:ser>
          <c:idx val="2"/>
          <c:order val="2"/>
          <c:tx>
            <c:strRef>
              <c:f>ListasDatos!$D$71</c:f>
              <c:strCache>
                <c:ptCount val="1"/>
                <c:pt idx="0">
                  <c:v>C. Taller de Mantenimiento, Sla Compresores, Sla Calderas, Sla CIP y PTA</c:v>
                </c:pt>
              </c:strCache>
            </c:strRef>
          </c:tx>
          <c:spPr>
            <a:solidFill>
              <a:schemeClr val="accent3"/>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ListasDatos!$E$71:$S$71</c15:sqref>
                  </c15:fullRef>
                </c:ext>
              </c:extLst>
              <c:f>ListasDatos!$S$71</c:f>
              <c:numCache>
                <c:formatCode>0.0%</c:formatCode>
                <c:ptCount val="1"/>
                <c:pt idx="0">
                  <c:v>0.95634920634920639</c:v>
                </c:pt>
              </c:numCache>
            </c:numRef>
          </c:val>
          <c:extLst>
            <c:ext xmlns:c16="http://schemas.microsoft.com/office/drawing/2014/chart" uri="{C3380CC4-5D6E-409C-BE32-E72D297353CC}">
              <c16:uniqueId val="{00000002-6E28-4736-95B2-47AFEF6AD007}"/>
            </c:ext>
          </c:extLst>
        </c:ser>
        <c:ser>
          <c:idx val="3"/>
          <c:order val="3"/>
          <c:tx>
            <c:strRef>
              <c:f>ListasDatos!$D$72</c:f>
              <c:strCache>
                <c:ptCount val="1"/>
                <c:pt idx="0">
                  <c:v>D. Laboratorio</c:v>
                </c:pt>
              </c:strCache>
            </c:strRef>
          </c:tx>
          <c:spPr>
            <a:solidFill>
              <a:schemeClr val="accent4"/>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ListasDatos!$E$72:$S$72</c15:sqref>
                  </c15:fullRef>
                </c:ext>
              </c:extLst>
              <c:f>ListasDatos!$S$72</c:f>
              <c:numCache>
                <c:formatCode>0.0%</c:formatCode>
                <c:ptCount val="1"/>
                <c:pt idx="0">
                  <c:v>0.8125</c:v>
                </c:pt>
              </c:numCache>
            </c:numRef>
          </c:val>
          <c:extLst>
            <c:ext xmlns:c16="http://schemas.microsoft.com/office/drawing/2014/chart" uri="{C3380CC4-5D6E-409C-BE32-E72D297353CC}">
              <c16:uniqueId val="{00000003-6E28-4736-95B2-47AFEF6AD007}"/>
            </c:ext>
          </c:extLst>
        </c:ser>
        <c:ser>
          <c:idx val="4"/>
          <c:order val="4"/>
          <c:tx>
            <c:strRef>
              <c:f>ListasDatos!$D$73</c:f>
              <c:strCache>
                <c:ptCount val="1"/>
                <c:pt idx="0">
                  <c:v>E.ENVASADO (Linea 2,8 y 9 )</c:v>
                </c:pt>
              </c:strCache>
            </c:strRef>
          </c:tx>
          <c:spPr>
            <a:solidFill>
              <a:schemeClr val="accent5"/>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ListasDatos!$E$73:$S$73</c15:sqref>
                  </c15:fullRef>
                </c:ext>
              </c:extLst>
              <c:f>ListasDatos!$S$73</c:f>
              <c:numCache>
                <c:formatCode>0.0%</c:formatCode>
                <c:ptCount val="1"/>
                <c:pt idx="0">
                  <c:v>0.9147727272727274</c:v>
                </c:pt>
              </c:numCache>
            </c:numRef>
          </c:val>
          <c:extLst>
            <c:ext xmlns:c16="http://schemas.microsoft.com/office/drawing/2014/chart" uri="{C3380CC4-5D6E-409C-BE32-E72D297353CC}">
              <c16:uniqueId val="{00000004-6E28-4736-95B2-47AFEF6AD007}"/>
            </c:ext>
          </c:extLst>
        </c:ser>
        <c:ser>
          <c:idx val="5"/>
          <c:order val="5"/>
          <c:tx>
            <c:strRef>
              <c:f>ListasDatos!$D$74</c:f>
              <c:strCache>
                <c:ptCount val="1"/>
                <c:pt idx="0">
                  <c:v>F. Exteriores</c:v>
                </c:pt>
              </c:strCache>
            </c:strRef>
          </c:tx>
          <c:spPr>
            <a:solidFill>
              <a:schemeClr val="accent6"/>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ListasDatos!$E$74:$S$74</c15:sqref>
                  </c15:fullRef>
                </c:ext>
              </c:extLst>
              <c:f>ListasDatos!$S$74</c:f>
              <c:numCache>
                <c:formatCode>0.0%</c:formatCode>
                <c:ptCount val="1"/>
                <c:pt idx="0">
                  <c:v>0.93421052631578949</c:v>
                </c:pt>
              </c:numCache>
            </c:numRef>
          </c:val>
          <c:extLst>
            <c:ext xmlns:c16="http://schemas.microsoft.com/office/drawing/2014/chart" uri="{C3380CC4-5D6E-409C-BE32-E72D297353CC}">
              <c16:uniqueId val="{00000005-6E28-4736-95B2-47AFEF6AD007}"/>
            </c:ext>
          </c:extLst>
        </c:ser>
        <c:ser>
          <c:idx val="6"/>
          <c:order val="6"/>
          <c:tx>
            <c:strRef>
              <c:f>ListasDatos!$D$75</c:f>
              <c:strCache>
                <c:ptCount val="1"/>
                <c:pt idx="0">
                  <c:v>G. ZONAS COMUNES (Vestuarios, Servicios, Comedor y Cuarto de Limpieza)</c:v>
                </c:pt>
              </c:strCache>
            </c:strRef>
          </c:tx>
          <c:spPr>
            <a:solidFill>
              <a:schemeClr val="accent1">
                <a:lumMod val="60000"/>
              </a:schemeClr>
            </a:solidFill>
            <a:ln>
              <a:no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ListasDatos!$E$75:$S$75</c15:sqref>
                  </c15:fullRef>
                </c:ext>
              </c:extLst>
              <c:f>ListasDatos!$S$75</c:f>
              <c:numCache>
                <c:formatCode>0.0%</c:formatCode>
                <c:ptCount val="1"/>
                <c:pt idx="0">
                  <c:v>0.96527777777777768</c:v>
                </c:pt>
              </c:numCache>
            </c:numRef>
          </c:val>
          <c:extLst>
            <c:ext xmlns:c16="http://schemas.microsoft.com/office/drawing/2014/chart" uri="{C3380CC4-5D6E-409C-BE32-E72D297353CC}">
              <c16:uniqueId val="{00000006-6E28-4736-95B2-47AFEF6AD007}"/>
            </c:ext>
          </c:extLst>
        </c:ser>
        <c:ser>
          <c:idx val="7"/>
          <c:order val="7"/>
          <c:tx>
            <c:strRef>
              <c:f>ListasDatos!$D$76</c:f>
              <c:strCache>
                <c:ptCount val="1"/>
                <c:pt idx="0">
                  <c:v>PROMEDIO ANUAL</c:v>
                </c:pt>
              </c:strCache>
            </c:strRef>
          </c:tx>
          <c:spPr>
            <a:solidFill>
              <a:srgbClr val="00B050"/>
            </a:solidFill>
            <a:ln>
              <a:solidFill>
                <a:srgbClr val="00B050"/>
              </a:solidFill>
            </a:ln>
            <a:effectLst/>
            <a:scene3d>
              <a:camera prst="orthographicFront"/>
              <a:lightRig rig="threePt" dir="t"/>
            </a:scene3d>
            <a:sp3d>
              <a:bevelT/>
            </a:sp3d>
          </c:spPr>
          <c:invertIfNegative val="0"/>
          <c:cat>
            <c:strRef>
              <c:extLst>
                <c:ext xmlns:c15="http://schemas.microsoft.com/office/drawing/2012/chart" uri="{02D57815-91ED-43cb-92C2-25804820EDAC}">
                  <c15:fullRef>
                    <c15:sqref>ListasDatos!$E$61:$S$61</c15:sqref>
                  </c15:fullRef>
                </c:ext>
              </c:extLst>
              <c:f>ListasDatos!$S$61</c:f>
              <c:strCache>
                <c:ptCount val="1"/>
                <c:pt idx="0">
                  <c:v>PROMEDIO ANUAL</c:v>
                </c:pt>
              </c:strCache>
            </c:strRef>
          </c:cat>
          <c:val>
            <c:numRef>
              <c:extLst>
                <c:ext xmlns:c15="http://schemas.microsoft.com/office/drawing/2012/chart" uri="{02D57815-91ED-43cb-92C2-25804820EDAC}">
                  <c15:fullRef>
                    <c15:sqref>ListasDatos!$E$76:$S$76</c15:sqref>
                  </c15:fullRef>
                </c:ext>
              </c:extLst>
              <c:f>ListasDatos!$S$76</c:f>
              <c:numCache>
                <c:formatCode>0.0%</c:formatCode>
                <c:ptCount val="1"/>
                <c:pt idx="0">
                  <c:v>0</c:v>
                </c:pt>
              </c:numCache>
            </c:numRef>
          </c:val>
          <c:extLst>
            <c:ext xmlns:c16="http://schemas.microsoft.com/office/drawing/2014/chart" uri="{C3380CC4-5D6E-409C-BE32-E72D297353CC}">
              <c16:uniqueId val="{00000007-6E28-4736-95B2-47AFEF6AD007}"/>
            </c:ext>
          </c:extLst>
        </c:ser>
        <c:dLbls>
          <c:showLegendKey val="0"/>
          <c:showVal val="0"/>
          <c:showCatName val="0"/>
          <c:showSerName val="0"/>
          <c:showPercent val="0"/>
          <c:showBubbleSize val="0"/>
        </c:dLbls>
        <c:gapWidth val="219"/>
        <c:overlap val="-27"/>
        <c:axId val="-1109549568"/>
        <c:axId val="-1109549024"/>
      </c:barChart>
      <c:catAx>
        <c:axId val="-1109549568"/>
        <c:scaling>
          <c:orientation val="minMax"/>
        </c:scaling>
        <c:delete val="1"/>
        <c:axPos val="b"/>
        <c:numFmt formatCode="General" sourceLinked="1"/>
        <c:majorTickMark val="none"/>
        <c:minorTickMark val="none"/>
        <c:tickLblPos val="nextTo"/>
        <c:crossAx val="-1109549024"/>
        <c:crosses val="autoZero"/>
        <c:auto val="1"/>
        <c:lblAlgn val="ctr"/>
        <c:lblOffset val="100"/>
        <c:noMultiLvlLbl val="0"/>
      </c:catAx>
      <c:valAx>
        <c:axId val="-1109549024"/>
        <c:scaling>
          <c:orientation val="minMax"/>
          <c:max val="1"/>
          <c:min val="0.60000000000000009"/>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49568"/>
        <c:crosses val="autoZero"/>
        <c:crossBetween val="between"/>
      </c:valAx>
      <c:spPr>
        <a:noFill/>
        <a:ln>
          <a:noFill/>
        </a:ln>
        <a:effectLst/>
      </c:spPr>
    </c:plotArea>
    <c:legend>
      <c:legendPos val="r"/>
      <c:layout>
        <c:manualLayout>
          <c:xMode val="edge"/>
          <c:yMode val="edge"/>
          <c:x val="0.68715083798882681"/>
          <c:y val="0.21780957231658252"/>
          <c:w val="0.31098696461824954"/>
          <c:h val="0.777743734097234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C. MANTENIMIENTO y</a:t>
            </a:r>
            <a:r>
              <a:rPr lang="es-ES" b="1" baseline="0"/>
              <a:t> AUX.</a:t>
            </a:r>
            <a:endParaRPr lang="es-E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(ListasDatos!$E$70:$E$72,ListasDatos!$E$75)</c:f>
              <c:numCache>
                <c:formatCode>0.0%</c:formatCode>
                <c:ptCount val="4"/>
                <c:pt idx="0">
                  <c:v>0.84090909090909094</c:v>
                </c:pt>
                <c:pt idx="1">
                  <c:v>0.97619047619047616</c:v>
                </c:pt>
                <c:pt idx="2">
                  <c:v>0.9375</c:v>
                </c:pt>
                <c:pt idx="3">
                  <c:v>0.94444444444444442</c:v>
                </c:pt>
              </c:numCache>
            </c:numRef>
          </c:val>
          <c:extLst>
            <c:ext xmlns:c16="http://schemas.microsoft.com/office/drawing/2014/chart" uri="{C3380CC4-5D6E-409C-BE32-E72D297353CC}">
              <c16:uniqueId val="{00000000-D1B5-4EB2-AA06-7B7880844C7F}"/>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(ListasDatos!$F$70:$F$72,ListasDatos!$F$75)</c:f>
              <c:numCache>
                <c:formatCode>0.0%</c:formatCode>
                <c:ptCount val="4"/>
                <c:pt idx="0">
                  <c:v>0.95454545454545459</c:v>
                </c:pt>
                <c:pt idx="1">
                  <c:v>1</c:v>
                </c:pt>
                <c:pt idx="2">
                  <c:v>0</c:v>
                </c:pt>
                <c:pt idx="3">
                  <c:v>1</c:v>
                </c:pt>
              </c:numCache>
            </c:numRef>
          </c:val>
          <c:extLst>
            <c:ext xmlns:c16="http://schemas.microsoft.com/office/drawing/2014/chart" uri="{C3380CC4-5D6E-409C-BE32-E72D297353CC}">
              <c16:uniqueId val="{00000001-D1B5-4EB2-AA06-7B7880844C7F}"/>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(ListasDatos!$G$70:$G$72,ListasDatos!$G$75)</c:f>
              <c:numCache>
                <c:formatCode>0.0%</c:formatCode>
                <c:ptCount val="4"/>
                <c:pt idx="0">
                  <c:v>0.77272727272727271</c:v>
                </c:pt>
                <c:pt idx="1">
                  <c:v>0.95238095238095233</c:v>
                </c:pt>
                <c:pt idx="2">
                  <c:v>1</c:v>
                </c:pt>
                <c:pt idx="3">
                  <c:v>0.88888888888888884</c:v>
                </c:pt>
              </c:numCache>
            </c:numRef>
          </c:val>
          <c:extLst>
            <c:ext xmlns:c16="http://schemas.microsoft.com/office/drawing/2014/chart" uri="{C3380CC4-5D6E-409C-BE32-E72D297353CC}">
              <c16:uniqueId val="{00000002-D1B5-4EB2-AA06-7B7880844C7F}"/>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(ListasDatos!$H$70:$H$72,ListasDatos!$H$75)</c:f>
              <c:numCache>
                <c:formatCode>0.0%</c:formatCode>
                <c:ptCount val="4"/>
                <c:pt idx="0">
                  <c:v>1</c:v>
                </c:pt>
                <c:pt idx="1">
                  <c:v>1</c:v>
                </c:pt>
                <c:pt idx="2">
                  <c:v>0</c:v>
                </c:pt>
                <c:pt idx="3">
                  <c:v>1</c:v>
                </c:pt>
              </c:numCache>
            </c:numRef>
          </c:val>
          <c:extLst>
            <c:ext xmlns:c16="http://schemas.microsoft.com/office/drawing/2014/chart" uri="{C3380CC4-5D6E-409C-BE32-E72D297353CC}">
              <c16:uniqueId val="{00000003-D1B5-4EB2-AA06-7B7880844C7F}"/>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(ListasDatos!$I$70:$I$72,ListasDatos!$I$75)</c:f>
              <c:numCache>
                <c:formatCode>0.0%</c:formatCode>
                <c:ptCount val="4"/>
                <c:pt idx="0">
                  <c:v>0.77272727272727271</c:v>
                </c:pt>
                <c:pt idx="1">
                  <c:v>0.9285714285714286</c:v>
                </c:pt>
                <c:pt idx="2">
                  <c:v>0.9375</c:v>
                </c:pt>
                <c:pt idx="3">
                  <c:v>0.97222222222222221</c:v>
                </c:pt>
              </c:numCache>
            </c:numRef>
          </c:val>
          <c:extLst>
            <c:ext xmlns:c16="http://schemas.microsoft.com/office/drawing/2014/chart" uri="{C3380CC4-5D6E-409C-BE32-E72D297353CC}">
              <c16:uniqueId val="{00000004-D1B5-4EB2-AA06-7B7880844C7F}"/>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(ListasDatos!$J$70:$J$72,ListasDatos!$J$75)</c:f>
              <c:numCache>
                <c:formatCode>0.0%</c:formatCode>
                <c:ptCount val="4"/>
                <c:pt idx="0">
                  <c:v>0.93181818181818177</c:v>
                </c:pt>
                <c:pt idx="1">
                  <c:v>0.97619047619047616</c:v>
                </c:pt>
                <c:pt idx="2">
                  <c:v>0</c:v>
                </c:pt>
                <c:pt idx="3">
                  <c:v>1</c:v>
                </c:pt>
              </c:numCache>
            </c:numRef>
          </c:val>
          <c:extLst>
            <c:ext xmlns:c16="http://schemas.microsoft.com/office/drawing/2014/chart" uri="{C3380CC4-5D6E-409C-BE32-E72D297353CC}">
              <c16:uniqueId val="{00000005-D1B5-4EB2-AA06-7B7880844C7F}"/>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(ListasDatos!$K$70:$K$72,ListasDatos!$K$75)</c:f>
              <c:numCache>
                <c:formatCode>0.0%</c:formatCode>
                <c:ptCount val="4"/>
                <c:pt idx="0">
                  <c:v>0.95454545454545459</c:v>
                </c:pt>
                <c:pt idx="1">
                  <c:v>0.95238095238095233</c:v>
                </c:pt>
                <c:pt idx="2">
                  <c:v>1</c:v>
                </c:pt>
                <c:pt idx="3">
                  <c:v>1</c:v>
                </c:pt>
              </c:numCache>
            </c:numRef>
          </c:val>
          <c:extLst>
            <c:ext xmlns:c16="http://schemas.microsoft.com/office/drawing/2014/chart" uri="{C3380CC4-5D6E-409C-BE32-E72D297353CC}">
              <c16:uniqueId val="{00000006-D1B5-4EB2-AA06-7B7880844C7F}"/>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ListasDatos!$L$70:$L$72</c:f>
              <c:numCache>
                <c:formatCode>0.0%</c:formatCode>
                <c:ptCount val="3"/>
                <c:pt idx="0">
                  <c:v>0.90909090909090906</c:v>
                </c:pt>
                <c:pt idx="1">
                  <c:v>0.9285714285714286</c:v>
                </c:pt>
                <c:pt idx="2">
                  <c:v>0</c:v>
                </c:pt>
              </c:numCache>
            </c:numRef>
          </c:val>
          <c:extLst>
            <c:ext xmlns:c16="http://schemas.microsoft.com/office/drawing/2014/chart" uri="{C3380CC4-5D6E-409C-BE32-E72D297353CC}">
              <c16:uniqueId val="{00000007-D1B5-4EB2-AA06-7B7880844C7F}"/>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(ListasDatos!$M$70:$M$72,ListasDatos!$M$75)</c:f>
              <c:numCache>
                <c:formatCode>0.0%</c:formatCode>
                <c:ptCount val="4"/>
                <c:pt idx="0">
                  <c:v>0.90909090909090906</c:v>
                </c:pt>
                <c:pt idx="1">
                  <c:v>0.97619047619047616</c:v>
                </c:pt>
                <c:pt idx="2">
                  <c:v>1</c:v>
                </c:pt>
                <c:pt idx="3">
                  <c:v>0.88888888888888884</c:v>
                </c:pt>
              </c:numCache>
            </c:numRef>
          </c:val>
          <c:extLst>
            <c:ext xmlns:c16="http://schemas.microsoft.com/office/drawing/2014/chart" uri="{C3380CC4-5D6E-409C-BE32-E72D297353CC}">
              <c16:uniqueId val="{00000008-D1B5-4EB2-AA06-7B7880844C7F}"/>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ListasDatos!$N$70:$N$72</c:f>
              <c:numCache>
                <c:formatCode>0.0%</c:formatCode>
                <c:ptCount val="3"/>
                <c:pt idx="0">
                  <c:v>0.95454545454545459</c:v>
                </c:pt>
                <c:pt idx="1">
                  <c:v>0.97619047619047616</c:v>
                </c:pt>
                <c:pt idx="2">
                  <c:v>0</c:v>
                </c:pt>
              </c:numCache>
            </c:numRef>
          </c:val>
          <c:extLst>
            <c:ext xmlns:c16="http://schemas.microsoft.com/office/drawing/2014/chart" uri="{C3380CC4-5D6E-409C-BE32-E72D297353CC}">
              <c16:uniqueId val="{00000009-D1B5-4EB2-AA06-7B7880844C7F}"/>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(ListasDatos!$O$70:$O$72,ListasDatos!$O$75)</c:f>
              <c:numCache>
                <c:formatCode>0.0%</c:formatCode>
                <c:ptCount val="4"/>
                <c:pt idx="0">
                  <c:v>0.84090909090909094</c:v>
                </c:pt>
                <c:pt idx="1">
                  <c:v>0.95238095238095233</c:v>
                </c:pt>
                <c:pt idx="2">
                  <c:v>0</c:v>
                </c:pt>
                <c:pt idx="3">
                  <c:v>1</c:v>
                </c:pt>
              </c:numCache>
            </c:numRef>
          </c:val>
          <c:extLst>
            <c:ext xmlns:c16="http://schemas.microsoft.com/office/drawing/2014/chart" uri="{C3380CC4-5D6E-409C-BE32-E72D297353CC}">
              <c16:uniqueId val="{0000000A-D1B5-4EB2-AA06-7B7880844C7F}"/>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(ListasDatos!$P$70:$P$72,ListasDatos!$P$75)</c:f>
              <c:numCache>
                <c:formatCode>0.0%</c:formatCode>
                <c:ptCount val="4"/>
                <c:pt idx="0">
                  <c:v>0.93181818181818177</c:v>
                </c:pt>
                <c:pt idx="1">
                  <c:v>1.0238095238095237</c:v>
                </c:pt>
                <c:pt idx="2">
                  <c:v>0</c:v>
                </c:pt>
                <c:pt idx="3">
                  <c:v>0.97222222222222221</c:v>
                </c:pt>
              </c:numCache>
            </c:numRef>
          </c:val>
          <c:extLst>
            <c:ext xmlns:c16="http://schemas.microsoft.com/office/drawing/2014/chart" uri="{C3380CC4-5D6E-409C-BE32-E72D297353CC}">
              <c16:uniqueId val="{0000000B-D1B5-4EB2-AA06-7B7880844C7F}"/>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(ListasDatos!$Q$70:$Q$72,ListasDatos!$Q$75)</c:f>
              <c:numCache>
                <c:formatCode>0.0%</c:formatCode>
                <c:ptCount val="4"/>
                <c:pt idx="0">
                  <c:v>0</c:v>
                </c:pt>
                <c:pt idx="1">
                  <c:v>0</c:v>
                </c:pt>
                <c:pt idx="2">
                  <c:v>0</c:v>
                </c:pt>
                <c:pt idx="3">
                  <c:v>0</c:v>
                </c:pt>
              </c:numCache>
            </c:numRef>
          </c:val>
          <c:extLst>
            <c:ext xmlns:c16="http://schemas.microsoft.com/office/drawing/2014/chart" uri="{C3380CC4-5D6E-409C-BE32-E72D297353CC}">
              <c16:uniqueId val="{0000000C-D1B5-4EB2-AA06-7B7880844C7F}"/>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(ListasDatos!$R$70:$R$72,ListasDatos!$R$75)</c:f>
              <c:numCache>
                <c:formatCode>0.0%</c:formatCode>
                <c:ptCount val="4"/>
                <c:pt idx="0">
                  <c:v>0</c:v>
                </c:pt>
                <c:pt idx="1">
                  <c:v>0</c:v>
                </c:pt>
                <c:pt idx="2">
                  <c:v>0</c:v>
                </c:pt>
                <c:pt idx="3">
                  <c:v>0</c:v>
                </c:pt>
              </c:numCache>
            </c:numRef>
          </c:val>
          <c:extLst>
            <c:ext xmlns:c16="http://schemas.microsoft.com/office/drawing/2014/chart" uri="{C3380CC4-5D6E-409C-BE32-E72D297353CC}">
              <c16:uniqueId val="{0000000D-D1B5-4EB2-AA06-7B7880844C7F}"/>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(ListasDatos!$S$70:$S$72,ListasDatos!$S$75)</c:f>
              <c:numCache>
                <c:formatCode>0.0%</c:formatCode>
                <c:ptCount val="4"/>
                <c:pt idx="0">
                  <c:v>0.47916666666666669</c:v>
                </c:pt>
                <c:pt idx="1">
                  <c:v>0.95634920634920639</c:v>
                </c:pt>
                <c:pt idx="2">
                  <c:v>0.8125</c:v>
                </c:pt>
                <c:pt idx="3">
                  <c:v>0.96527777777777768</c:v>
                </c:pt>
              </c:numCache>
            </c:numRef>
          </c:val>
          <c:extLst>
            <c:ext xmlns:c16="http://schemas.microsoft.com/office/drawing/2014/chart" uri="{C3380CC4-5D6E-409C-BE32-E72D297353CC}">
              <c16:uniqueId val="{0000000F-D1B5-4EB2-AA06-7B7880844C7F}"/>
            </c:ext>
          </c:extLst>
        </c:ser>
        <c:dLbls>
          <c:showLegendKey val="0"/>
          <c:showVal val="0"/>
          <c:showCatName val="0"/>
          <c:showSerName val="0"/>
          <c:showPercent val="0"/>
          <c:showBubbleSize val="0"/>
        </c:dLbls>
        <c:gapWidth val="219"/>
        <c:overlap val="-27"/>
        <c:axId val="-1109552288"/>
        <c:axId val="-1109548480"/>
      </c:barChart>
      <c:catAx>
        <c:axId val="-1109552288"/>
        <c:scaling>
          <c:orientation val="minMax"/>
        </c:scaling>
        <c:delete val="1"/>
        <c:axPos val="b"/>
        <c:numFmt formatCode="General" sourceLinked="1"/>
        <c:majorTickMark val="none"/>
        <c:minorTickMark val="none"/>
        <c:tickLblPos val="nextTo"/>
        <c:crossAx val="-1109548480"/>
        <c:crosses val="autoZero"/>
        <c:auto val="1"/>
        <c:lblAlgn val="ctr"/>
        <c:lblOffset val="100"/>
        <c:noMultiLvlLbl val="0"/>
      </c:catAx>
      <c:valAx>
        <c:axId val="-1109548480"/>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52288"/>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D. LABORATORIO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(ListasDatos!$E$70:$E$72,ListasDatos!$E$75)</c:f>
              <c:numCache>
                <c:formatCode>0.0%</c:formatCode>
                <c:ptCount val="4"/>
                <c:pt idx="0">
                  <c:v>0.84090909090909094</c:v>
                </c:pt>
                <c:pt idx="1">
                  <c:v>0.97619047619047616</c:v>
                </c:pt>
                <c:pt idx="2">
                  <c:v>0.9375</c:v>
                </c:pt>
                <c:pt idx="3">
                  <c:v>0.94444444444444442</c:v>
                </c:pt>
              </c:numCache>
            </c:numRef>
          </c:val>
          <c:extLst>
            <c:ext xmlns:c16="http://schemas.microsoft.com/office/drawing/2014/chart" uri="{C3380CC4-5D6E-409C-BE32-E72D297353CC}">
              <c16:uniqueId val="{00000000-B215-468A-A932-1573077C5AF9}"/>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(ListasDatos!$F$70:$F$72,ListasDatos!$F$75)</c:f>
              <c:numCache>
                <c:formatCode>0.0%</c:formatCode>
                <c:ptCount val="4"/>
                <c:pt idx="0">
                  <c:v>0.95454545454545459</c:v>
                </c:pt>
                <c:pt idx="1">
                  <c:v>1</c:v>
                </c:pt>
                <c:pt idx="2">
                  <c:v>0</c:v>
                </c:pt>
                <c:pt idx="3">
                  <c:v>1</c:v>
                </c:pt>
              </c:numCache>
            </c:numRef>
          </c:val>
          <c:extLst>
            <c:ext xmlns:c16="http://schemas.microsoft.com/office/drawing/2014/chart" uri="{C3380CC4-5D6E-409C-BE32-E72D297353CC}">
              <c16:uniqueId val="{00000001-B215-468A-A932-1573077C5AF9}"/>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(ListasDatos!$G$70:$G$72,ListasDatos!$G$75)</c:f>
              <c:numCache>
                <c:formatCode>0.0%</c:formatCode>
                <c:ptCount val="4"/>
                <c:pt idx="0">
                  <c:v>0.77272727272727271</c:v>
                </c:pt>
                <c:pt idx="1">
                  <c:v>0.95238095238095233</c:v>
                </c:pt>
                <c:pt idx="2">
                  <c:v>1</c:v>
                </c:pt>
                <c:pt idx="3">
                  <c:v>0.88888888888888884</c:v>
                </c:pt>
              </c:numCache>
            </c:numRef>
          </c:val>
          <c:extLst>
            <c:ext xmlns:c16="http://schemas.microsoft.com/office/drawing/2014/chart" uri="{C3380CC4-5D6E-409C-BE32-E72D297353CC}">
              <c16:uniqueId val="{00000002-B215-468A-A932-1573077C5AF9}"/>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(ListasDatos!$H$70:$H$72,ListasDatos!$H$75)</c:f>
              <c:numCache>
                <c:formatCode>0.0%</c:formatCode>
                <c:ptCount val="4"/>
                <c:pt idx="0">
                  <c:v>1</c:v>
                </c:pt>
                <c:pt idx="1">
                  <c:v>1</c:v>
                </c:pt>
                <c:pt idx="2">
                  <c:v>0</c:v>
                </c:pt>
                <c:pt idx="3">
                  <c:v>1</c:v>
                </c:pt>
              </c:numCache>
            </c:numRef>
          </c:val>
          <c:extLst>
            <c:ext xmlns:c16="http://schemas.microsoft.com/office/drawing/2014/chart" uri="{C3380CC4-5D6E-409C-BE32-E72D297353CC}">
              <c16:uniqueId val="{00000003-B215-468A-A932-1573077C5AF9}"/>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(ListasDatos!$I$70:$I$72,ListasDatos!$I$75)</c:f>
              <c:numCache>
                <c:formatCode>0.0%</c:formatCode>
                <c:ptCount val="4"/>
                <c:pt idx="0">
                  <c:v>0.77272727272727271</c:v>
                </c:pt>
                <c:pt idx="1">
                  <c:v>0.9285714285714286</c:v>
                </c:pt>
                <c:pt idx="2">
                  <c:v>0.9375</c:v>
                </c:pt>
                <c:pt idx="3">
                  <c:v>0.97222222222222221</c:v>
                </c:pt>
              </c:numCache>
            </c:numRef>
          </c:val>
          <c:extLst>
            <c:ext xmlns:c16="http://schemas.microsoft.com/office/drawing/2014/chart" uri="{C3380CC4-5D6E-409C-BE32-E72D297353CC}">
              <c16:uniqueId val="{00000004-B215-468A-A932-1573077C5AF9}"/>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(ListasDatos!$J$70:$J$72,ListasDatos!$J$75)</c:f>
              <c:numCache>
                <c:formatCode>0.0%</c:formatCode>
                <c:ptCount val="4"/>
                <c:pt idx="0">
                  <c:v>0.93181818181818177</c:v>
                </c:pt>
                <c:pt idx="1">
                  <c:v>0.97619047619047616</c:v>
                </c:pt>
                <c:pt idx="2">
                  <c:v>0</c:v>
                </c:pt>
                <c:pt idx="3">
                  <c:v>1</c:v>
                </c:pt>
              </c:numCache>
            </c:numRef>
          </c:val>
          <c:extLst>
            <c:ext xmlns:c16="http://schemas.microsoft.com/office/drawing/2014/chart" uri="{C3380CC4-5D6E-409C-BE32-E72D297353CC}">
              <c16:uniqueId val="{00000005-B215-468A-A932-1573077C5AF9}"/>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(ListasDatos!$K$70:$K$72,ListasDatos!$K$75)</c:f>
              <c:numCache>
                <c:formatCode>0.0%</c:formatCode>
                <c:ptCount val="4"/>
                <c:pt idx="0">
                  <c:v>0.95454545454545459</c:v>
                </c:pt>
                <c:pt idx="1">
                  <c:v>0.95238095238095233</c:v>
                </c:pt>
                <c:pt idx="2">
                  <c:v>1</c:v>
                </c:pt>
                <c:pt idx="3">
                  <c:v>1</c:v>
                </c:pt>
              </c:numCache>
            </c:numRef>
          </c:val>
          <c:extLst>
            <c:ext xmlns:c16="http://schemas.microsoft.com/office/drawing/2014/chart" uri="{C3380CC4-5D6E-409C-BE32-E72D297353CC}">
              <c16:uniqueId val="{00000006-B215-468A-A932-1573077C5AF9}"/>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ListasDatos!$L$70:$L$72</c:f>
              <c:numCache>
                <c:formatCode>0.0%</c:formatCode>
                <c:ptCount val="3"/>
                <c:pt idx="0">
                  <c:v>0.90909090909090906</c:v>
                </c:pt>
                <c:pt idx="1">
                  <c:v>0.9285714285714286</c:v>
                </c:pt>
                <c:pt idx="2">
                  <c:v>0</c:v>
                </c:pt>
              </c:numCache>
            </c:numRef>
          </c:val>
          <c:extLst>
            <c:ext xmlns:c16="http://schemas.microsoft.com/office/drawing/2014/chart" uri="{C3380CC4-5D6E-409C-BE32-E72D297353CC}">
              <c16:uniqueId val="{00000007-B215-468A-A932-1573077C5AF9}"/>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(ListasDatos!$M$70:$M$72,ListasDatos!$M$75)</c:f>
              <c:numCache>
                <c:formatCode>0.0%</c:formatCode>
                <c:ptCount val="4"/>
                <c:pt idx="0">
                  <c:v>0.90909090909090906</c:v>
                </c:pt>
                <c:pt idx="1">
                  <c:v>0.97619047619047616</c:v>
                </c:pt>
                <c:pt idx="2">
                  <c:v>1</c:v>
                </c:pt>
                <c:pt idx="3">
                  <c:v>0.88888888888888884</c:v>
                </c:pt>
              </c:numCache>
            </c:numRef>
          </c:val>
          <c:extLst>
            <c:ext xmlns:c16="http://schemas.microsoft.com/office/drawing/2014/chart" uri="{C3380CC4-5D6E-409C-BE32-E72D297353CC}">
              <c16:uniqueId val="{00000008-B215-468A-A932-1573077C5AF9}"/>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ListasDatos!$N$70:$N$72</c:f>
              <c:numCache>
                <c:formatCode>0.0%</c:formatCode>
                <c:ptCount val="3"/>
                <c:pt idx="0">
                  <c:v>0.95454545454545459</c:v>
                </c:pt>
                <c:pt idx="1">
                  <c:v>0.97619047619047616</c:v>
                </c:pt>
                <c:pt idx="2">
                  <c:v>0</c:v>
                </c:pt>
              </c:numCache>
            </c:numRef>
          </c:val>
          <c:extLst>
            <c:ext xmlns:c16="http://schemas.microsoft.com/office/drawing/2014/chart" uri="{C3380CC4-5D6E-409C-BE32-E72D297353CC}">
              <c16:uniqueId val="{00000009-B215-468A-A932-1573077C5AF9}"/>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(ListasDatos!$O$70:$O$72,ListasDatos!$O$75)</c:f>
              <c:numCache>
                <c:formatCode>0.0%</c:formatCode>
                <c:ptCount val="4"/>
                <c:pt idx="0">
                  <c:v>0.84090909090909094</c:v>
                </c:pt>
                <c:pt idx="1">
                  <c:v>0.95238095238095233</c:v>
                </c:pt>
                <c:pt idx="2">
                  <c:v>0</c:v>
                </c:pt>
                <c:pt idx="3">
                  <c:v>1</c:v>
                </c:pt>
              </c:numCache>
            </c:numRef>
          </c:val>
          <c:extLst>
            <c:ext xmlns:c16="http://schemas.microsoft.com/office/drawing/2014/chart" uri="{C3380CC4-5D6E-409C-BE32-E72D297353CC}">
              <c16:uniqueId val="{0000000A-B215-468A-A932-1573077C5AF9}"/>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(ListasDatos!$P$70:$P$72,ListasDatos!$P$75)</c:f>
              <c:numCache>
                <c:formatCode>0.0%</c:formatCode>
                <c:ptCount val="4"/>
                <c:pt idx="0">
                  <c:v>0.93181818181818177</c:v>
                </c:pt>
                <c:pt idx="1">
                  <c:v>1.0238095238095237</c:v>
                </c:pt>
                <c:pt idx="2">
                  <c:v>0</c:v>
                </c:pt>
                <c:pt idx="3">
                  <c:v>0.97222222222222221</c:v>
                </c:pt>
              </c:numCache>
            </c:numRef>
          </c:val>
          <c:extLst>
            <c:ext xmlns:c16="http://schemas.microsoft.com/office/drawing/2014/chart" uri="{C3380CC4-5D6E-409C-BE32-E72D297353CC}">
              <c16:uniqueId val="{0000000B-B215-468A-A932-1573077C5AF9}"/>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(ListasDatos!$Q$70:$Q$72,ListasDatos!$Q$75)</c:f>
              <c:numCache>
                <c:formatCode>0.0%</c:formatCode>
                <c:ptCount val="4"/>
                <c:pt idx="0">
                  <c:v>0</c:v>
                </c:pt>
                <c:pt idx="1">
                  <c:v>0</c:v>
                </c:pt>
                <c:pt idx="2">
                  <c:v>0</c:v>
                </c:pt>
                <c:pt idx="3">
                  <c:v>0</c:v>
                </c:pt>
              </c:numCache>
            </c:numRef>
          </c:val>
          <c:extLst>
            <c:ext xmlns:c16="http://schemas.microsoft.com/office/drawing/2014/chart" uri="{C3380CC4-5D6E-409C-BE32-E72D297353CC}">
              <c16:uniqueId val="{0000000C-B215-468A-A932-1573077C5AF9}"/>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(ListasDatos!$R$70:$R$72,ListasDatos!$R$75)</c:f>
              <c:numCache>
                <c:formatCode>0.0%</c:formatCode>
                <c:ptCount val="4"/>
                <c:pt idx="0">
                  <c:v>0</c:v>
                </c:pt>
                <c:pt idx="1">
                  <c:v>0</c:v>
                </c:pt>
                <c:pt idx="2">
                  <c:v>0</c:v>
                </c:pt>
                <c:pt idx="3">
                  <c:v>0</c:v>
                </c:pt>
              </c:numCache>
            </c:numRef>
          </c:val>
          <c:extLst>
            <c:ext xmlns:c16="http://schemas.microsoft.com/office/drawing/2014/chart" uri="{C3380CC4-5D6E-409C-BE32-E72D297353CC}">
              <c16:uniqueId val="{0000000D-B215-468A-A932-1573077C5AF9}"/>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(ListasDatos!$S$70:$S$72,ListasDatos!$S$75)</c:f>
              <c:numCache>
                <c:formatCode>0.0%</c:formatCode>
                <c:ptCount val="4"/>
                <c:pt idx="0">
                  <c:v>0.47916666666666669</c:v>
                </c:pt>
                <c:pt idx="1">
                  <c:v>0.95634920634920639</c:v>
                </c:pt>
                <c:pt idx="2">
                  <c:v>0.8125</c:v>
                </c:pt>
                <c:pt idx="3">
                  <c:v>0.96527777777777768</c:v>
                </c:pt>
              </c:numCache>
            </c:numRef>
          </c:val>
          <c:extLst>
            <c:ext xmlns:c16="http://schemas.microsoft.com/office/drawing/2014/chart" uri="{C3380CC4-5D6E-409C-BE32-E72D297353CC}">
              <c16:uniqueId val="{0000000F-B215-468A-A932-1573077C5AF9}"/>
            </c:ext>
          </c:extLst>
        </c:ser>
        <c:dLbls>
          <c:showLegendKey val="0"/>
          <c:showVal val="0"/>
          <c:showCatName val="0"/>
          <c:showSerName val="0"/>
          <c:showPercent val="0"/>
          <c:showBubbleSize val="0"/>
        </c:dLbls>
        <c:gapWidth val="219"/>
        <c:overlap val="-27"/>
        <c:axId val="-1109551744"/>
        <c:axId val="-1109551200"/>
      </c:barChart>
      <c:catAx>
        <c:axId val="-1109551744"/>
        <c:scaling>
          <c:orientation val="minMax"/>
        </c:scaling>
        <c:delete val="1"/>
        <c:axPos val="b"/>
        <c:numFmt formatCode="General" sourceLinked="1"/>
        <c:majorTickMark val="none"/>
        <c:minorTickMark val="none"/>
        <c:tickLblPos val="nextTo"/>
        <c:crossAx val="-1109551200"/>
        <c:crosses val="autoZero"/>
        <c:auto val="1"/>
        <c:lblAlgn val="ctr"/>
        <c:lblOffset val="100"/>
        <c:noMultiLvlLbl val="0"/>
      </c:catAx>
      <c:valAx>
        <c:axId val="-1109551200"/>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51744"/>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E. ENVASADO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(ListasDatos!$E$70:$E$72,ListasDatos!$E$75)</c:f>
              <c:numCache>
                <c:formatCode>0.0%</c:formatCode>
                <c:ptCount val="4"/>
                <c:pt idx="0">
                  <c:v>0.84090909090909094</c:v>
                </c:pt>
                <c:pt idx="1">
                  <c:v>0.97619047619047616</c:v>
                </c:pt>
                <c:pt idx="2">
                  <c:v>0.9375</c:v>
                </c:pt>
                <c:pt idx="3">
                  <c:v>0.94444444444444442</c:v>
                </c:pt>
              </c:numCache>
            </c:numRef>
          </c:val>
          <c:extLst>
            <c:ext xmlns:c16="http://schemas.microsoft.com/office/drawing/2014/chart" uri="{C3380CC4-5D6E-409C-BE32-E72D297353CC}">
              <c16:uniqueId val="{00000000-DC70-4927-995E-C05F50FBD86C}"/>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(ListasDatos!$F$70:$F$72,ListasDatos!$F$75)</c:f>
              <c:numCache>
                <c:formatCode>0.0%</c:formatCode>
                <c:ptCount val="4"/>
                <c:pt idx="0">
                  <c:v>0.95454545454545459</c:v>
                </c:pt>
                <c:pt idx="1">
                  <c:v>1</c:v>
                </c:pt>
                <c:pt idx="2">
                  <c:v>0</c:v>
                </c:pt>
                <c:pt idx="3">
                  <c:v>1</c:v>
                </c:pt>
              </c:numCache>
            </c:numRef>
          </c:val>
          <c:extLst>
            <c:ext xmlns:c16="http://schemas.microsoft.com/office/drawing/2014/chart" uri="{C3380CC4-5D6E-409C-BE32-E72D297353CC}">
              <c16:uniqueId val="{00000001-DC70-4927-995E-C05F50FBD86C}"/>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(ListasDatos!$G$70:$G$72,ListasDatos!$G$75)</c:f>
              <c:numCache>
                <c:formatCode>0.0%</c:formatCode>
                <c:ptCount val="4"/>
                <c:pt idx="0">
                  <c:v>0.77272727272727271</c:v>
                </c:pt>
                <c:pt idx="1">
                  <c:v>0.95238095238095233</c:v>
                </c:pt>
                <c:pt idx="2">
                  <c:v>1</c:v>
                </c:pt>
                <c:pt idx="3">
                  <c:v>0.88888888888888884</c:v>
                </c:pt>
              </c:numCache>
            </c:numRef>
          </c:val>
          <c:extLst>
            <c:ext xmlns:c16="http://schemas.microsoft.com/office/drawing/2014/chart" uri="{C3380CC4-5D6E-409C-BE32-E72D297353CC}">
              <c16:uniqueId val="{00000002-DC70-4927-995E-C05F50FBD86C}"/>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(ListasDatos!$H$70:$H$72,ListasDatos!$H$75)</c:f>
              <c:numCache>
                <c:formatCode>0.0%</c:formatCode>
                <c:ptCount val="4"/>
                <c:pt idx="0">
                  <c:v>1</c:v>
                </c:pt>
                <c:pt idx="1">
                  <c:v>1</c:v>
                </c:pt>
                <c:pt idx="2">
                  <c:v>0</c:v>
                </c:pt>
                <c:pt idx="3">
                  <c:v>1</c:v>
                </c:pt>
              </c:numCache>
            </c:numRef>
          </c:val>
          <c:extLst>
            <c:ext xmlns:c16="http://schemas.microsoft.com/office/drawing/2014/chart" uri="{C3380CC4-5D6E-409C-BE32-E72D297353CC}">
              <c16:uniqueId val="{00000003-DC70-4927-995E-C05F50FBD86C}"/>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(ListasDatos!$I$70:$I$72,ListasDatos!$I$75)</c:f>
              <c:numCache>
                <c:formatCode>0.0%</c:formatCode>
                <c:ptCount val="4"/>
                <c:pt idx="0">
                  <c:v>0.77272727272727271</c:v>
                </c:pt>
                <c:pt idx="1">
                  <c:v>0.9285714285714286</c:v>
                </c:pt>
                <c:pt idx="2">
                  <c:v>0.9375</c:v>
                </c:pt>
                <c:pt idx="3">
                  <c:v>0.97222222222222221</c:v>
                </c:pt>
              </c:numCache>
            </c:numRef>
          </c:val>
          <c:extLst>
            <c:ext xmlns:c16="http://schemas.microsoft.com/office/drawing/2014/chart" uri="{C3380CC4-5D6E-409C-BE32-E72D297353CC}">
              <c16:uniqueId val="{00000004-DC70-4927-995E-C05F50FBD86C}"/>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(ListasDatos!$J$70:$J$72,ListasDatos!$J$75)</c:f>
              <c:numCache>
                <c:formatCode>0.0%</c:formatCode>
                <c:ptCount val="4"/>
                <c:pt idx="0">
                  <c:v>0.93181818181818177</c:v>
                </c:pt>
                <c:pt idx="1">
                  <c:v>0.97619047619047616</c:v>
                </c:pt>
                <c:pt idx="2">
                  <c:v>0</c:v>
                </c:pt>
                <c:pt idx="3">
                  <c:v>1</c:v>
                </c:pt>
              </c:numCache>
            </c:numRef>
          </c:val>
          <c:extLst>
            <c:ext xmlns:c16="http://schemas.microsoft.com/office/drawing/2014/chart" uri="{C3380CC4-5D6E-409C-BE32-E72D297353CC}">
              <c16:uniqueId val="{00000005-DC70-4927-995E-C05F50FBD86C}"/>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(ListasDatos!$K$70:$K$72,ListasDatos!$K$75)</c:f>
              <c:numCache>
                <c:formatCode>0.0%</c:formatCode>
                <c:ptCount val="4"/>
                <c:pt idx="0">
                  <c:v>0.95454545454545459</c:v>
                </c:pt>
                <c:pt idx="1">
                  <c:v>0.95238095238095233</c:v>
                </c:pt>
                <c:pt idx="2">
                  <c:v>1</c:v>
                </c:pt>
                <c:pt idx="3">
                  <c:v>1</c:v>
                </c:pt>
              </c:numCache>
            </c:numRef>
          </c:val>
          <c:extLst>
            <c:ext xmlns:c16="http://schemas.microsoft.com/office/drawing/2014/chart" uri="{C3380CC4-5D6E-409C-BE32-E72D297353CC}">
              <c16:uniqueId val="{00000006-DC70-4927-995E-C05F50FBD86C}"/>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ListasDatos!$L$70:$L$72</c:f>
              <c:numCache>
                <c:formatCode>0.0%</c:formatCode>
                <c:ptCount val="3"/>
                <c:pt idx="0">
                  <c:v>0.90909090909090906</c:v>
                </c:pt>
                <c:pt idx="1">
                  <c:v>0.9285714285714286</c:v>
                </c:pt>
                <c:pt idx="2">
                  <c:v>0</c:v>
                </c:pt>
              </c:numCache>
            </c:numRef>
          </c:val>
          <c:extLst>
            <c:ext xmlns:c16="http://schemas.microsoft.com/office/drawing/2014/chart" uri="{C3380CC4-5D6E-409C-BE32-E72D297353CC}">
              <c16:uniqueId val="{00000007-DC70-4927-995E-C05F50FBD86C}"/>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(ListasDatos!$M$70:$M$72,ListasDatos!$M$75)</c:f>
              <c:numCache>
                <c:formatCode>0.0%</c:formatCode>
                <c:ptCount val="4"/>
                <c:pt idx="0">
                  <c:v>0.90909090909090906</c:v>
                </c:pt>
                <c:pt idx="1">
                  <c:v>0.97619047619047616</c:v>
                </c:pt>
                <c:pt idx="2">
                  <c:v>1</c:v>
                </c:pt>
                <c:pt idx="3">
                  <c:v>0.88888888888888884</c:v>
                </c:pt>
              </c:numCache>
            </c:numRef>
          </c:val>
          <c:extLst>
            <c:ext xmlns:c16="http://schemas.microsoft.com/office/drawing/2014/chart" uri="{C3380CC4-5D6E-409C-BE32-E72D297353CC}">
              <c16:uniqueId val="{00000008-DC70-4927-995E-C05F50FBD86C}"/>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ListasDatos!$N$70:$N$72</c:f>
              <c:numCache>
                <c:formatCode>0.0%</c:formatCode>
                <c:ptCount val="3"/>
                <c:pt idx="0">
                  <c:v>0.95454545454545459</c:v>
                </c:pt>
                <c:pt idx="1">
                  <c:v>0.97619047619047616</c:v>
                </c:pt>
                <c:pt idx="2">
                  <c:v>0</c:v>
                </c:pt>
              </c:numCache>
            </c:numRef>
          </c:val>
          <c:extLst>
            <c:ext xmlns:c16="http://schemas.microsoft.com/office/drawing/2014/chart" uri="{C3380CC4-5D6E-409C-BE32-E72D297353CC}">
              <c16:uniqueId val="{00000009-DC70-4927-995E-C05F50FBD86C}"/>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(ListasDatos!$O$70:$O$72,ListasDatos!$O$75)</c:f>
              <c:numCache>
                <c:formatCode>0.0%</c:formatCode>
                <c:ptCount val="4"/>
                <c:pt idx="0">
                  <c:v>0.84090909090909094</c:v>
                </c:pt>
                <c:pt idx="1">
                  <c:v>0.95238095238095233</c:v>
                </c:pt>
                <c:pt idx="2">
                  <c:v>0</c:v>
                </c:pt>
                <c:pt idx="3">
                  <c:v>1</c:v>
                </c:pt>
              </c:numCache>
            </c:numRef>
          </c:val>
          <c:extLst>
            <c:ext xmlns:c16="http://schemas.microsoft.com/office/drawing/2014/chart" uri="{C3380CC4-5D6E-409C-BE32-E72D297353CC}">
              <c16:uniqueId val="{0000000A-DC70-4927-995E-C05F50FBD86C}"/>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(ListasDatos!$P$70:$P$72,ListasDatos!$P$75)</c:f>
              <c:numCache>
                <c:formatCode>0.0%</c:formatCode>
                <c:ptCount val="4"/>
                <c:pt idx="0">
                  <c:v>0.93181818181818177</c:v>
                </c:pt>
                <c:pt idx="1">
                  <c:v>1.0238095238095237</c:v>
                </c:pt>
                <c:pt idx="2">
                  <c:v>0</c:v>
                </c:pt>
                <c:pt idx="3">
                  <c:v>0.97222222222222221</c:v>
                </c:pt>
              </c:numCache>
            </c:numRef>
          </c:val>
          <c:extLst>
            <c:ext xmlns:c16="http://schemas.microsoft.com/office/drawing/2014/chart" uri="{C3380CC4-5D6E-409C-BE32-E72D297353CC}">
              <c16:uniqueId val="{0000000B-DC70-4927-995E-C05F50FBD86C}"/>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(ListasDatos!$Q$70:$Q$72,ListasDatos!$Q$75)</c:f>
              <c:numCache>
                <c:formatCode>0.0%</c:formatCode>
                <c:ptCount val="4"/>
                <c:pt idx="0">
                  <c:v>0</c:v>
                </c:pt>
                <c:pt idx="1">
                  <c:v>0</c:v>
                </c:pt>
                <c:pt idx="2">
                  <c:v>0</c:v>
                </c:pt>
                <c:pt idx="3">
                  <c:v>0</c:v>
                </c:pt>
              </c:numCache>
            </c:numRef>
          </c:val>
          <c:extLst>
            <c:ext xmlns:c16="http://schemas.microsoft.com/office/drawing/2014/chart" uri="{C3380CC4-5D6E-409C-BE32-E72D297353CC}">
              <c16:uniqueId val="{0000000C-DC70-4927-995E-C05F50FBD86C}"/>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(ListasDatos!$R$70:$R$72,ListasDatos!$R$75)</c:f>
              <c:numCache>
                <c:formatCode>0.0%</c:formatCode>
                <c:ptCount val="4"/>
                <c:pt idx="0">
                  <c:v>0</c:v>
                </c:pt>
                <c:pt idx="1">
                  <c:v>0</c:v>
                </c:pt>
                <c:pt idx="2">
                  <c:v>0</c:v>
                </c:pt>
                <c:pt idx="3">
                  <c:v>0</c:v>
                </c:pt>
              </c:numCache>
            </c:numRef>
          </c:val>
          <c:extLst>
            <c:ext xmlns:c16="http://schemas.microsoft.com/office/drawing/2014/chart" uri="{C3380CC4-5D6E-409C-BE32-E72D297353CC}">
              <c16:uniqueId val="{0000000D-DC70-4927-995E-C05F50FBD86C}"/>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(ListasDatos!$S$70:$S$72,ListasDatos!$S$75)</c:f>
              <c:numCache>
                <c:formatCode>0.0%</c:formatCode>
                <c:ptCount val="4"/>
                <c:pt idx="0">
                  <c:v>0.47916666666666669</c:v>
                </c:pt>
                <c:pt idx="1">
                  <c:v>0.95634920634920639</c:v>
                </c:pt>
                <c:pt idx="2">
                  <c:v>0.8125</c:v>
                </c:pt>
                <c:pt idx="3">
                  <c:v>0.96527777777777768</c:v>
                </c:pt>
              </c:numCache>
            </c:numRef>
          </c:val>
          <c:extLst>
            <c:ext xmlns:c16="http://schemas.microsoft.com/office/drawing/2014/chart" uri="{C3380CC4-5D6E-409C-BE32-E72D297353CC}">
              <c16:uniqueId val="{0000000F-DC70-4927-995E-C05F50FBD86C}"/>
            </c:ext>
          </c:extLst>
        </c:ser>
        <c:dLbls>
          <c:showLegendKey val="0"/>
          <c:showVal val="0"/>
          <c:showCatName val="0"/>
          <c:showSerName val="0"/>
          <c:showPercent val="0"/>
          <c:showBubbleSize val="0"/>
        </c:dLbls>
        <c:gapWidth val="219"/>
        <c:overlap val="-27"/>
        <c:axId val="-1109547936"/>
        <c:axId val="-1109546304"/>
      </c:barChart>
      <c:catAx>
        <c:axId val="-1109547936"/>
        <c:scaling>
          <c:orientation val="minMax"/>
        </c:scaling>
        <c:delete val="1"/>
        <c:axPos val="b"/>
        <c:numFmt formatCode="General" sourceLinked="1"/>
        <c:majorTickMark val="none"/>
        <c:minorTickMark val="none"/>
        <c:tickLblPos val="nextTo"/>
        <c:crossAx val="-1109546304"/>
        <c:crosses val="autoZero"/>
        <c:auto val="1"/>
        <c:lblAlgn val="ctr"/>
        <c:lblOffset val="100"/>
        <c:noMultiLvlLbl val="0"/>
      </c:catAx>
      <c:valAx>
        <c:axId val="-1109546304"/>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47936"/>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F. EXTERIORES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ListasDatos!$E$69:$E$75</c15:sqref>
                  </c15:fullRef>
                </c:ext>
              </c:extLst>
              <c:f>(ListasDatos!$E$70:$E$72,ListasDatos!$E$75)</c:f>
              <c:numCache>
                <c:formatCode>0.0%</c:formatCode>
                <c:ptCount val="4"/>
                <c:pt idx="0">
                  <c:v>0.84090909090909094</c:v>
                </c:pt>
                <c:pt idx="1">
                  <c:v>0.97619047619047616</c:v>
                </c:pt>
                <c:pt idx="2">
                  <c:v>0.9375</c:v>
                </c:pt>
                <c:pt idx="3">
                  <c:v>0.94444444444444442</c:v>
                </c:pt>
              </c:numCache>
            </c:numRef>
          </c:val>
          <c:extLst>
            <c:ext xmlns:c16="http://schemas.microsoft.com/office/drawing/2014/chart" uri="{C3380CC4-5D6E-409C-BE32-E72D297353CC}">
              <c16:uniqueId val="{00000000-BCD4-4C96-AD05-059803A907EB}"/>
            </c:ext>
          </c:extLst>
        </c:ser>
        <c:ser>
          <c:idx val="1"/>
          <c:order val="1"/>
          <c:tx>
            <c:strRef>
              <c:f>ListasDatos!$F$61</c:f>
              <c:strCache>
                <c:ptCount val="1"/>
                <c:pt idx="0">
                  <c:v>febrero</c:v>
                </c:pt>
              </c:strCache>
            </c:strRef>
          </c:tx>
          <c:spPr>
            <a:solidFill>
              <a:schemeClr val="accent2"/>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ListasDatos!$F$69:$F$75</c15:sqref>
                  </c15:fullRef>
                </c:ext>
              </c:extLst>
              <c:f>(ListasDatos!$F$70:$F$72,ListasDatos!$F$75)</c:f>
              <c:numCache>
                <c:formatCode>0.0%</c:formatCode>
                <c:ptCount val="4"/>
                <c:pt idx="0">
                  <c:v>0.95454545454545459</c:v>
                </c:pt>
                <c:pt idx="1">
                  <c:v>1</c:v>
                </c:pt>
                <c:pt idx="2">
                  <c:v>0</c:v>
                </c:pt>
                <c:pt idx="3">
                  <c:v>1</c:v>
                </c:pt>
              </c:numCache>
            </c:numRef>
          </c:val>
          <c:extLst>
            <c:ext xmlns:c16="http://schemas.microsoft.com/office/drawing/2014/chart" uri="{C3380CC4-5D6E-409C-BE32-E72D297353CC}">
              <c16:uniqueId val="{00000001-BCD4-4C96-AD05-059803A907EB}"/>
            </c:ext>
          </c:extLst>
        </c:ser>
        <c:ser>
          <c:idx val="2"/>
          <c:order val="2"/>
          <c:tx>
            <c:strRef>
              <c:f>ListasDatos!$G$61</c:f>
              <c:strCache>
                <c:ptCount val="1"/>
                <c:pt idx="0">
                  <c:v>marzo</c:v>
                </c:pt>
              </c:strCache>
            </c:strRef>
          </c:tx>
          <c:spPr>
            <a:solidFill>
              <a:schemeClr val="accent3"/>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ListasDatos!$G$69:$G$75</c15:sqref>
                  </c15:fullRef>
                </c:ext>
              </c:extLst>
              <c:f>(ListasDatos!$G$70:$G$72,ListasDatos!$G$75)</c:f>
              <c:numCache>
                <c:formatCode>0.0%</c:formatCode>
                <c:ptCount val="4"/>
                <c:pt idx="0">
                  <c:v>0.77272727272727271</c:v>
                </c:pt>
                <c:pt idx="1">
                  <c:v>0.95238095238095233</c:v>
                </c:pt>
                <c:pt idx="2">
                  <c:v>1</c:v>
                </c:pt>
                <c:pt idx="3">
                  <c:v>0.88888888888888884</c:v>
                </c:pt>
              </c:numCache>
            </c:numRef>
          </c:val>
          <c:extLst>
            <c:ext xmlns:c16="http://schemas.microsoft.com/office/drawing/2014/chart" uri="{C3380CC4-5D6E-409C-BE32-E72D297353CC}">
              <c16:uniqueId val="{00000002-BCD4-4C96-AD05-059803A907EB}"/>
            </c:ext>
          </c:extLst>
        </c:ser>
        <c:ser>
          <c:idx val="3"/>
          <c:order val="3"/>
          <c:tx>
            <c:strRef>
              <c:f>ListasDatos!$H$61</c:f>
              <c:strCache>
                <c:ptCount val="1"/>
                <c:pt idx="0">
                  <c:v>abril</c:v>
                </c:pt>
              </c:strCache>
            </c:strRef>
          </c:tx>
          <c:spPr>
            <a:solidFill>
              <a:schemeClr val="accent4"/>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ListasDatos!$H$69:$H$75</c15:sqref>
                  </c15:fullRef>
                </c:ext>
              </c:extLst>
              <c:f>(ListasDatos!$H$70:$H$72,ListasDatos!$H$75)</c:f>
              <c:numCache>
                <c:formatCode>0.0%</c:formatCode>
                <c:ptCount val="4"/>
                <c:pt idx="0">
                  <c:v>1</c:v>
                </c:pt>
                <c:pt idx="1">
                  <c:v>1</c:v>
                </c:pt>
                <c:pt idx="2">
                  <c:v>0</c:v>
                </c:pt>
                <c:pt idx="3">
                  <c:v>1</c:v>
                </c:pt>
              </c:numCache>
            </c:numRef>
          </c:val>
          <c:extLst>
            <c:ext xmlns:c16="http://schemas.microsoft.com/office/drawing/2014/chart" uri="{C3380CC4-5D6E-409C-BE32-E72D297353CC}">
              <c16:uniqueId val="{00000003-BCD4-4C96-AD05-059803A907EB}"/>
            </c:ext>
          </c:extLst>
        </c:ser>
        <c:ser>
          <c:idx val="4"/>
          <c:order val="4"/>
          <c:tx>
            <c:strRef>
              <c:f>ListasDatos!$I$61</c:f>
              <c:strCache>
                <c:ptCount val="1"/>
                <c:pt idx="0">
                  <c:v>mayo</c:v>
                </c:pt>
              </c:strCache>
            </c:strRef>
          </c:tx>
          <c:spPr>
            <a:solidFill>
              <a:schemeClr val="accent5"/>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ListasDatos!$I$69:$I$75</c15:sqref>
                  </c15:fullRef>
                </c:ext>
              </c:extLst>
              <c:f>(ListasDatos!$I$70:$I$72,ListasDatos!$I$75)</c:f>
              <c:numCache>
                <c:formatCode>0.0%</c:formatCode>
                <c:ptCount val="4"/>
                <c:pt idx="0">
                  <c:v>0.77272727272727271</c:v>
                </c:pt>
                <c:pt idx="1">
                  <c:v>0.9285714285714286</c:v>
                </c:pt>
                <c:pt idx="2">
                  <c:v>0.9375</c:v>
                </c:pt>
                <c:pt idx="3">
                  <c:v>0.97222222222222221</c:v>
                </c:pt>
              </c:numCache>
            </c:numRef>
          </c:val>
          <c:extLst>
            <c:ext xmlns:c16="http://schemas.microsoft.com/office/drawing/2014/chart" uri="{C3380CC4-5D6E-409C-BE32-E72D297353CC}">
              <c16:uniqueId val="{00000004-BCD4-4C96-AD05-059803A907EB}"/>
            </c:ext>
          </c:extLst>
        </c:ser>
        <c:ser>
          <c:idx val="5"/>
          <c:order val="5"/>
          <c:tx>
            <c:strRef>
              <c:f>ListasDatos!$J$61</c:f>
              <c:strCache>
                <c:ptCount val="1"/>
                <c:pt idx="0">
                  <c:v>junio</c:v>
                </c:pt>
              </c:strCache>
            </c:strRef>
          </c:tx>
          <c:spPr>
            <a:solidFill>
              <a:schemeClr val="accent6"/>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ListasDatos!$J$69:$J$75</c15:sqref>
                  </c15:fullRef>
                </c:ext>
              </c:extLst>
              <c:f>(ListasDatos!$J$70:$J$72,ListasDatos!$J$75)</c:f>
              <c:numCache>
                <c:formatCode>0.0%</c:formatCode>
                <c:ptCount val="4"/>
                <c:pt idx="0">
                  <c:v>0.93181818181818177</c:v>
                </c:pt>
                <c:pt idx="1">
                  <c:v>0.97619047619047616</c:v>
                </c:pt>
                <c:pt idx="2">
                  <c:v>0</c:v>
                </c:pt>
                <c:pt idx="3">
                  <c:v>1</c:v>
                </c:pt>
              </c:numCache>
            </c:numRef>
          </c:val>
          <c:extLst>
            <c:ext xmlns:c16="http://schemas.microsoft.com/office/drawing/2014/chart" uri="{C3380CC4-5D6E-409C-BE32-E72D297353CC}">
              <c16:uniqueId val="{00000005-BCD4-4C96-AD05-059803A907EB}"/>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ListasDatos!$K$69:$K$75</c15:sqref>
                  </c15:fullRef>
                </c:ext>
              </c:extLst>
              <c:f>(ListasDatos!$K$70:$K$72,ListasDatos!$K$75)</c:f>
              <c:numCache>
                <c:formatCode>0.0%</c:formatCode>
                <c:ptCount val="4"/>
                <c:pt idx="0">
                  <c:v>0.95454545454545459</c:v>
                </c:pt>
                <c:pt idx="1">
                  <c:v>0.95238095238095233</c:v>
                </c:pt>
                <c:pt idx="2">
                  <c:v>1</c:v>
                </c:pt>
                <c:pt idx="3">
                  <c:v>1</c:v>
                </c:pt>
              </c:numCache>
            </c:numRef>
          </c:val>
          <c:extLst>
            <c:ext xmlns:c16="http://schemas.microsoft.com/office/drawing/2014/chart" uri="{C3380CC4-5D6E-409C-BE32-E72D297353CC}">
              <c16:uniqueId val="{00000006-BCD4-4C96-AD05-059803A907EB}"/>
            </c:ext>
          </c:extLst>
        </c:ser>
        <c:ser>
          <c:idx val="7"/>
          <c:order val="7"/>
          <c:tx>
            <c:strRef>
              <c:f>ListasDatos!$L$61</c:f>
              <c:strCache>
                <c:ptCount val="1"/>
                <c:pt idx="0">
                  <c:v>agosto</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ListasDatos!$L$69:$L$74</c15:sqref>
                  </c15:fullRef>
                </c:ext>
              </c:extLst>
              <c:f>ListasDatos!$L$70:$L$72</c:f>
              <c:numCache>
                <c:formatCode>0.0%</c:formatCode>
                <c:ptCount val="3"/>
                <c:pt idx="0">
                  <c:v>0.90909090909090906</c:v>
                </c:pt>
                <c:pt idx="1">
                  <c:v>0.9285714285714286</c:v>
                </c:pt>
                <c:pt idx="2">
                  <c:v>0</c:v>
                </c:pt>
              </c:numCache>
            </c:numRef>
          </c:val>
          <c:extLst>
            <c:ext xmlns:c16="http://schemas.microsoft.com/office/drawing/2014/chart" uri="{C3380CC4-5D6E-409C-BE32-E72D297353CC}">
              <c16:uniqueId val="{00000007-BCD4-4C96-AD05-059803A907EB}"/>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ListasDatos!$M$69:$M$75</c15:sqref>
                  </c15:fullRef>
                </c:ext>
              </c:extLst>
              <c:f>(ListasDatos!$M$70:$M$72,ListasDatos!$M$75)</c:f>
              <c:numCache>
                <c:formatCode>0.0%</c:formatCode>
                <c:ptCount val="4"/>
                <c:pt idx="0">
                  <c:v>0.90909090909090906</c:v>
                </c:pt>
                <c:pt idx="1">
                  <c:v>0.97619047619047616</c:v>
                </c:pt>
                <c:pt idx="2">
                  <c:v>1</c:v>
                </c:pt>
                <c:pt idx="3">
                  <c:v>0.88888888888888884</c:v>
                </c:pt>
              </c:numCache>
            </c:numRef>
          </c:val>
          <c:extLst>
            <c:ext xmlns:c16="http://schemas.microsoft.com/office/drawing/2014/chart" uri="{C3380CC4-5D6E-409C-BE32-E72D297353CC}">
              <c16:uniqueId val="{00000008-BCD4-4C96-AD05-059803A907EB}"/>
            </c:ext>
          </c:extLst>
        </c:ser>
        <c:ser>
          <c:idx val="9"/>
          <c:order val="9"/>
          <c:tx>
            <c:strRef>
              <c:f>ListasDatos!$N$61</c:f>
              <c:strCache>
                <c:ptCount val="1"/>
                <c:pt idx="0">
                  <c:v>octubre</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ListasDatos!$N$69:$N$74</c15:sqref>
                  </c15:fullRef>
                </c:ext>
              </c:extLst>
              <c:f>ListasDatos!$N$70:$N$72</c:f>
              <c:numCache>
                <c:formatCode>0.0%</c:formatCode>
                <c:ptCount val="3"/>
                <c:pt idx="0">
                  <c:v>0.95454545454545459</c:v>
                </c:pt>
                <c:pt idx="1">
                  <c:v>0.97619047619047616</c:v>
                </c:pt>
                <c:pt idx="2">
                  <c:v>0</c:v>
                </c:pt>
              </c:numCache>
            </c:numRef>
          </c:val>
          <c:extLst>
            <c:ext xmlns:c16="http://schemas.microsoft.com/office/drawing/2014/chart" uri="{C3380CC4-5D6E-409C-BE32-E72D297353CC}">
              <c16:uniqueId val="{00000009-BCD4-4C96-AD05-059803A907EB}"/>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ListasDatos!$O$69:$O$75</c15:sqref>
                  </c15:fullRef>
                </c:ext>
              </c:extLst>
              <c:f>(ListasDatos!$O$70:$O$72,ListasDatos!$O$75)</c:f>
              <c:numCache>
                <c:formatCode>0.0%</c:formatCode>
                <c:ptCount val="4"/>
                <c:pt idx="0">
                  <c:v>0.84090909090909094</c:v>
                </c:pt>
                <c:pt idx="1">
                  <c:v>0.95238095238095233</c:v>
                </c:pt>
                <c:pt idx="2">
                  <c:v>0</c:v>
                </c:pt>
                <c:pt idx="3">
                  <c:v>1</c:v>
                </c:pt>
              </c:numCache>
            </c:numRef>
          </c:val>
          <c:extLst>
            <c:ext xmlns:c16="http://schemas.microsoft.com/office/drawing/2014/chart" uri="{C3380CC4-5D6E-409C-BE32-E72D297353CC}">
              <c16:uniqueId val="{0000000A-BCD4-4C96-AD05-059803A907EB}"/>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ListasDatos!$P$69:$P$75</c15:sqref>
                  </c15:fullRef>
                </c:ext>
              </c:extLst>
              <c:f>(ListasDatos!$P$70:$P$72,ListasDatos!$P$75)</c:f>
              <c:numCache>
                <c:formatCode>0.0%</c:formatCode>
                <c:ptCount val="4"/>
                <c:pt idx="0">
                  <c:v>0.93181818181818177</c:v>
                </c:pt>
                <c:pt idx="1">
                  <c:v>1.0238095238095237</c:v>
                </c:pt>
                <c:pt idx="2">
                  <c:v>0</c:v>
                </c:pt>
                <c:pt idx="3">
                  <c:v>0.97222222222222221</c:v>
                </c:pt>
              </c:numCache>
            </c:numRef>
          </c:val>
          <c:extLst>
            <c:ext xmlns:c16="http://schemas.microsoft.com/office/drawing/2014/chart" uri="{C3380CC4-5D6E-409C-BE32-E72D297353CC}">
              <c16:uniqueId val="{0000000B-BCD4-4C96-AD05-059803A907EB}"/>
            </c:ext>
          </c:extLst>
        </c:ser>
        <c:ser>
          <c:idx val="12"/>
          <c:order val="12"/>
          <c:tx>
            <c:strRef>
              <c:f>ListasDatos!$Q$61</c:f>
              <c:strCache>
                <c:ptCount val="1"/>
                <c:pt idx="0">
                  <c:v>CAL1</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ListasDatos!$Q$69:$Q$75</c15:sqref>
                  </c15:fullRef>
                </c:ext>
              </c:extLst>
              <c:f>(ListasDatos!$Q$70:$Q$72,ListasDatos!$Q$75)</c:f>
              <c:numCache>
                <c:formatCode>0.0%</c:formatCode>
                <c:ptCount val="4"/>
                <c:pt idx="0">
                  <c:v>0</c:v>
                </c:pt>
                <c:pt idx="1">
                  <c:v>0</c:v>
                </c:pt>
                <c:pt idx="2">
                  <c:v>0</c:v>
                </c:pt>
                <c:pt idx="3">
                  <c:v>0</c:v>
                </c:pt>
              </c:numCache>
            </c:numRef>
          </c:val>
          <c:extLst>
            <c:ext xmlns:c16="http://schemas.microsoft.com/office/drawing/2014/chart" uri="{C3380CC4-5D6E-409C-BE32-E72D297353CC}">
              <c16:uniqueId val="{0000000C-BCD4-4C96-AD05-059803A907EB}"/>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ListasDatos!$R$69:$R$75</c15:sqref>
                  </c15:fullRef>
                </c:ext>
              </c:extLst>
              <c:f>(ListasDatos!$R$70:$R$72,ListasDatos!$R$75)</c:f>
              <c:numCache>
                <c:formatCode>0.0%</c:formatCode>
                <c:ptCount val="4"/>
                <c:pt idx="0">
                  <c:v>0</c:v>
                </c:pt>
                <c:pt idx="1">
                  <c:v>0</c:v>
                </c:pt>
                <c:pt idx="2">
                  <c:v>0</c:v>
                </c:pt>
                <c:pt idx="3">
                  <c:v>0</c:v>
                </c:pt>
              </c:numCache>
            </c:numRef>
          </c:val>
          <c:extLst>
            <c:ext xmlns:c16="http://schemas.microsoft.com/office/drawing/2014/chart" uri="{C3380CC4-5D6E-409C-BE32-E72D297353CC}">
              <c16:uniqueId val="{0000000D-BCD4-4C96-AD05-059803A907EB}"/>
            </c:ext>
          </c:extLst>
        </c:ser>
        <c:ser>
          <c:idx val="14"/>
          <c:order val="14"/>
          <c:tx>
            <c:strRef>
              <c:f>ListasDatos!$S$61</c:f>
              <c:strCache>
                <c:ptCount val="1"/>
                <c:pt idx="0">
                  <c:v>PROMEDIO ANUAL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extLst>
                <c:ext xmlns:c15="http://schemas.microsoft.com/office/drawing/2012/chart" uri="{02D57815-91ED-43cb-92C2-25804820EDAC}">
                  <c15:fullRef>
                    <c15:sqref>ListasDatos!$D$69:$D$75</c15:sqref>
                  </c15:fullRef>
                </c:ext>
              </c:extLst>
              <c:f>(ListasDatos!$D$70:$D$72,ListasDatos!$D$75)</c:f>
              <c:strCache>
                <c:ptCount val="4"/>
                <c:pt idx="0">
                  <c:v>B. ALMACÉN (MMPP, MMAA, Producto Terminado y APQ) </c:v>
                </c:pt>
                <c:pt idx="1">
                  <c:v>C. Taller de Mantenimiento, Sla Compresores, Sla Calderas, Sla CIP y PTA</c:v>
                </c:pt>
                <c:pt idx="2">
                  <c:v>D. Laboratorio</c:v>
                </c:pt>
                <c:pt idx="3">
                  <c:v>G. ZONAS COMUNES (Vestuarios, Servicios, Comedor y Cuarto de Limpieza)</c:v>
                </c:pt>
              </c:strCache>
            </c:strRef>
          </c:cat>
          <c:val>
            <c:numRef>
              <c:extLst>
                <c:ext xmlns:c15="http://schemas.microsoft.com/office/drawing/2012/chart" uri="{02D57815-91ED-43cb-92C2-25804820EDAC}">
                  <c15:fullRef>
                    <c15:sqref>ListasDatos!$S$69:$S$75</c15:sqref>
                  </c15:fullRef>
                </c:ext>
              </c:extLst>
              <c:f>(ListasDatos!$S$70:$S$72,ListasDatos!$S$75)</c:f>
              <c:numCache>
                <c:formatCode>0.0%</c:formatCode>
                <c:ptCount val="4"/>
                <c:pt idx="0">
                  <c:v>0.47916666666666669</c:v>
                </c:pt>
                <c:pt idx="1">
                  <c:v>0.95634920634920639</c:v>
                </c:pt>
                <c:pt idx="2">
                  <c:v>0.8125</c:v>
                </c:pt>
                <c:pt idx="3">
                  <c:v>0.96527777777777768</c:v>
                </c:pt>
              </c:numCache>
            </c:numRef>
          </c:val>
          <c:extLst>
            <c:ext xmlns:c16="http://schemas.microsoft.com/office/drawing/2014/chart" uri="{C3380CC4-5D6E-409C-BE32-E72D297353CC}">
              <c16:uniqueId val="{0000000F-BCD4-4C96-AD05-059803A907EB}"/>
            </c:ext>
          </c:extLst>
        </c:ser>
        <c:dLbls>
          <c:showLegendKey val="0"/>
          <c:showVal val="0"/>
          <c:showCatName val="0"/>
          <c:showSerName val="0"/>
          <c:showPercent val="0"/>
          <c:showBubbleSize val="0"/>
        </c:dLbls>
        <c:gapWidth val="219"/>
        <c:overlap val="-27"/>
        <c:axId val="-1109547392"/>
        <c:axId val="-1109546848"/>
      </c:barChart>
      <c:catAx>
        <c:axId val="-1109547392"/>
        <c:scaling>
          <c:orientation val="minMax"/>
        </c:scaling>
        <c:delete val="1"/>
        <c:axPos val="b"/>
        <c:numFmt formatCode="General" sourceLinked="1"/>
        <c:majorTickMark val="none"/>
        <c:minorTickMark val="none"/>
        <c:tickLblPos val="nextTo"/>
        <c:crossAx val="-1109546848"/>
        <c:crosses val="autoZero"/>
        <c:auto val="1"/>
        <c:lblAlgn val="ctr"/>
        <c:lblOffset val="100"/>
        <c:noMultiLvlLbl val="0"/>
      </c:catAx>
      <c:valAx>
        <c:axId val="-1109546848"/>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9547392"/>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G.</a:t>
            </a:r>
            <a:r>
              <a:rPr lang="es-ES" b="1" baseline="0"/>
              <a:t> ZONAS COMUNES</a:t>
            </a:r>
            <a:endParaRPr lang="es-E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ListasDatos!$E$61</c:f>
              <c:strCache>
                <c:ptCount val="1"/>
                <c:pt idx="0">
                  <c:v>enero</c:v>
                </c:pt>
              </c:strCache>
            </c:strRef>
          </c:tx>
          <c:spPr>
            <a:solidFill>
              <a:schemeClr val="accent1"/>
            </a:solidFill>
            <a:ln>
              <a:noFill/>
            </a:ln>
            <a:effectLst/>
          </c:spPr>
          <c:invertIfNegative val="0"/>
          <c:cat>
            <c:strRef>
              <c:f>ListasDatos!$D$75</c:f>
              <c:strCache>
                <c:ptCount val="1"/>
                <c:pt idx="0">
                  <c:v>G. ZONAS COMUNES (Vestuarios, Servicios, Comedor y Cuarto de Limpieza)</c:v>
                </c:pt>
              </c:strCache>
            </c:strRef>
          </c:cat>
          <c:val>
            <c:numRef>
              <c:f>ListasDatos!$E$75</c:f>
              <c:numCache>
                <c:formatCode>0.0%</c:formatCode>
                <c:ptCount val="1"/>
                <c:pt idx="0">
                  <c:v>0.94444444444444442</c:v>
                </c:pt>
              </c:numCache>
            </c:numRef>
          </c:val>
          <c:extLst>
            <c:ext xmlns:c16="http://schemas.microsoft.com/office/drawing/2014/chart" uri="{C3380CC4-5D6E-409C-BE32-E72D297353CC}">
              <c16:uniqueId val="{00000000-D8D8-493C-963C-BE67DD9D2D5D}"/>
            </c:ext>
          </c:extLst>
        </c:ser>
        <c:ser>
          <c:idx val="1"/>
          <c:order val="1"/>
          <c:tx>
            <c:strRef>
              <c:f>ListasDatos!$F$61</c:f>
              <c:strCache>
                <c:ptCount val="1"/>
                <c:pt idx="0">
                  <c:v>febrero</c:v>
                </c:pt>
              </c:strCache>
            </c:strRef>
          </c:tx>
          <c:spPr>
            <a:solidFill>
              <a:schemeClr val="accent2"/>
            </a:solidFill>
            <a:ln>
              <a:noFill/>
            </a:ln>
            <a:effectLst/>
          </c:spPr>
          <c:invertIfNegative val="0"/>
          <c:cat>
            <c:strRef>
              <c:f>ListasDatos!$D$75</c:f>
              <c:strCache>
                <c:ptCount val="1"/>
                <c:pt idx="0">
                  <c:v>G. ZONAS COMUNES (Vestuarios, Servicios, Comedor y Cuarto de Limpieza)</c:v>
                </c:pt>
              </c:strCache>
            </c:strRef>
          </c:cat>
          <c:val>
            <c:numRef>
              <c:f>ListasDatos!$F$75</c:f>
              <c:numCache>
                <c:formatCode>0.0%</c:formatCode>
                <c:ptCount val="1"/>
                <c:pt idx="0">
                  <c:v>1</c:v>
                </c:pt>
              </c:numCache>
            </c:numRef>
          </c:val>
          <c:extLst>
            <c:ext xmlns:c16="http://schemas.microsoft.com/office/drawing/2014/chart" uri="{C3380CC4-5D6E-409C-BE32-E72D297353CC}">
              <c16:uniqueId val="{00000001-D8D8-493C-963C-BE67DD9D2D5D}"/>
            </c:ext>
          </c:extLst>
        </c:ser>
        <c:ser>
          <c:idx val="2"/>
          <c:order val="2"/>
          <c:tx>
            <c:strRef>
              <c:f>ListasDatos!$G$61</c:f>
              <c:strCache>
                <c:ptCount val="1"/>
                <c:pt idx="0">
                  <c:v>marzo</c:v>
                </c:pt>
              </c:strCache>
            </c:strRef>
          </c:tx>
          <c:spPr>
            <a:solidFill>
              <a:schemeClr val="accent3"/>
            </a:solidFill>
            <a:ln>
              <a:noFill/>
            </a:ln>
            <a:effectLst/>
          </c:spPr>
          <c:invertIfNegative val="0"/>
          <c:cat>
            <c:strRef>
              <c:f>ListasDatos!$D$75</c:f>
              <c:strCache>
                <c:ptCount val="1"/>
                <c:pt idx="0">
                  <c:v>G. ZONAS COMUNES (Vestuarios, Servicios, Comedor y Cuarto de Limpieza)</c:v>
                </c:pt>
              </c:strCache>
            </c:strRef>
          </c:cat>
          <c:val>
            <c:numRef>
              <c:f>ListasDatos!$G$75</c:f>
              <c:numCache>
                <c:formatCode>0.0%</c:formatCode>
                <c:ptCount val="1"/>
                <c:pt idx="0">
                  <c:v>0.88888888888888884</c:v>
                </c:pt>
              </c:numCache>
            </c:numRef>
          </c:val>
          <c:extLst>
            <c:ext xmlns:c16="http://schemas.microsoft.com/office/drawing/2014/chart" uri="{C3380CC4-5D6E-409C-BE32-E72D297353CC}">
              <c16:uniqueId val="{00000002-D8D8-493C-963C-BE67DD9D2D5D}"/>
            </c:ext>
          </c:extLst>
        </c:ser>
        <c:ser>
          <c:idx val="3"/>
          <c:order val="3"/>
          <c:tx>
            <c:strRef>
              <c:f>ListasDatos!$H$61</c:f>
              <c:strCache>
                <c:ptCount val="1"/>
                <c:pt idx="0">
                  <c:v>abril</c:v>
                </c:pt>
              </c:strCache>
            </c:strRef>
          </c:tx>
          <c:spPr>
            <a:solidFill>
              <a:schemeClr val="accent4"/>
            </a:solidFill>
            <a:ln>
              <a:noFill/>
            </a:ln>
            <a:effectLst/>
          </c:spPr>
          <c:invertIfNegative val="0"/>
          <c:cat>
            <c:strRef>
              <c:f>ListasDatos!$D$75</c:f>
              <c:strCache>
                <c:ptCount val="1"/>
                <c:pt idx="0">
                  <c:v>G. ZONAS COMUNES (Vestuarios, Servicios, Comedor y Cuarto de Limpieza)</c:v>
                </c:pt>
              </c:strCache>
            </c:strRef>
          </c:cat>
          <c:val>
            <c:numRef>
              <c:f>ListasDatos!$H$75</c:f>
              <c:numCache>
                <c:formatCode>0.0%</c:formatCode>
                <c:ptCount val="1"/>
                <c:pt idx="0">
                  <c:v>1</c:v>
                </c:pt>
              </c:numCache>
            </c:numRef>
          </c:val>
          <c:extLst>
            <c:ext xmlns:c16="http://schemas.microsoft.com/office/drawing/2014/chart" uri="{C3380CC4-5D6E-409C-BE32-E72D297353CC}">
              <c16:uniqueId val="{00000003-D8D8-493C-963C-BE67DD9D2D5D}"/>
            </c:ext>
          </c:extLst>
        </c:ser>
        <c:ser>
          <c:idx val="4"/>
          <c:order val="4"/>
          <c:tx>
            <c:strRef>
              <c:f>ListasDatos!$I$61</c:f>
              <c:strCache>
                <c:ptCount val="1"/>
                <c:pt idx="0">
                  <c:v>mayo</c:v>
                </c:pt>
              </c:strCache>
            </c:strRef>
          </c:tx>
          <c:spPr>
            <a:solidFill>
              <a:schemeClr val="accent5"/>
            </a:solidFill>
            <a:ln>
              <a:noFill/>
            </a:ln>
            <a:effectLst/>
          </c:spPr>
          <c:invertIfNegative val="0"/>
          <c:cat>
            <c:strRef>
              <c:f>ListasDatos!$D$75</c:f>
              <c:strCache>
                <c:ptCount val="1"/>
                <c:pt idx="0">
                  <c:v>G. ZONAS COMUNES (Vestuarios, Servicios, Comedor y Cuarto de Limpieza)</c:v>
                </c:pt>
              </c:strCache>
            </c:strRef>
          </c:cat>
          <c:val>
            <c:numRef>
              <c:f>ListasDatos!$I$75</c:f>
              <c:numCache>
                <c:formatCode>0.0%</c:formatCode>
                <c:ptCount val="1"/>
                <c:pt idx="0">
                  <c:v>0.97222222222222221</c:v>
                </c:pt>
              </c:numCache>
            </c:numRef>
          </c:val>
          <c:extLst>
            <c:ext xmlns:c16="http://schemas.microsoft.com/office/drawing/2014/chart" uri="{C3380CC4-5D6E-409C-BE32-E72D297353CC}">
              <c16:uniqueId val="{00000004-D8D8-493C-963C-BE67DD9D2D5D}"/>
            </c:ext>
          </c:extLst>
        </c:ser>
        <c:ser>
          <c:idx val="5"/>
          <c:order val="5"/>
          <c:tx>
            <c:strRef>
              <c:f>ListasDatos!$J$61</c:f>
              <c:strCache>
                <c:ptCount val="1"/>
                <c:pt idx="0">
                  <c:v>junio</c:v>
                </c:pt>
              </c:strCache>
            </c:strRef>
          </c:tx>
          <c:spPr>
            <a:solidFill>
              <a:schemeClr val="accent6"/>
            </a:solidFill>
            <a:ln>
              <a:noFill/>
            </a:ln>
            <a:effectLst/>
          </c:spPr>
          <c:invertIfNegative val="0"/>
          <c:cat>
            <c:strRef>
              <c:f>ListasDatos!$D$75</c:f>
              <c:strCache>
                <c:ptCount val="1"/>
                <c:pt idx="0">
                  <c:v>G. ZONAS COMUNES (Vestuarios, Servicios, Comedor y Cuarto de Limpieza)</c:v>
                </c:pt>
              </c:strCache>
            </c:strRef>
          </c:cat>
          <c:val>
            <c:numRef>
              <c:f>ListasDatos!$J$75</c:f>
              <c:numCache>
                <c:formatCode>0.0%</c:formatCode>
                <c:ptCount val="1"/>
                <c:pt idx="0">
                  <c:v>1</c:v>
                </c:pt>
              </c:numCache>
            </c:numRef>
          </c:val>
          <c:extLst>
            <c:ext xmlns:c16="http://schemas.microsoft.com/office/drawing/2014/chart" uri="{C3380CC4-5D6E-409C-BE32-E72D297353CC}">
              <c16:uniqueId val="{00000005-D8D8-493C-963C-BE67DD9D2D5D}"/>
            </c:ext>
          </c:extLst>
        </c:ser>
        <c:ser>
          <c:idx val="6"/>
          <c:order val="6"/>
          <c:tx>
            <c:strRef>
              <c:f>ListasDatos!$K$61</c:f>
              <c:strCache>
                <c:ptCount val="1"/>
                <c:pt idx="0">
                  <c:v>julio</c:v>
                </c:pt>
              </c:strCache>
            </c:strRef>
          </c:tx>
          <c:spPr>
            <a:solidFill>
              <a:schemeClr val="accent1">
                <a:lumMod val="60000"/>
              </a:schemeClr>
            </a:solidFill>
            <a:ln>
              <a:noFill/>
            </a:ln>
            <a:effectLst/>
          </c:spPr>
          <c:invertIfNegative val="0"/>
          <c:cat>
            <c:strRef>
              <c:f>ListasDatos!$D$75</c:f>
              <c:strCache>
                <c:ptCount val="1"/>
                <c:pt idx="0">
                  <c:v>G. ZONAS COMUNES (Vestuarios, Servicios, Comedor y Cuarto de Limpieza)</c:v>
                </c:pt>
              </c:strCache>
            </c:strRef>
          </c:cat>
          <c:val>
            <c:numRef>
              <c:f>ListasDatos!$K$75</c:f>
              <c:numCache>
                <c:formatCode>0.0%</c:formatCode>
                <c:ptCount val="1"/>
                <c:pt idx="0">
                  <c:v>1</c:v>
                </c:pt>
              </c:numCache>
            </c:numRef>
          </c:val>
          <c:extLst>
            <c:ext xmlns:c16="http://schemas.microsoft.com/office/drawing/2014/chart" uri="{C3380CC4-5D6E-409C-BE32-E72D297353CC}">
              <c16:uniqueId val="{00000006-D8D8-493C-963C-BE67DD9D2D5D}"/>
            </c:ext>
          </c:extLst>
        </c:ser>
        <c:ser>
          <c:idx val="8"/>
          <c:order val="8"/>
          <c:tx>
            <c:strRef>
              <c:f>ListasDatos!$M$61</c:f>
              <c:strCache>
                <c:ptCount val="1"/>
                <c:pt idx="0">
                  <c:v>septiembre</c:v>
                </c:pt>
              </c:strCache>
            </c:strRef>
          </c:tx>
          <c:spPr>
            <a:solidFill>
              <a:schemeClr val="accent3">
                <a:lumMod val="60000"/>
              </a:schemeClr>
            </a:solidFill>
            <a:ln>
              <a:noFill/>
            </a:ln>
            <a:effectLst/>
          </c:spPr>
          <c:invertIfNegative val="0"/>
          <c:cat>
            <c:strRef>
              <c:f>ListasDatos!$D$75</c:f>
              <c:strCache>
                <c:ptCount val="1"/>
                <c:pt idx="0">
                  <c:v>G. ZONAS COMUNES (Vestuarios, Servicios, Comedor y Cuarto de Limpieza)</c:v>
                </c:pt>
              </c:strCache>
            </c:strRef>
          </c:cat>
          <c:val>
            <c:numRef>
              <c:f>ListasDatos!$M$75</c:f>
              <c:numCache>
                <c:formatCode>0.0%</c:formatCode>
                <c:ptCount val="1"/>
                <c:pt idx="0">
                  <c:v>0.88888888888888884</c:v>
                </c:pt>
              </c:numCache>
            </c:numRef>
          </c:val>
          <c:extLst>
            <c:ext xmlns:c16="http://schemas.microsoft.com/office/drawing/2014/chart" uri="{C3380CC4-5D6E-409C-BE32-E72D297353CC}">
              <c16:uniqueId val="{00000007-D8D8-493C-963C-BE67DD9D2D5D}"/>
            </c:ext>
          </c:extLst>
        </c:ser>
        <c:ser>
          <c:idx val="10"/>
          <c:order val="10"/>
          <c:tx>
            <c:strRef>
              <c:f>ListasDatos!$O$61</c:f>
              <c:strCache>
                <c:ptCount val="1"/>
                <c:pt idx="0">
                  <c:v>noviembre</c:v>
                </c:pt>
              </c:strCache>
            </c:strRef>
          </c:tx>
          <c:spPr>
            <a:solidFill>
              <a:schemeClr val="accent5">
                <a:lumMod val="60000"/>
              </a:schemeClr>
            </a:solidFill>
            <a:ln>
              <a:noFill/>
            </a:ln>
            <a:effectLst/>
          </c:spPr>
          <c:invertIfNegative val="0"/>
          <c:cat>
            <c:strRef>
              <c:f>ListasDatos!$D$75</c:f>
              <c:strCache>
                <c:ptCount val="1"/>
                <c:pt idx="0">
                  <c:v>G. ZONAS COMUNES (Vestuarios, Servicios, Comedor y Cuarto de Limpieza)</c:v>
                </c:pt>
              </c:strCache>
            </c:strRef>
          </c:cat>
          <c:val>
            <c:numRef>
              <c:f>ListasDatos!$O$75</c:f>
              <c:numCache>
                <c:formatCode>0.0%</c:formatCode>
                <c:ptCount val="1"/>
                <c:pt idx="0">
                  <c:v>1</c:v>
                </c:pt>
              </c:numCache>
            </c:numRef>
          </c:val>
          <c:extLst>
            <c:ext xmlns:c16="http://schemas.microsoft.com/office/drawing/2014/chart" uri="{C3380CC4-5D6E-409C-BE32-E72D297353CC}">
              <c16:uniqueId val="{00000008-D8D8-493C-963C-BE67DD9D2D5D}"/>
            </c:ext>
          </c:extLst>
        </c:ser>
        <c:ser>
          <c:idx val="11"/>
          <c:order val="11"/>
          <c:tx>
            <c:strRef>
              <c:f>ListasDatos!$P$61</c:f>
              <c:strCache>
                <c:ptCount val="1"/>
                <c:pt idx="0">
                  <c:v>diciembre</c:v>
                </c:pt>
              </c:strCache>
            </c:strRef>
          </c:tx>
          <c:spPr>
            <a:solidFill>
              <a:schemeClr val="accent6">
                <a:lumMod val="60000"/>
              </a:schemeClr>
            </a:solidFill>
            <a:ln>
              <a:noFill/>
            </a:ln>
            <a:effectLst/>
          </c:spPr>
          <c:invertIfNegative val="0"/>
          <c:cat>
            <c:strRef>
              <c:f>ListasDatos!$D$75</c:f>
              <c:strCache>
                <c:ptCount val="1"/>
                <c:pt idx="0">
                  <c:v>G. ZONAS COMUNES (Vestuarios, Servicios, Comedor y Cuarto de Limpieza)</c:v>
                </c:pt>
              </c:strCache>
            </c:strRef>
          </c:cat>
          <c:val>
            <c:numRef>
              <c:f>ListasDatos!$P$75</c:f>
              <c:numCache>
                <c:formatCode>0.0%</c:formatCode>
                <c:ptCount val="1"/>
                <c:pt idx="0">
                  <c:v>0.97222222222222221</c:v>
                </c:pt>
              </c:numCache>
            </c:numRef>
          </c:val>
          <c:extLst>
            <c:ext xmlns:c16="http://schemas.microsoft.com/office/drawing/2014/chart" uri="{C3380CC4-5D6E-409C-BE32-E72D297353CC}">
              <c16:uniqueId val="{00000009-D8D8-493C-963C-BE67DD9D2D5D}"/>
            </c:ext>
          </c:extLst>
        </c:ser>
        <c:ser>
          <c:idx val="12"/>
          <c:order val="12"/>
          <c:tx>
            <c:strRef>
              <c:f>ListasDatos!$Q$61</c:f>
              <c:strCache>
                <c:ptCount val="1"/>
                <c:pt idx="0">
                  <c:v>CAL1</c:v>
                </c:pt>
              </c:strCache>
            </c:strRef>
          </c:tx>
          <c:spPr>
            <a:solidFill>
              <a:srgbClr val="C00000"/>
            </a:solidFill>
            <a:ln>
              <a:noFill/>
            </a:ln>
            <a:effectLst/>
          </c:spPr>
          <c:invertIfNegative val="0"/>
          <c:dLbls>
            <c:dLbl>
              <c:idx val="6"/>
              <c:layout>
                <c:manualLayout>
                  <c:x val="0"/>
                  <c:y val="1.9900497512437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8D8-493C-963C-BE67DD9D2D5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ListasDatos!$D$75</c:f>
              <c:strCache>
                <c:ptCount val="1"/>
                <c:pt idx="0">
                  <c:v>G. ZONAS COMUNES (Vestuarios, Servicios, Comedor y Cuarto de Limpieza)</c:v>
                </c:pt>
              </c:strCache>
            </c:strRef>
          </c:cat>
          <c:val>
            <c:numRef>
              <c:f>ListasDatos!$Q$75</c:f>
              <c:numCache>
                <c:formatCode>0.0%</c:formatCode>
                <c:ptCount val="1"/>
                <c:pt idx="0">
                  <c:v>0</c:v>
                </c:pt>
              </c:numCache>
            </c:numRef>
          </c:val>
          <c:extLst>
            <c:ext xmlns:c16="http://schemas.microsoft.com/office/drawing/2014/chart" uri="{C3380CC4-5D6E-409C-BE32-E72D297353CC}">
              <c16:uniqueId val="{0000000B-D8D8-493C-963C-BE67DD9D2D5D}"/>
            </c:ext>
          </c:extLst>
        </c:ser>
        <c:ser>
          <c:idx val="13"/>
          <c:order val="13"/>
          <c:tx>
            <c:strRef>
              <c:f>ListasDatos!$R$61</c:f>
              <c:strCache>
                <c:ptCount val="1"/>
                <c:pt idx="0">
                  <c:v>CAL2</c:v>
                </c:pt>
              </c:strCache>
            </c:strRef>
          </c:tx>
          <c:spPr>
            <a:solidFill>
              <a:schemeClr val="accent2">
                <a:lumMod val="80000"/>
                <a:lumOff val="20000"/>
              </a:schemeClr>
            </a:solidFill>
            <a:ln>
              <a:noFill/>
            </a:ln>
            <a:effectLst/>
          </c:spPr>
          <c:invertIfNegative val="0"/>
          <c:cat>
            <c:strRef>
              <c:f>ListasDatos!$D$75</c:f>
              <c:strCache>
                <c:ptCount val="1"/>
                <c:pt idx="0">
                  <c:v>G. ZONAS COMUNES (Vestuarios, Servicios, Comedor y Cuarto de Limpieza)</c:v>
                </c:pt>
              </c:strCache>
            </c:strRef>
          </c:cat>
          <c:val>
            <c:numRef>
              <c:f>ListasDatos!$R$75</c:f>
              <c:numCache>
                <c:formatCode>0.0%</c:formatCode>
                <c:ptCount val="1"/>
                <c:pt idx="0">
                  <c:v>0</c:v>
                </c:pt>
              </c:numCache>
            </c:numRef>
          </c:val>
          <c:extLst>
            <c:ext xmlns:c16="http://schemas.microsoft.com/office/drawing/2014/chart" uri="{C3380CC4-5D6E-409C-BE32-E72D297353CC}">
              <c16:uniqueId val="{0000000C-D8D8-493C-963C-BE67DD9D2D5D}"/>
            </c:ext>
          </c:extLst>
        </c:ser>
        <c:ser>
          <c:idx val="14"/>
          <c:order val="14"/>
          <c:tx>
            <c:strRef>
              <c:f>ListasDatos!$S$61</c:f>
              <c:strCache>
                <c:ptCount val="1"/>
                <c:pt idx="0">
                  <c:v>PROMEDIO ANUAL</c:v>
                </c:pt>
              </c:strCache>
            </c:strRef>
          </c:tx>
          <c:spPr>
            <a:solidFill>
              <a:srgbClr val="00B050"/>
            </a:solidFill>
            <a:ln>
              <a:noFill/>
            </a:ln>
            <a:effectLst/>
          </c:spPr>
          <c:invertIfNegative val="0"/>
          <c:dLbls>
            <c:dLbl>
              <c:idx val="6"/>
              <c:layout>
                <c:manualLayout>
                  <c:x val="3.8204393505253103E-3"/>
                  <c:y val="1.9900497512437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8D8-493C-963C-BE67DD9D2D5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lumMod val="80000"/>
                    <a:lumOff val="20000"/>
                  </a:schemeClr>
                </a:solidFill>
                <a:prstDash val="sysDot"/>
              </a:ln>
              <a:effectLst/>
            </c:spPr>
            <c:trendlineType val="linear"/>
            <c:dispRSqr val="0"/>
            <c:dispEq val="0"/>
          </c:trendline>
          <c:cat>
            <c:strRef>
              <c:f>ListasDatos!$D$75</c:f>
              <c:strCache>
                <c:ptCount val="1"/>
                <c:pt idx="0">
                  <c:v>G. ZONAS COMUNES (Vestuarios, Servicios, Comedor y Cuarto de Limpieza)</c:v>
                </c:pt>
              </c:strCache>
            </c:strRef>
          </c:cat>
          <c:val>
            <c:numRef>
              <c:f>ListasDatos!$S$75</c:f>
              <c:numCache>
                <c:formatCode>0.0%</c:formatCode>
                <c:ptCount val="1"/>
                <c:pt idx="0">
                  <c:v>0.96527777777777768</c:v>
                </c:pt>
              </c:numCache>
            </c:numRef>
          </c:val>
          <c:extLst>
            <c:ext xmlns:c16="http://schemas.microsoft.com/office/drawing/2014/chart" uri="{C3380CC4-5D6E-409C-BE32-E72D297353CC}">
              <c16:uniqueId val="{0000000F-D8D8-493C-963C-BE67DD9D2D5D}"/>
            </c:ext>
          </c:extLst>
        </c:ser>
        <c:dLbls>
          <c:showLegendKey val="0"/>
          <c:showVal val="0"/>
          <c:showCatName val="0"/>
          <c:showSerName val="0"/>
          <c:showPercent val="0"/>
          <c:showBubbleSize val="0"/>
        </c:dLbls>
        <c:gapWidth val="219"/>
        <c:overlap val="-27"/>
        <c:axId val="-1105657312"/>
        <c:axId val="-1105661664"/>
        <c:extLst>
          <c:ext xmlns:c15="http://schemas.microsoft.com/office/drawing/2012/chart" uri="{02D57815-91ED-43cb-92C2-25804820EDAC}">
            <c15:filteredBarSeries>
              <c15:ser>
                <c:idx val="7"/>
                <c:order val="7"/>
                <c:tx>
                  <c:strRef>
                    <c:extLst>
                      <c:ext uri="{02D57815-91ED-43cb-92C2-25804820EDAC}">
                        <c15:formulaRef>
                          <c15:sqref>ListasDatos!$L$61</c15:sqref>
                        </c15:formulaRef>
                      </c:ext>
                    </c:extLst>
                    <c:strCache>
                      <c:ptCount val="1"/>
                      <c:pt idx="0">
                        <c:v>agosto</c:v>
                      </c:pt>
                    </c:strCache>
                  </c:strRef>
                </c:tx>
                <c:spPr>
                  <a:solidFill>
                    <a:schemeClr val="accent2">
                      <a:lumMod val="60000"/>
                    </a:schemeClr>
                  </a:solidFill>
                  <a:ln>
                    <a:noFill/>
                  </a:ln>
                  <a:effectLst/>
                </c:spPr>
                <c:invertIfNegative val="0"/>
                <c:cat>
                  <c:strRef>
                    <c:extLst>
                      <c:ext uri="{02D57815-91ED-43cb-92C2-25804820EDAC}">
                        <c15:formulaRef>
                          <c15:sqref>ListasDatos!$D$75</c15:sqref>
                        </c15:formulaRef>
                      </c:ext>
                    </c:extLst>
                    <c:strCache>
                      <c:ptCount val="1"/>
                      <c:pt idx="0">
                        <c:v>G. ZONAS COMUNES (Vestuarios, Servicios, Comedor y Cuarto de Limpieza)</c:v>
                      </c:pt>
                    </c:strCache>
                  </c:strRef>
                </c:cat>
                <c:val>
                  <c:numRef>
                    <c:extLst>
                      <c:ext uri="{02D57815-91ED-43cb-92C2-25804820EDAC}">
                        <c15:formulaRef>
                          <c15:sqref>ListasDatos!$L$69:$L$74</c15:sqref>
                        </c15:formulaRef>
                      </c:ext>
                    </c:extLst>
                    <c:numCache>
                      <c:formatCode>0.0%</c:formatCode>
                      <c:ptCount val="6"/>
                      <c:pt idx="0">
                        <c:v>0.94230769230769229</c:v>
                      </c:pt>
                      <c:pt idx="1">
                        <c:v>0.90909090909090906</c:v>
                      </c:pt>
                      <c:pt idx="2">
                        <c:v>0.9285714285714286</c:v>
                      </c:pt>
                      <c:pt idx="3">
                        <c:v>0</c:v>
                      </c:pt>
                      <c:pt idx="4">
                        <c:v>1</c:v>
                      </c:pt>
                      <c:pt idx="5">
                        <c:v>1</c:v>
                      </c:pt>
                    </c:numCache>
                  </c:numRef>
                </c:val>
                <c:extLst>
                  <c:ext xmlns:c16="http://schemas.microsoft.com/office/drawing/2014/chart" uri="{C3380CC4-5D6E-409C-BE32-E72D297353CC}">
                    <c16:uniqueId val="{00000010-D8D8-493C-963C-BE67DD9D2D5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ListasDatos!$N$61</c15:sqref>
                        </c15:formulaRef>
                      </c:ext>
                    </c:extLst>
                    <c:strCache>
                      <c:ptCount val="1"/>
                      <c:pt idx="0">
                        <c:v>octubre</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ListasDatos!$D$75</c15:sqref>
                        </c15:formulaRef>
                      </c:ext>
                    </c:extLst>
                    <c:strCache>
                      <c:ptCount val="1"/>
                      <c:pt idx="0">
                        <c:v>G. ZONAS COMUNES (Vestuarios, Servicios, Comedor y Cuarto de Limpieza)</c:v>
                      </c:pt>
                    </c:strCache>
                  </c:strRef>
                </c:cat>
                <c:val>
                  <c:numRef>
                    <c:extLst xmlns:c15="http://schemas.microsoft.com/office/drawing/2012/chart">
                      <c:ext xmlns:c15="http://schemas.microsoft.com/office/drawing/2012/chart" uri="{02D57815-91ED-43cb-92C2-25804820EDAC}">
                        <c15:formulaRef>
                          <c15:sqref>ListasDatos!$N$69:$N$74</c15:sqref>
                        </c15:formulaRef>
                      </c:ext>
                    </c:extLst>
                    <c:numCache>
                      <c:formatCode>0.0%</c:formatCode>
                      <c:ptCount val="6"/>
                      <c:pt idx="0">
                        <c:v>0.96153846153846156</c:v>
                      </c:pt>
                      <c:pt idx="1">
                        <c:v>0.95454545454545459</c:v>
                      </c:pt>
                      <c:pt idx="2">
                        <c:v>0.97619047619047616</c:v>
                      </c:pt>
                      <c:pt idx="3">
                        <c:v>0</c:v>
                      </c:pt>
                      <c:pt idx="4">
                        <c:v>0.81818181818181823</c:v>
                      </c:pt>
                      <c:pt idx="5">
                        <c:v>0.94736842105263153</c:v>
                      </c:pt>
                    </c:numCache>
                  </c:numRef>
                </c:val>
                <c:extLst xmlns:c15="http://schemas.microsoft.com/office/drawing/2012/chart">
                  <c:ext xmlns:c16="http://schemas.microsoft.com/office/drawing/2014/chart" uri="{C3380CC4-5D6E-409C-BE32-E72D297353CC}">
                    <c16:uniqueId val="{00000011-D8D8-493C-963C-BE67DD9D2D5D}"/>
                  </c:ext>
                </c:extLst>
              </c15:ser>
            </c15:filteredBarSeries>
          </c:ext>
        </c:extLst>
      </c:barChart>
      <c:catAx>
        <c:axId val="-1105657312"/>
        <c:scaling>
          <c:orientation val="minMax"/>
        </c:scaling>
        <c:delete val="1"/>
        <c:axPos val="b"/>
        <c:numFmt formatCode="General" sourceLinked="1"/>
        <c:majorTickMark val="none"/>
        <c:minorTickMark val="none"/>
        <c:tickLblPos val="nextTo"/>
        <c:crossAx val="-1105661664"/>
        <c:crosses val="autoZero"/>
        <c:auto val="1"/>
        <c:lblAlgn val="ctr"/>
        <c:lblOffset val="100"/>
        <c:noMultiLvlLbl val="0"/>
      </c:catAx>
      <c:valAx>
        <c:axId val="-1105661664"/>
        <c:scaling>
          <c:orientation val="minMax"/>
          <c:max val="1"/>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out"/>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05657312"/>
        <c:crosses val="autoZero"/>
        <c:crossBetween val="between"/>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r>
              <a:rPr lang="es-ES">
                <a:solidFill>
                  <a:sysClr val="windowText" lastClr="000000"/>
                </a:solidFill>
              </a:rPr>
              <a:t>% Cumplimineto HK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mn-lt"/>
              <a:ea typeface="+mn-ea"/>
              <a:cs typeface="+mn-cs"/>
            </a:defRPr>
          </a:pPr>
          <a:endParaRPr lang="es-ES"/>
        </a:p>
      </c:txPr>
    </c:title>
    <c:autoTitleDeleted val="0"/>
    <c:plotArea>
      <c:layout/>
      <c:barChart>
        <c:barDir val="col"/>
        <c:grouping val="clustered"/>
        <c:varyColors val="0"/>
        <c:ser>
          <c:idx val="0"/>
          <c:order val="0"/>
          <c:tx>
            <c:strRef>
              <c:f>ListasDatos!$D$76</c:f>
              <c:strCache>
                <c:ptCount val="1"/>
                <c:pt idx="0">
                  <c:v>PROMEDIO ANUAL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cene3d>
              <a:camera prst="orthographicFront"/>
              <a:lightRig rig="threePt" dir="t"/>
            </a:scene3d>
            <a:sp3d>
              <a:bevelT/>
            </a:sp3d>
          </c:spPr>
          <c:invertIfNegative val="0"/>
          <c:dPt>
            <c:idx val="12"/>
            <c:invertIfNegative val="0"/>
            <c:bubble3D val="0"/>
            <c:spPr>
              <a:solidFill>
                <a:srgbClr val="C00000"/>
              </a:solidFill>
              <a:ln w="9525" cap="flat" cmpd="sng" algn="ctr">
                <a:solidFill>
                  <a:schemeClr val="accent1">
                    <a:shade val="95000"/>
                  </a:schemeClr>
                </a:solidFill>
                <a:round/>
              </a:ln>
              <a:effectLst/>
              <a:scene3d>
                <a:camera prst="orthographicFront"/>
                <a:lightRig rig="threePt" dir="t"/>
              </a:scene3d>
              <a:sp3d>
                <a:bevelT/>
              </a:sp3d>
            </c:spPr>
            <c:extLst>
              <c:ext xmlns:c16="http://schemas.microsoft.com/office/drawing/2014/chart" uri="{C3380CC4-5D6E-409C-BE32-E72D297353CC}">
                <c16:uniqueId val="{00000001-88AF-4C59-B11C-431B0517CBBC}"/>
              </c:ext>
            </c:extLst>
          </c:dPt>
          <c:dPt>
            <c:idx val="14"/>
            <c:invertIfNegative val="0"/>
            <c:bubble3D val="0"/>
            <c:spPr>
              <a:solidFill>
                <a:srgbClr val="00B050"/>
              </a:solidFill>
              <a:ln w="9525" cap="flat" cmpd="sng" algn="ctr">
                <a:solidFill>
                  <a:schemeClr val="accent1">
                    <a:shade val="95000"/>
                  </a:schemeClr>
                </a:solidFill>
                <a:round/>
              </a:ln>
              <a:effectLst/>
              <a:scene3d>
                <a:camera prst="orthographicFront"/>
                <a:lightRig rig="threePt" dir="t"/>
              </a:scene3d>
              <a:sp3d>
                <a:bevelT/>
              </a:sp3d>
            </c:spPr>
            <c:extLst>
              <c:ext xmlns:c16="http://schemas.microsoft.com/office/drawing/2014/chart" uri="{C3380CC4-5D6E-409C-BE32-E72D297353CC}">
                <c16:uniqueId val="{00000003-88AF-4C59-B11C-431B0517CBBC}"/>
              </c:ext>
            </c:extLst>
          </c:dPt>
          <c:dLbls>
            <c:dLbl>
              <c:idx val="0"/>
              <c:delete val="1"/>
              <c:extLst>
                <c:ext xmlns:c15="http://schemas.microsoft.com/office/drawing/2012/chart" uri="{CE6537A1-D6FC-4f65-9D91-7224C49458BB}"/>
                <c:ext xmlns:c16="http://schemas.microsoft.com/office/drawing/2014/chart" uri="{C3380CC4-5D6E-409C-BE32-E72D297353CC}">
                  <c16:uniqueId val="{00000004-88AF-4C59-B11C-431B0517CBBC}"/>
                </c:ext>
              </c:extLst>
            </c:dLbl>
            <c:dLbl>
              <c:idx val="1"/>
              <c:delete val="1"/>
              <c:extLst>
                <c:ext xmlns:c15="http://schemas.microsoft.com/office/drawing/2012/chart" uri="{CE6537A1-D6FC-4f65-9D91-7224C49458BB}"/>
                <c:ext xmlns:c16="http://schemas.microsoft.com/office/drawing/2014/chart" uri="{C3380CC4-5D6E-409C-BE32-E72D297353CC}">
                  <c16:uniqueId val="{00000005-88AF-4C59-B11C-431B0517CBB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ListasDatos!$E$61:$S$61</c:f>
              <c:strCache>
                <c:ptCount val="15"/>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pt idx="12">
                  <c:v>CAL1</c:v>
                </c:pt>
                <c:pt idx="13">
                  <c:v>CAL2</c:v>
                </c:pt>
                <c:pt idx="14">
                  <c:v>PROMEDIO ANUAL</c:v>
                </c:pt>
              </c:strCache>
            </c:strRef>
          </c:cat>
          <c:val>
            <c:numRef>
              <c:f>ListasDatos!$E$76:$S$76</c:f>
              <c:numCache>
                <c:formatCode>0.0%</c:formatCode>
                <c:ptCount val="15"/>
                <c:pt idx="0">
                  <c:v>0.91577120665466538</c:v>
                </c:pt>
                <c:pt idx="1">
                  <c:v>0.96499815973500169</c:v>
                </c:pt>
                <c:pt idx="2">
                  <c:v>0.89435460112151843</c:v>
                </c:pt>
                <c:pt idx="3">
                  <c:v>0.96781376518218631</c:v>
                </c:pt>
                <c:pt idx="4">
                  <c:v>0.90967684153774375</c:v>
                </c:pt>
                <c:pt idx="5">
                  <c:v>0.92158630842841371</c:v>
                </c:pt>
                <c:pt idx="6">
                  <c:v>0.948215944456546</c:v>
                </c:pt>
                <c:pt idx="7">
                  <c:v>0.9536130536130536</c:v>
                </c:pt>
                <c:pt idx="8">
                  <c:v>0.95350284635998916</c:v>
                </c:pt>
                <c:pt idx="9">
                  <c:v>0.9363268310636732</c:v>
                </c:pt>
                <c:pt idx="10">
                  <c:v>0.77185283388290915</c:v>
                </c:pt>
                <c:pt idx="11">
                  <c:v>0.94821698769067186</c:v>
                </c:pt>
                <c:pt idx="12">
                  <c:v>0</c:v>
                </c:pt>
                <c:pt idx="13">
                  <c:v>0</c:v>
                </c:pt>
                <c:pt idx="14">
                  <c:v>0</c:v>
                </c:pt>
              </c:numCache>
            </c:numRef>
          </c:val>
          <c:extLst>
            <c:ext xmlns:c16="http://schemas.microsoft.com/office/drawing/2014/chart" uri="{C3380CC4-5D6E-409C-BE32-E72D297353CC}">
              <c16:uniqueId val="{00000006-88AF-4C59-B11C-431B0517CBBC}"/>
            </c:ext>
          </c:extLst>
        </c:ser>
        <c:dLbls>
          <c:showLegendKey val="0"/>
          <c:showVal val="0"/>
          <c:showCatName val="0"/>
          <c:showSerName val="0"/>
          <c:showPercent val="0"/>
          <c:showBubbleSize val="0"/>
        </c:dLbls>
        <c:gapWidth val="100"/>
        <c:overlap val="-24"/>
        <c:axId val="-1105658400"/>
        <c:axId val="-1105655680"/>
      </c:barChart>
      <c:catAx>
        <c:axId val="-110565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ES"/>
          </a:p>
        </c:txPr>
        <c:crossAx val="-1105655680"/>
        <c:crosses val="autoZero"/>
        <c:auto val="1"/>
        <c:lblAlgn val="ctr"/>
        <c:lblOffset val="100"/>
        <c:noMultiLvlLbl val="0"/>
      </c:catAx>
      <c:valAx>
        <c:axId val="-1105655680"/>
        <c:scaling>
          <c:orientation val="minMax"/>
          <c:max val="1"/>
          <c:min val="0.60000000000000009"/>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ES"/>
          </a:p>
        </c:txPr>
        <c:crossAx val="-1105658400"/>
        <c:crosses val="autoZero"/>
        <c:crossBetween val="between"/>
        <c:majorUnit val="0.1"/>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20" baseline="0">
                <a:solidFill>
                  <a:sysClr val="windowText" lastClr="000000"/>
                </a:solidFill>
                <a:latin typeface="+mn-lt"/>
                <a:ea typeface="+mn-ea"/>
                <a:cs typeface="+mn-cs"/>
              </a:defRPr>
            </a:pPr>
            <a:r>
              <a:rPr lang="es-ES" b="1">
                <a:solidFill>
                  <a:sysClr val="windowText" lastClr="000000"/>
                </a:solidFill>
              </a:rPr>
              <a:t>% Desviación frente a A. Calibración</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8.2813541888345055E-2"/>
          <c:y val="9.2378541428477068E-2"/>
          <c:w val="0.91618429453075123"/>
          <c:h val="0.77762323609916995"/>
        </c:manualLayout>
      </c:layout>
      <c:barChart>
        <c:barDir val="col"/>
        <c:grouping val="clustered"/>
        <c:varyColors val="0"/>
        <c:ser>
          <c:idx val="0"/>
          <c:order val="0"/>
          <c:tx>
            <c:strRef>
              <c:f>ListasDatos!$D$76</c:f>
              <c:strCache>
                <c:ptCount val="1"/>
                <c:pt idx="0">
                  <c:v>PROMEDIO ANUAL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cene3d>
              <a:camera prst="orthographicFront"/>
              <a:lightRig rig="threePt" dir="t"/>
            </a:scene3d>
            <a:sp3d>
              <a:bevelT/>
            </a:sp3d>
          </c:spPr>
          <c:invertIfNegative val="0"/>
          <c:dPt>
            <c:idx val="36"/>
            <c:invertIfNegative val="0"/>
            <c:bubble3D val="0"/>
            <c:spPr>
              <a:solidFill>
                <a:srgbClr val="C00000"/>
              </a:solidFill>
              <a:ln w="9525" cap="flat" cmpd="sng" algn="ctr">
                <a:solidFill>
                  <a:schemeClr val="accent1">
                    <a:shade val="95000"/>
                  </a:schemeClr>
                </a:solidFill>
                <a:round/>
              </a:ln>
              <a:effectLst/>
              <a:scene3d>
                <a:camera prst="orthographicFront"/>
                <a:lightRig rig="threePt" dir="t"/>
              </a:scene3d>
              <a:sp3d>
                <a:bevelT/>
              </a:sp3d>
            </c:spPr>
            <c:extLst>
              <c:ext xmlns:c16="http://schemas.microsoft.com/office/drawing/2014/chart" uri="{C3380CC4-5D6E-409C-BE32-E72D297353CC}">
                <c16:uniqueId val="{00000001-6660-4DC7-94BE-1D81FD3BFF1A}"/>
              </c:ext>
            </c:extLst>
          </c:dPt>
          <c:dPt>
            <c:idx val="38"/>
            <c:invertIfNegative val="0"/>
            <c:bubble3D val="0"/>
            <c:spPr>
              <a:solidFill>
                <a:srgbClr val="00B050"/>
              </a:solidFill>
              <a:ln w="9525" cap="flat" cmpd="sng" algn="ctr">
                <a:solidFill>
                  <a:schemeClr val="accent1">
                    <a:shade val="95000"/>
                  </a:schemeClr>
                </a:solidFill>
                <a:round/>
              </a:ln>
              <a:effectLst/>
              <a:scene3d>
                <a:camera prst="orthographicFront"/>
                <a:lightRig rig="threePt" dir="t"/>
              </a:scene3d>
              <a:sp3d>
                <a:bevelT/>
              </a:sp3d>
            </c:spPr>
            <c:extLst>
              <c:ext xmlns:c16="http://schemas.microsoft.com/office/drawing/2014/chart" uri="{C3380CC4-5D6E-409C-BE32-E72D297353CC}">
                <c16:uniqueId val="{00000003-6660-4DC7-94BE-1D81FD3BFF1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extLst>
                <c:ext xmlns:c15="http://schemas.microsoft.com/office/drawing/2012/chart" uri="{02D57815-91ED-43cb-92C2-25804820EDAC}">
                  <c15:fullRef>
                    <c15:sqref>ListasDatos!$E$68:$S$68</c15:sqref>
                  </c15:fullRef>
                </c:ext>
              </c:extLst>
              <c:f>(ListasDatos!$I$68,ListasDatos!$Q$68,ListasDatos!$S$68)</c:f>
              <c:strCache>
                <c:ptCount val="3"/>
                <c:pt idx="0">
                  <c:v>mayo</c:v>
                </c:pt>
                <c:pt idx="1">
                  <c:v>CAL1</c:v>
                </c:pt>
                <c:pt idx="2">
                  <c:v>PROMEDIO ANUAL</c:v>
                </c:pt>
              </c:strCache>
            </c:strRef>
          </c:cat>
          <c:val>
            <c:numRef>
              <c:extLst>
                <c:ext xmlns:c15="http://schemas.microsoft.com/office/drawing/2012/chart" uri="{02D57815-91ED-43cb-92C2-25804820EDAC}">
                  <c15:fullRef>
                    <c15:sqref>ListasDatos!$E$76:$S$76</c15:sqref>
                  </c15:fullRef>
                </c:ext>
              </c:extLst>
              <c:f>(ListasDatos!$I$76,ListasDatos!$Q$76,ListasDatos!$S$76)</c:f>
              <c:numCache>
                <c:formatCode>0.0%</c:formatCode>
                <c:ptCount val="3"/>
                <c:pt idx="0">
                  <c:v>0.90967684153774375</c:v>
                </c:pt>
                <c:pt idx="1">
                  <c:v>0</c:v>
                </c:pt>
                <c:pt idx="2">
                  <c:v>0</c:v>
                </c:pt>
              </c:numCache>
            </c:numRef>
          </c:val>
          <c:extLst>
            <c:ext xmlns:c16="http://schemas.microsoft.com/office/drawing/2014/chart" uri="{C3380CC4-5D6E-409C-BE32-E72D297353CC}">
              <c16:uniqueId val="{00000004-192F-4179-BDA1-980E45CCDA5B}"/>
            </c:ext>
          </c:extLst>
        </c:ser>
        <c:dLbls>
          <c:showLegendKey val="0"/>
          <c:showVal val="0"/>
          <c:showCatName val="0"/>
          <c:showSerName val="0"/>
          <c:showPercent val="0"/>
          <c:showBubbleSize val="0"/>
        </c:dLbls>
        <c:gapWidth val="100"/>
        <c:overlap val="-24"/>
        <c:axId val="-1105661120"/>
        <c:axId val="-1105660576"/>
      </c:barChart>
      <c:catAx>
        <c:axId val="-110566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s-ES"/>
          </a:p>
        </c:txPr>
        <c:crossAx val="-1105660576"/>
        <c:crosses val="autoZero"/>
        <c:auto val="1"/>
        <c:lblAlgn val="ctr"/>
        <c:lblOffset val="100"/>
        <c:noMultiLvlLbl val="0"/>
      </c:catAx>
      <c:valAx>
        <c:axId val="-1105660576"/>
        <c:scaling>
          <c:orientation val="minMax"/>
          <c:max val="1"/>
          <c:min val="0.60000000000000009"/>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ES"/>
          </a:p>
        </c:txPr>
        <c:crossAx val="-1105661120"/>
        <c:crosses val="autoZero"/>
        <c:crossBetween val="between"/>
        <c:majorUnit val="0.1"/>
        <c:min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es-ES" sz="1600" b="1">
                <a:solidFill>
                  <a:sysClr val="windowText" lastClr="000000"/>
                </a:solidFill>
              </a:rPr>
              <a:t>COMPARATIVA </a:t>
            </a:r>
            <a:r>
              <a:rPr lang="es-ES" sz="1600" b="1" baseline="0">
                <a:solidFill>
                  <a:sysClr val="windowText" lastClr="000000"/>
                </a:solidFill>
              </a:rPr>
              <a:t>CALIBRACIÓN ZONAS</a:t>
            </a:r>
            <a:endParaRPr lang="es-E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23768919510061243"/>
          <c:y val="0.18300925925925926"/>
          <c:w val="0.65564216972878386"/>
          <c:h val="0.60368802857976089"/>
        </c:manualLayout>
      </c:layout>
      <c:barChart>
        <c:barDir val="col"/>
        <c:grouping val="clustered"/>
        <c:varyColors val="0"/>
        <c:ser>
          <c:idx val="0"/>
          <c:order val="0"/>
          <c:tx>
            <c:v>CALIRBACIÓN</c:v>
          </c:tx>
          <c:spPr>
            <a:solidFill>
              <a:schemeClr val="accent1"/>
            </a:solidFill>
            <a:ln>
              <a:noFill/>
            </a:ln>
            <a:effectLst/>
          </c:spPr>
          <c:invertIfNegative val="0"/>
          <c:cat>
            <c:strRef>
              <c:f>'CAL 1'!$A$28:$A$34</c:f>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f>'CAL 1'!$B$28:$B$34</c:f>
              <c:numCache>
                <c:formatCode>General</c:formatCode>
                <c:ptCount val="7"/>
              </c:numCache>
            </c:numRef>
          </c:val>
          <c:extLst>
            <c:ext xmlns:c16="http://schemas.microsoft.com/office/drawing/2014/chart" uri="{C3380CC4-5D6E-409C-BE32-E72D297353CC}">
              <c16:uniqueId val="{00000000-A39E-4C3C-9D27-0AB3F6793D9C}"/>
            </c:ext>
          </c:extLst>
        </c:ser>
        <c:ser>
          <c:idx val="4"/>
          <c:order val="4"/>
          <c:tx>
            <c:v>PLANTA SEPTIEMBRE</c:v>
          </c:tx>
          <c:spPr>
            <a:solidFill>
              <a:schemeClr val="accent5"/>
            </a:solidFill>
            <a:ln>
              <a:noFill/>
            </a:ln>
            <a:effectLst/>
          </c:spPr>
          <c:invertIfNegative val="0"/>
          <c:cat>
            <c:strRef>
              <c:f>'CAL 1'!$A$28:$A$34</c:f>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f>'CAL 1'!$F$28:$F$34</c:f>
              <c:numCache>
                <c:formatCode>0.0</c:formatCode>
                <c:ptCount val="7"/>
              </c:numCache>
            </c:numRef>
          </c:val>
          <c:extLst>
            <c:ext xmlns:c16="http://schemas.microsoft.com/office/drawing/2014/chart" uri="{C3380CC4-5D6E-409C-BE32-E72D297353CC}">
              <c16:uniqueId val="{00000001-A39E-4C3C-9D27-0AB3F6793D9C}"/>
            </c:ext>
          </c:extLst>
        </c:ser>
        <c:ser>
          <c:idx val="5"/>
          <c:order val="5"/>
          <c:tx>
            <c:v>CALIBRACIÓN</c:v>
          </c:tx>
          <c:spPr>
            <a:solidFill>
              <a:schemeClr val="accent6"/>
            </a:solidFill>
            <a:ln>
              <a:noFill/>
            </a:ln>
            <a:effectLst/>
          </c:spPr>
          <c:invertIfNegative val="0"/>
          <c:cat>
            <c:strRef>
              <c:f>'CAL 1'!$A$28:$A$34</c:f>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f>'CAL 1'!$J$28:$J$34</c:f>
              <c:numCache>
                <c:formatCode>0.0</c:formatCode>
                <c:ptCount val="7"/>
              </c:numCache>
            </c:numRef>
          </c:val>
          <c:extLst>
            <c:ext xmlns:c16="http://schemas.microsoft.com/office/drawing/2014/chart" uri="{C3380CC4-5D6E-409C-BE32-E72D297353CC}">
              <c16:uniqueId val="{00000002-A39E-4C3C-9D27-0AB3F6793D9C}"/>
            </c:ext>
          </c:extLst>
        </c:ser>
        <c:dLbls>
          <c:showLegendKey val="0"/>
          <c:showVal val="0"/>
          <c:showCatName val="0"/>
          <c:showSerName val="0"/>
          <c:showPercent val="0"/>
          <c:showBubbleSize val="0"/>
        </c:dLbls>
        <c:gapWidth val="219"/>
        <c:overlap val="-27"/>
        <c:axId val="960181919"/>
        <c:axId val="650722767"/>
        <c:extLst>
          <c:ext xmlns:c15="http://schemas.microsoft.com/office/drawing/2012/chart" uri="{02D57815-91ED-43cb-92C2-25804820EDAC}">
            <c15:filteredBarSeries>
              <c15:ser>
                <c:idx val="1"/>
                <c:order val="1"/>
                <c:spPr>
                  <a:solidFill>
                    <a:schemeClr val="accent2"/>
                  </a:solidFill>
                  <a:ln>
                    <a:noFill/>
                  </a:ln>
                  <a:effectLst/>
                </c:spPr>
                <c:invertIfNegative val="0"/>
                <c:cat>
                  <c:strRef>
                    <c:extLst>
                      <c:ext uri="{02D57815-91ED-43cb-92C2-25804820EDAC}">
                        <c15:formulaRef>
                          <c15:sqref>'CAL 1'!$A$28:$A$34</c15:sqref>
                        </c15:formulaRef>
                      </c:ext>
                    </c:extLst>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extLst>
                      <c:ext uri="{02D57815-91ED-43cb-92C2-25804820EDAC}">
                        <c15:formulaRef>
                          <c15:sqref>'CAL 1'!$C$28:$C$34</c15:sqref>
                        </c15:formulaRef>
                      </c:ext>
                    </c:extLst>
                    <c:numCache>
                      <c:formatCode>General</c:formatCode>
                      <c:ptCount val="7"/>
                    </c:numCache>
                  </c:numRef>
                </c:val>
                <c:extLst>
                  <c:ext xmlns:c16="http://schemas.microsoft.com/office/drawing/2014/chart" uri="{C3380CC4-5D6E-409C-BE32-E72D297353CC}">
                    <c16:uniqueId val="{00000003-A39E-4C3C-9D27-0AB3F6793D9C}"/>
                  </c:ext>
                </c:extLst>
              </c15:ser>
            </c15:filteredBarSeries>
            <c15:filteredBarSeries>
              <c15:ser>
                <c:idx val="2"/>
                <c:order val="2"/>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'CAL 1'!$A$28:$A$34</c15:sqref>
                        </c15:formulaRef>
                      </c:ext>
                    </c:extLst>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extLst xmlns:c15="http://schemas.microsoft.com/office/drawing/2012/chart">
                      <c:ext xmlns:c15="http://schemas.microsoft.com/office/drawing/2012/chart" uri="{02D57815-91ED-43cb-92C2-25804820EDAC}">
                        <c15:formulaRef>
                          <c15:sqref>'CAL 1'!$D$28:$D$34</c15:sqref>
                        </c15:formulaRef>
                      </c:ext>
                    </c:extLst>
                    <c:numCache>
                      <c:formatCode>General</c:formatCode>
                      <c:ptCount val="7"/>
                    </c:numCache>
                  </c:numRef>
                </c:val>
                <c:extLst xmlns:c15="http://schemas.microsoft.com/office/drawing/2012/chart">
                  <c:ext xmlns:c16="http://schemas.microsoft.com/office/drawing/2014/chart" uri="{C3380CC4-5D6E-409C-BE32-E72D297353CC}">
                    <c16:uniqueId val="{00000004-A39E-4C3C-9D27-0AB3F6793D9C}"/>
                  </c:ext>
                </c:extLst>
              </c15:ser>
            </c15:filteredBarSeries>
            <c15:filteredBarSeries>
              <c15:ser>
                <c:idx val="3"/>
                <c:order val="3"/>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'CAL 1'!$A$28:$A$34</c15:sqref>
                        </c15:formulaRef>
                      </c:ext>
                    </c:extLst>
                    <c:strCache>
                      <c:ptCount val="7"/>
                      <c:pt idx="0">
                        <c:v>A.SALA ELABORACIÓN</c:v>
                      </c:pt>
                      <c:pt idx="1">
                        <c:v>B. ALMACÉN (PT Y MAT AUXILIAR) </c:v>
                      </c:pt>
                      <c:pt idx="2">
                        <c:v>D. TALLER MANTENIMIENTO, Sala Compresores, Sala Calderas, Sala CIP y PTA</c:v>
                      </c:pt>
                      <c:pt idx="3">
                        <c:v>E. LABORATORIO</c:v>
                      </c:pt>
                      <c:pt idx="4">
                        <c:v>F. ENVASADO (Linea 1-6)</c:v>
                      </c:pt>
                      <c:pt idx="5">
                        <c:v>G. Exteriores</c:v>
                      </c:pt>
                      <c:pt idx="6">
                        <c:v>H. ZONAS COMUNES (Vestuarios, Servicios, Comedor y Cuarto de Limpieza)</c:v>
                      </c:pt>
                    </c:strCache>
                  </c:strRef>
                </c:cat>
                <c:val>
                  <c:numRef>
                    <c:extLst xmlns:c15="http://schemas.microsoft.com/office/drawing/2012/chart">
                      <c:ext xmlns:c15="http://schemas.microsoft.com/office/drawing/2012/chart" uri="{02D57815-91ED-43cb-92C2-25804820EDAC}">
                        <c15:formulaRef>
                          <c15:sqref>'CAL 1'!$E$28:$E$34</c15:sqref>
                        </c15:formulaRef>
                      </c:ext>
                    </c:extLst>
                    <c:numCache>
                      <c:formatCode>General</c:formatCode>
                      <c:ptCount val="7"/>
                    </c:numCache>
                  </c:numRef>
                </c:val>
                <c:extLst xmlns:c15="http://schemas.microsoft.com/office/drawing/2012/chart">
                  <c:ext xmlns:c16="http://schemas.microsoft.com/office/drawing/2014/chart" uri="{C3380CC4-5D6E-409C-BE32-E72D297353CC}">
                    <c16:uniqueId val="{00000005-A39E-4C3C-9D27-0AB3F6793D9C}"/>
                  </c:ext>
                </c:extLst>
              </c15:ser>
            </c15:filteredBarSeries>
          </c:ext>
        </c:extLst>
      </c:barChart>
      <c:catAx>
        <c:axId val="96018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0722767"/>
        <c:crosses val="autoZero"/>
        <c:auto val="1"/>
        <c:lblAlgn val="ctr"/>
        <c:lblOffset val="100"/>
        <c:noMultiLvlLbl val="0"/>
      </c:catAx>
      <c:valAx>
        <c:axId val="650722767"/>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0181919"/>
        <c:crosses val="autoZero"/>
        <c:crossBetween val="between"/>
      </c:valAx>
      <c:spPr>
        <a:noFill/>
        <a:ln>
          <a:noFill/>
        </a:ln>
        <a:effectLst/>
      </c:spPr>
    </c:plotArea>
    <c:legend>
      <c:legendPos val="b"/>
      <c:legendEntry>
        <c:idx val="0"/>
        <c:delete val="1"/>
      </c:legendEntry>
      <c:layout>
        <c:manualLayout>
          <c:xMode val="edge"/>
          <c:yMode val="edge"/>
          <c:x val="0.2678893263342082"/>
          <c:y val="0.87557815689705432"/>
          <c:w val="0.44027777777777777"/>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s-ES" sz="1600" b="1" i="0" u="none" strike="noStrike" kern="1200" spc="0" baseline="0">
                <a:solidFill>
                  <a:sysClr val="windowText" lastClr="000000"/>
                </a:solidFill>
                <a:latin typeface="+mn-lt"/>
                <a:ea typeface="+mn-ea"/>
                <a:cs typeface="+mn-cs"/>
              </a:defRPr>
            </a:pPr>
            <a:r>
              <a:rPr lang="es-ES" sz="1600" b="1" i="0" u="none" strike="noStrike" kern="1200" spc="0" baseline="0">
                <a:solidFill>
                  <a:sysClr val="windowText" lastClr="000000"/>
                </a:solidFill>
                <a:latin typeface="+mn-lt"/>
                <a:ea typeface="+mn-ea"/>
                <a:cs typeface="+mn-cs"/>
              </a:rPr>
              <a:t>COMPARATIVA CALIBRACIÓN SECCIONES</a:t>
            </a:r>
          </a:p>
        </c:rich>
      </c:tx>
      <c:overlay val="0"/>
      <c:spPr>
        <a:noFill/>
        <a:ln>
          <a:noFill/>
        </a:ln>
        <a:effectLst/>
      </c:spPr>
      <c:txPr>
        <a:bodyPr rot="0" spcFirstLastPara="1" vertOverflow="ellipsis" vert="horz" wrap="square" anchor="ctr" anchorCtr="1"/>
        <a:lstStyle/>
        <a:p>
          <a:pPr>
            <a:defRPr lang="es-ES" sz="1600" b="1" i="0" u="none" strike="noStrike" kern="1200" spc="0" baseline="0">
              <a:solidFill>
                <a:sysClr val="windowText" lastClr="000000"/>
              </a:solidFill>
              <a:latin typeface="+mn-lt"/>
              <a:ea typeface="+mn-ea"/>
              <a:cs typeface="+mn-cs"/>
            </a:defRPr>
          </a:pPr>
          <a:endParaRPr lang="es-ES"/>
        </a:p>
      </c:txPr>
    </c:title>
    <c:autoTitleDeleted val="0"/>
    <c:plotArea>
      <c:layout/>
      <c:barChart>
        <c:barDir val="col"/>
        <c:grouping val="clustered"/>
        <c:varyColors val="0"/>
        <c:ser>
          <c:idx val="2"/>
          <c:order val="2"/>
          <c:tx>
            <c:v>PLANTA</c:v>
          </c:tx>
          <c:spPr>
            <a:solidFill>
              <a:schemeClr val="accent3"/>
            </a:solidFill>
            <a:ln>
              <a:noFill/>
            </a:ln>
            <a:effectLst/>
          </c:spPr>
          <c:invertIfNegative val="0"/>
          <c:cat>
            <c:strRef>
              <c:f>'CAL 1'!$B$12:$B$19</c:f>
              <c:strCache>
                <c:ptCount val="7"/>
                <c:pt idx="0">
                  <c:v>Infraestructura</c:v>
                </c:pt>
                <c:pt idx="2">
                  <c:v>Orden</c:v>
                </c:pt>
                <c:pt idx="4">
                  <c:v>Limpieza</c:v>
                </c:pt>
                <c:pt idx="6">
                  <c:v>Buenas Prácticas</c:v>
                </c:pt>
              </c:strCache>
            </c:strRef>
          </c:cat>
          <c:val>
            <c:numRef>
              <c:f>'CAL 1'!$E$12:$E$19</c:f>
              <c:numCache>
                <c:formatCode>0.0</c:formatCode>
                <c:ptCount val="8"/>
              </c:numCache>
            </c:numRef>
          </c:val>
          <c:extLst>
            <c:ext xmlns:c16="http://schemas.microsoft.com/office/drawing/2014/chart" uri="{C3380CC4-5D6E-409C-BE32-E72D297353CC}">
              <c16:uniqueId val="{00000000-6BBE-4A63-BD6E-969C9DD9917C}"/>
            </c:ext>
          </c:extLst>
        </c:ser>
        <c:ser>
          <c:idx val="4"/>
          <c:order val="4"/>
          <c:tx>
            <c:v>CALIBRACIÓN</c:v>
          </c:tx>
          <c:spPr>
            <a:solidFill>
              <a:schemeClr val="accent5"/>
            </a:solidFill>
            <a:ln>
              <a:noFill/>
            </a:ln>
            <a:effectLst/>
          </c:spPr>
          <c:invertIfNegative val="0"/>
          <c:cat>
            <c:strRef>
              <c:f>'CAL 1'!$B$12:$B$19</c:f>
              <c:strCache>
                <c:ptCount val="7"/>
                <c:pt idx="0">
                  <c:v>Infraestructura</c:v>
                </c:pt>
                <c:pt idx="2">
                  <c:v>Orden</c:v>
                </c:pt>
                <c:pt idx="4">
                  <c:v>Limpieza</c:v>
                </c:pt>
                <c:pt idx="6">
                  <c:v>Buenas Prácticas</c:v>
                </c:pt>
              </c:strCache>
            </c:strRef>
          </c:cat>
          <c:val>
            <c:numRef>
              <c:f>'CAL 1'!$G$12:$G$19</c:f>
              <c:numCache>
                <c:formatCode>0.0</c:formatCode>
                <c:ptCount val="8"/>
              </c:numCache>
            </c:numRef>
          </c:val>
          <c:extLst>
            <c:ext xmlns:c16="http://schemas.microsoft.com/office/drawing/2014/chart" uri="{C3380CC4-5D6E-409C-BE32-E72D297353CC}">
              <c16:uniqueId val="{00000001-6BBE-4A63-BD6E-969C9DD9917C}"/>
            </c:ext>
          </c:extLst>
        </c:ser>
        <c:dLbls>
          <c:showLegendKey val="0"/>
          <c:showVal val="0"/>
          <c:showCatName val="0"/>
          <c:showSerName val="0"/>
          <c:showPercent val="0"/>
          <c:showBubbleSize val="0"/>
        </c:dLbls>
        <c:gapWidth val="219"/>
        <c:overlap val="-27"/>
        <c:axId val="138813184"/>
        <c:axId val="435330704"/>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'CAL 1'!$B$12:$B$19</c15:sqref>
                        </c15:formulaRef>
                      </c:ext>
                    </c:extLst>
                    <c:strCache>
                      <c:ptCount val="7"/>
                      <c:pt idx="0">
                        <c:v>Infraestructura</c:v>
                      </c:pt>
                      <c:pt idx="2">
                        <c:v>Orden</c:v>
                      </c:pt>
                      <c:pt idx="4">
                        <c:v>Limpieza</c:v>
                      </c:pt>
                      <c:pt idx="6">
                        <c:v>Buenas Prácticas</c:v>
                      </c:pt>
                    </c:strCache>
                  </c:strRef>
                </c:cat>
                <c:val>
                  <c:numRef>
                    <c:extLst>
                      <c:ext uri="{02D57815-91ED-43cb-92C2-25804820EDAC}">
                        <c15:formulaRef>
                          <c15:sqref>'CAL 1'!$C$12:$C$19</c15:sqref>
                        </c15:formulaRef>
                      </c:ext>
                    </c:extLst>
                    <c:numCache>
                      <c:formatCode>General</c:formatCode>
                      <c:ptCount val="8"/>
                    </c:numCache>
                  </c:numRef>
                </c:val>
                <c:extLst>
                  <c:ext xmlns:c16="http://schemas.microsoft.com/office/drawing/2014/chart" uri="{C3380CC4-5D6E-409C-BE32-E72D297353CC}">
                    <c16:uniqueId val="{00000002-6BBE-4A63-BD6E-969C9DD9917C}"/>
                  </c:ext>
                </c:extLst>
              </c15:ser>
            </c15:filteredBarSeries>
            <c15:filteredBarSeries>
              <c15:ser>
                <c:idx val="1"/>
                <c:order val="1"/>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'CAL 1'!$B$12:$B$19</c15:sqref>
                        </c15:formulaRef>
                      </c:ext>
                    </c:extLst>
                    <c:strCache>
                      <c:ptCount val="7"/>
                      <c:pt idx="0">
                        <c:v>Infraestructura</c:v>
                      </c:pt>
                      <c:pt idx="2">
                        <c:v>Orden</c:v>
                      </c:pt>
                      <c:pt idx="4">
                        <c:v>Limpieza</c:v>
                      </c:pt>
                      <c:pt idx="6">
                        <c:v>Buenas Prácticas</c:v>
                      </c:pt>
                    </c:strCache>
                  </c:strRef>
                </c:cat>
                <c:val>
                  <c:numRef>
                    <c:extLst xmlns:c15="http://schemas.microsoft.com/office/drawing/2012/chart">
                      <c:ext xmlns:c15="http://schemas.microsoft.com/office/drawing/2012/chart" uri="{02D57815-91ED-43cb-92C2-25804820EDAC}">
                        <c15:formulaRef>
                          <c15:sqref>'CAL 1'!$D$12:$D$19</c15:sqref>
                        </c15:formulaRef>
                      </c:ext>
                    </c:extLst>
                    <c:numCache>
                      <c:formatCode>General</c:formatCode>
                      <c:ptCount val="8"/>
                    </c:numCache>
                  </c:numRef>
                </c:val>
                <c:extLst xmlns:c15="http://schemas.microsoft.com/office/drawing/2012/chart">
                  <c:ext xmlns:c16="http://schemas.microsoft.com/office/drawing/2014/chart" uri="{C3380CC4-5D6E-409C-BE32-E72D297353CC}">
                    <c16:uniqueId val="{00000003-6BBE-4A63-BD6E-969C9DD9917C}"/>
                  </c:ext>
                </c:extLst>
              </c15:ser>
            </c15:filteredBarSeries>
            <c15:filteredBarSeries>
              <c15:ser>
                <c:idx val="3"/>
                <c:order val="3"/>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'CAL 1'!$B$12:$B$19</c15:sqref>
                        </c15:formulaRef>
                      </c:ext>
                    </c:extLst>
                    <c:strCache>
                      <c:ptCount val="7"/>
                      <c:pt idx="0">
                        <c:v>Infraestructura</c:v>
                      </c:pt>
                      <c:pt idx="2">
                        <c:v>Orden</c:v>
                      </c:pt>
                      <c:pt idx="4">
                        <c:v>Limpieza</c:v>
                      </c:pt>
                      <c:pt idx="6">
                        <c:v>Buenas Prácticas</c:v>
                      </c:pt>
                    </c:strCache>
                  </c:strRef>
                </c:cat>
                <c:val>
                  <c:numRef>
                    <c:extLst xmlns:c15="http://schemas.microsoft.com/office/drawing/2012/chart">
                      <c:ext xmlns:c15="http://schemas.microsoft.com/office/drawing/2012/chart" uri="{02D57815-91ED-43cb-92C2-25804820EDAC}">
                        <c15:formulaRef>
                          <c15:sqref>'CAL 1'!$F$12:$F$19</c15:sqref>
                        </c15:formulaRef>
                      </c:ext>
                    </c:extLst>
                    <c:numCache>
                      <c:formatCode>0.0</c:formatCode>
                      <c:ptCount val="8"/>
                    </c:numCache>
                  </c:numRef>
                </c:val>
                <c:extLst xmlns:c15="http://schemas.microsoft.com/office/drawing/2012/chart">
                  <c:ext xmlns:c16="http://schemas.microsoft.com/office/drawing/2014/chart" uri="{C3380CC4-5D6E-409C-BE32-E72D297353CC}">
                    <c16:uniqueId val="{00000004-6BBE-4A63-BD6E-969C9DD9917C}"/>
                  </c:ext>
                </c:extLst>
              </c15:ser>
            </c15:filteredBarSeries>
            <c15:filteredBarSeries>
              <c15:ser>
                <c:idx val="5"/>
                <c:order val="5"/>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'CAL 1'!$B$12:$B$19</c15:sqref>
                        </c15:formulaRef>
                      </c:ext>
                    </c:extLst>
                    <c:strCache>
                      <c:ptCount val="7"/>
                      <c:pt idx="0">
                        <c:v>Infraestructura</c:v>
                      </c:pt>
                      <c:pt idx="2">
                        <c:v>Orden</c:v>
                      </c:pt>
                      <c:pt idx="4">
                        <c:v>Limpieza</c:v>
                      </c:pt>
                      <c:pt idx="6">
                        <c:v>Buenas Prácticas</c:v>
                      </c:pt>
                    </c:strCache>
                  </c:strRef>
                </c:cat>
                <c:val>
                  <c:numRef>
                    <c:extLst xmlns:c15="http://schemas.microsoft.com/office/drawing/2012/chart">
                      <c:ext xmlns:c15="http://schemas.microsoft.com/office/drawing/2012/chart" uri="{02D57815-91ED-43cb-92C2-25804820EDAC}">
                        <c15:formulaRef>
                          <c15:sqref>'CAL 1'!$H$12:$H$19</c15:sqref>
                        </c15:formulaRef>
                      </c:ext>
                    </c:extLst>
                    <c:numCache>
                      <c:formatCode>0.0</c:formatCode>
                      <c:ptCount val="8"/>
                    </c:numCache>
                  </c:numRef>
                </c:val>
                <c:extLst xmlns:c15="http://schemas.microsoft.com/office/drawing/2012/chart">
                  <c:ext xmlns:c16="http://schemas.microsoft.com/office/drawing/2014/chart" uri="{C3380CC4-5D6E-409C-BE32-E72D297353CC}">
                    <c16:uniqueId val="{00000005-6BBE-4A63-BD6E-969C9DD9917C}"/>
                  </c:ext>
                </c:extLst>
              </c15:ser>
            </c15:filteredBarSeries>
          </c:ext>
        </c:extLst>
      </c:barChart>
      <c:catAx>
        <c:axId val="13881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35330704"/>
        <c:crosses val="autoZero"/>
        <c:auto val="1"/>
        <c:lblAlgn val="ctr"/>
        <c:lblOffset val="100"/>
        <c:noMultiLvlLbl val="0"/>
      </c:catAx>
      <c:valAx>
        <c:axId val="435330704"/>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881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jp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5.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1.jpg"/><Relationship Id="rId11" Type="http://schemas.openxmlformats.org/officeDocument/2006/relationships/chart" Target="../charts/chart12.xml"/><Relationship Id="rId5" Type="http://schemas.openxmlformats.org/officeDocument/2006/relationships/chart" Target="../charts/chart7.xml"/><Relationship Id="rId10" Type="http://schemas.openxmlformats.org/officeDocument/2006/relationships/chart" Target="../charts/chart11.xml"/><Relationship Id="rId4" Type="http://schemas.openxmlformats.org/officeDocument/2006/relationships/chart" Target="../charts/chart6.xml"/><Relationship Id="rId9" Type="http://schemas.openxmlformats.org/officeDocument/2006/relationships/chart" Target="../charts/chart10.xml"/><Relationship Id="rId14"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jp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42333</xdr:colOff>
      <xdr:row>65</xdr:row>
      <xdr:rowOff>1</xdr:rowOff>
    </xdr:from>
    <xdr:to>
      <xdr:col>2</xdr:col>
      <xdr:colOff>571499</xdr:colOff>
      <xdr:row>81</xdr:row>
      <xdr:rowOff>95249</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561975</xdr:colOff>
      <xdr:row>0</xdr:row>
      <xdr:rowOff>92074</xdr:rowOff>
    </xdr:from>
    <xdr:to>
      <xdr:col>0</xdr:col>
      <xdr:colOff>2687297</xdr:colOff>
      <xdr:row>3</xdr:row>
      <xdr:rowOff>35559</xdr:rowOff>
    </xdr:to>
    <xdr:pic>
      <xdr:nvPicPr>
        <xdr:cNvPr id="5" name="2 Imagen" descr="cid:imagebbd17b.JPG@739cedec.4aa37611">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975" y="92074"/>
          <a:ext cx="2121512" cy="612775"/>
        </a:xfrm>
        <a:prstGeom prst="rect">
          <a:avLst/>
        </a:prstGeom>
        <a:noFill/>
        <a:ln>
          <a:noFill/>
        </a:ln>
      </xdr:spPr>
    </xdr:pic>
    <xdr:clientData/>
  </xdr:twoCellAnchor>
  <xdr:oneCellAnchor>
    <xdr:from>
      <xdr:col>0</xdr:col>
      <xdr:colOff>561975</xdr:colOff>
      <xdr:row>48</xdr:row>
      <xdr:rowOff>92074</xdr:rowOff>
    </xdr:from>
    <xdr:ext cx="2121512" cy="612775"/>
    <xdr:pic>
      <xdr:nvPicPr>
        <xdr:cNvPr id="6" name="2 Imagen" descr="cid:imagebbd17b.JPG@739cedec.4aa37611">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975" y="92074"/>
          <a:ext cx="2121512" cy="612775"/>
        </a:xfrm>
        <a:prstGeom prst="rect">
          <a:avLst/>
        </a:prstGeom>
        <a:noFill/>
        <a:ln>
          <a:noFill/>
        </a:ln>
      </xdr:spPr>
    </xdr:pic>
    <xdr:clientData/>
  </xdr:oneCellAnchor>
  <xdr:twoCellAnchor>
    <xdr:from>
      <xdr:col>11</xdr:col>
      <xdr:colOff>452969</xdr:colOff>
      <xdr:row>26</xdr:row>
      <xdr:rowOff>19055</xdr:rowOff>
    </xdr:from>
    <xdr:to>
      <xdr:col>11</xdr:col>
      <xdr:colOff>770469</xdr:colOff>
      <xdr:row>31</xdr:row>
      <xdr:rowOff>129121</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rot="16200000">
          <a:off x="11669185" y="5767922"/>
          <a:ext cx="1083733"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solidFill>
                <a:schemeClr val="bg1"/>
              </a:solidFill>
            </a:rPr>
            <a:t>PROMEDIO </a:t>
          </a:r>
        </a:p>
      </xdr:txBody>
    </xdr:sp>
    <xdr:clientData/>
  </xdr:twoCellAnchor>
  <xdr:twoCellAnchor>
    <xdr:from>
      <xdr:col>6</xdr:col>
      <xdr:colOff>201088</xdr:colOff>
      <xdr:row>20</xdr:row>
      <xdr:rowOff>152397</xdr:rowOff>
    </xdr:from>
    <xdr:to>
      <xdr:col>12</xdr:col>
      <xdr:colOff>677337</xdr:colOff>
      <xdr:row>47</xdr:row>
      <xdr:rowOff>31746</xdr:rowOff>
    </xdr:to>
    <xdr:grpSp>
      <xdr:nvGrpSpPr>
        <xdr:cNvPr id="10" name="Grupo 9">
          <a:extLst>
            <a:ext uri="{FF2B5EF4-FFF2-40B4-BE49-F238E27FC236}">
              <a16:creationId xmlns:a16="http://schemas.microsoft.com/office/drawing/2014/main" id="{05E4FE76-47FB-4834-88DC-ABB3D88B594A}"/>
            </a:ext>
          </a:extLst>
        </xdr:cNvPr>
        <xdr:cNvGrpSpPr/>
      </xdr:nvGrpSpPr>
      <xdr:grpSpPr>
        <a:xfrm>
          <a:off x="8371951" y="4271960"/>
          <a:ext cx="5238749" cy="5248274"/>
          <a:chOff x="8032752" y="3989917"/>
          <a:chExt cx="5249332" cy="5164666"/>
        </a:xfrm>
      </xdr:grpSpPr>
      <xdr:graphicFrame macro="">
        <xdr:nvGraphicFramePr>
          <xdr:cNvPr id="9" name="1 Gráfico">
            <a:extLst>
              <a:ext uri="{FF2B5EF4-FFF2-40B4-BE49-F238E27FC236}">
                <a16:creationId xmlns:a16="http://schemas.microsoft.com/office/drawing/2014/main" id="{00000000-0008-0000-0100-000009000000}"/>
              </a:ext>
            </a:extLst>
          </xdr:cNvPr>
          <xdr:cNvGraphicFramePr>
            <a:graphicFrameLocks/>
          </xdr:cNvGraphicFramePr>
        </xdr:nvGraphicFramePr>
        <xdr:xfrm>
          <a:off x="8032752" y="3989917"/>
          <a:ext cx="5249332" cy="5164666"/>
        </xdr:xfrm>
        <a:graphic>
          <a:graphicData uri="http://schemas.openxmlformats.org/drawingml/2006/chart">
            <c:chart xmlns:c="http://schemas.openxmlformats.org/drawingml/2006/chart" xmlns:r="http://schemas.openxmlformats.org/officeDocument/2006/relationships" r:id="rId3"/>
          </a:graphicData>
        </a:graphic>
      </xdr:graphicFrame>
      <xdr:cxnSp macro="">
        <xdr:nvCxnSpPr>
          <xdr:cNvPr id="4" name="4 Conector recto">
            <a:extLst>
              <a:ext uri="{FF2B5EF4-FFF2-40B4-BE49-F238E27FC236}">
                <a16:creationId xmlns:a16="http://schemas.microsoft.com/office/drawing/2014/main" id="{00000000-0008-0000-0100-000004000000}"/>
              </a:ext>
            </a:extLst>
          </xdr:cNvPr>
          <xdr:cNvCxnSpPr/>
        </xdr:nvCxnSpPr>
        <xdr:spPr>
          <a:xfrm flipV="1">
            <a:off x="8461376" y="5117293"/>
            <a:ext cx="4820708" cy="1"/>
          </a:xfrm>
          <a:prstGeom prst="line">
            <a:avLst/>
          </a:prstGeom>
          <a:ln w="28575">
            <a:solidFill>
              <a:srgbClr val="FF0000"/>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8" name="4 Conector recto">
            <a:extLst>
              <a:ext uri="{FF2B5EF4-FFF2-40B4-BE49-F238E27FC236}">
                <a16:creationId xmlns:a16="http://schemas.microsoft.com/office/drawing/2014/main" id="{00000000-0008-0000-0100-000008000000}"/>
              </a:ext>
            </a:extLst>
          </xdr:cNvPr>
          <xdr:cNvCxnSpPr/>
        </xdr:nvCxnSpPr>
        <xdr:spPr>
          <a:xfrm flipV="1">
            <a:off x="8442326" y="4702457"/>
            <a:ext cx="4820708" cy="1"/>
          </a:xfrm>
          <a:prstGeom prst="line">
            <a:avLst/>
          </a:prstGeom>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7</xdr:col>
      <xdr:colOff>59267</xdr:colOff>
      <xdr:row>0</xdr:row>
      <xdr:rowOff>59267</xdr:rowOff>
    </xdr:from>
    <xdr:to>
      <xdr:col>9</xdr:col>
      <xdr:colOff>250190</xdr:colOff>
      <xdr:row>1</xdr:row>
      <xdr:rowOff>210609</xdr:rowOff>
    </xdr:to>
    <xdr:sp macro="[0]!Imprime_Hojas" textlink="">
      <xdr:nvSpPr>
        <xdr:cNvPr id="3" name="Rectángulo redondeado 2">
          <a:extLst>
            <a:ext uri="{FF2B5EF4-FFF2-40B4-BE49-F238E27FC236}">
              <a16:creationId xmlns:a16="http://schemas.microsoft.com/office/drawing/2014/main" id="{00000000-0008-0000-0100-000003000000}"/>
            </a:ext>
          </a:extLst>
        </xdr:cNvPr>
        <xdr:cNvSpPr/>
      </xdr:nvSpPr>
      <xdr:spPr>
        <a:xfrm>
          <a:off x="8942917" y="52917"/>
          <a:ext cx="1735666" cy="381000"/>
        </a:xfrm>
        <a:prstGeom prst="roundRect">
          <a:avLst/>
        </a:prstGeom>
        <a:solidFill>
          <a:srgbClr val="FF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IMPRIMIR INFORME</a:t>
          </a:r>
          <a:endParaRPr lang="es-ES" sz="1100" b="1"/>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4</xdr:col>
      <xdr:colOff>390525</xdr:colOff>
      <xdr:row>31</xdr:row>
      <xdr:rowOff>47625</xdr:rowOff>
    </xdr:from>
    <xdr:to>
      <xdr:col>8</xdr:col>
      <xdr:colOff>666750</xdr:colOff>
      <xdr:row>41</xdr:row>
      <xdr:rowOff>57150</xdr:rowOff>
    </xdr:to>
    <xdr:graphicFrame macro="">
      <xdr:nvGraphicFramePr>
        <xdr:cNvPr id="71" name="Gráfico 70">
          <a:extLst>
            <a:ext uri="{FF2B5EF4-FFF2-40B4-BE49-F238E27FC236}">
              <a16:creationId xmlns:a16="http://schemas.microsoft.com/office/drawing/2014/main" id="{00000000-0008-0000-02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31</xdr:row>
      <xdr:rowOff>47625</xdr:rowOff>
    </xdr:from>
    <xdr:to>
      <xdr:col>4</xdr:col>
      <xdr:colOff>276225</xdr:colOff>
      <xdr:row>41</xdr:row>
      <xdr:rowOff>57150</xdr:rowOff>
    </xdr:to>
    <xdr:graphicFrame macro="">
      <xdr:nvGraphicFramePr>
        <xdr:cNvPr id="68" name="Gráfico 67">
          <a:extLst>
            <a:ext uri="{FF2B5EF4-FFF2-40B4-BE49-F238E27FC236}">
              <a16:creationId xmlns:a16="http://schemas.microsoft.com/office/drawing/2014/main" id="{00000000-0008-0000-02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560732</xdr:colOff>
      <xdr:row>20</xdr:row>
      <xdr:rowOff>184288</xdr:rowOff>
    </xdr:from>
    <xdr:to>
      <xdr:col>20</xdr:col>
      <xdr:colOff>513107</xdr:colOff>
      <xdr:row>31</xdr:row>
      <xdr:rowOff>3313</xdr:rowOff>
    </xdr:to>
    <xdr:graphicFrame macro="">
      <xdr:nvGraphicFramePr>
        <xdr:cNvPr id="66" name="Gráfico 65">
          <a:extLst>
            <a:ext uri="{FF2B5EF4-FFF2-40B4-BE49-F238E27FC236}">
              <a16:creationId xmlns:a16="http://schemas.microsoft.com/office/drawing/2014/main" id="{00000000-0008-0000-02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752475</xdr:colOff>
      <xdr:row>20</xdr:row>
      <xdr:rowOff>183046</xdr:rowOff>
    </xdr:from>
    <xdr:to>
      <xdr:col>14</xdr:col>
      <xdr:colOff>504825</xdr:colOff>
      <xdr:row>31</xdr:row>
      <xdr:rowOff>2071</xdr:rowOff>
    </xdr:to>
    <xdr:graphicFrame macro="">
      <xdr:nvGraphicFramePr>
        <xdr:cNvPr id="65" name="Gráfico 64">
          <a:extLst>
            <a:ext uri="{FF2B5EF4-FFF2-40B4-BE49-F238E27FC236}">
              <a16:creationId xmlns:a16="http://schemas.microsoft.com/office/drawing/2014/main" id="{00000000-0008-0000-02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409575</xdr:colOff>
      <xdr:row>20</xdr:row>
      <xdr:rowOff>180975</xdr:rowOff>
    </xdr:from>
    <xdr:to>
      <xdr:col>8</xdr:col>
      <xdr:colOff>685800</xdr:colOff>
      <xdr:row>31</xdr:row>
      <xdr:rowOff>0</xdr:rowOff>
    </xdr:to>
    <xdr:graphicFrame macro="">
      <xdr:nvGraphicFramePr>
        <xdr:cNvPr id="64" name="Gráfico 63">
          <a:extLst>
            <a:ext uri="{FF2B5EF4-FFF2-40B4-BE49-F238E27FC236}">
              <a16:creationId xmlns:a16="http://schemas.microsoft.com/office/drawing/2014/main" id="{00000000-0008-0000-02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514350</xdr:colOff>
      <xdr:row>0</xdr:row>
      <xdr:rowOff>73024</xdr:rowOff>
    </xdr:from>
    <xdr:ext cx="2121512" cy="612775"/>
    <xdr:pic>
      <xdr:nvPicPr>
        <xdr:cNvPr id="2" name="2 Imagen" descr="cid:imagebbd17b.JPG@739cedec.4aa3761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4350" y="73024"/>
          <a:ext cx="2121512" cy="612775"/>
        </a:xfrm>
        <a:prstGeom prst="rect">
          <a:avLst/>
        </a:prstGeom>
        <a:noFill/>
        <a:ln>
          <a:noFill/>
        </a:ln>
      </xdr:spPr>
    </xdr:pic>
    <xdr:clientData/>
  </xdr:oneCellAnchor>
  <xdr:twoCellAnchor>
    <xdr:from>
      <xdr:col>0</xdr:col>
      <xdr:colOff>9525</xdr:colOff>
      <xdr:row>4</xdr:row>
      <xdr:rowOff>133349</xdr:rowOff>
    </xdr:from>
    <xdr:to>
      <xdr:col>8</xdr:col>
      <xdr:colOff>733425</xdr:colOff>
      <xdr:row>19</xdr:row>
      <xdr:rowOff>161924</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309562</xdr:colOff>
      <xdr:row>53</xdr:row>
      <xdr:rowOff>3175</xdr:rowOff>
    </xdr:from>
    <xdr:to>
      <xdr:col>12</xdr:col>
      <xdr:colOff>434975</xdr:colOff>
      <xdr:row>63</xdr:row>
      <xdr:rowOff>3175</xdr:rowOff>
    </xdr:to>
    <xdr:graphicFrame macro="">
      <xdr:nvGraphicFramePr>
        <xdr:cNvPr id="4" name="Gráfico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38100</xdr:colOff>
      <xdr:row>4</xdr:row>
      <xdr:rowOff>171449</xdr:rowOff>
    </xdr:from>
    <xdr:to>
      <xdr:col>21</xdr:col>
      <xdr:colOff>0</xdr:colOff>
      <xdr:row>20</xdr:row>
      <xdr:rowOff>0</xdr:rowOff>
    </xdr:to>
    <xdr:graphicFrame macro="">
      <xdr:nvGraphicFramePr>
        <xdr:cNvPr id="8" name="Gráfico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523875</xdr:colOff>
      <xdr:row>12</xdr:row>
      <xdr:rowOff>19050</xdr:rowOff>
    </xdr:from>
    <xdr:to>
      <xdr:col>8</xdr:col>
      <xdr:colOff>581025</xdr:colOff>
      <xdr:row>12</xdr:row>
      <xdr:rowOff>19050</xdr:rowOff>
    </xdr:to>
    <xdr:cxnSp macro="">
      <xdr:nvCxnSpPr>
        <xdr:cNvPr id="10" name="Conector recto 9">
          <a:extLst>
            <a:ext uri="{FF2B5EF4-FFF2-40B4-BE49-F238E27FC236}">
              <a16:creationId xmlns:a16="http://schemas.microsoft.com/office/drawing/2014/main" id="{00000000-0008-0000-0200-00000A000000}"/>
            </a:ext>
          </a:extLst>
        </xdr:cNvPr>
        <xdr:cNvCxnSpPr/>
      </xdr:nvCxnSpPr>
      <xdr:spPr>
        <a:xfrm>
          <a:off x="523875" y="2457450"/>
          <a:ext cx="6153150"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523876</xdr:colOff>
      <xdr:row>12</xdr:row>
      <xdr:rowOff>68580</xdr:rowOff>
    </xdr:from>
    <xdr:to>
      <xdr:col>16</xdr:col>
      <xdr:colOff>317501</xdr:colOff>
      <xdr:row>18</xdr:row>
      <xdr:rowOff>23284</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rot="16200000">
          <a:off x="10791297" y="2785639"/>
          <a:ext cx="1051984" cy="37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solidFill>
                <a:schemeClr val="bg1"/>
              </a:solidFill>
            </a:rPr>
            <a:t>PROMEDIO </a:t>
          </a:r>
        </a:p>
      </xdr:txBody>
    </xdr:sp>
    <xdr:clientData/>
  </xdr:twoCellAnchor>
  <xdr:twoCellAnchor>
    <xdr:from>
      <xdr:col>9</xdr:col>
      <xdr:colOff>561975</xdr:colOff>
      <xdr:row>12</xdr:row>
      <xdr:rowOff>62865</xdr:rowOff>
    </xdr:from>
    <xdr:to>
      <xdr:col>17</xdr:col>
      <xdr:colOff>57150</xdr:colOff>
      <xdr:row>12</xdr:row>
      <xdr:rowOff>62865</xdr:rowOff>
    </xdr:to>
    <xdr:cxnSp macro="">
      <xdr:nvCxnSpPr>
        <xdr:cNvPr id="12" name="Conector recto 11">
          <a:extLst>
            <a:ext uri="{FF2B5EF4-FFF2-40B4-BE49-F238E27FC236}">
              <a16:creationId xmlns:a16="http://schemas.microsoft.com/office/drawing/2014/main" id="{00000000-0008-0000-0200-00000C000000}"/>
            </a:ext>
          </a:extLst>
        </xdr:cNvPr>
        <xdr:cNvCxnSpPr/>
      </xdr:nvCxnSpPr>
      <xdr:spPr>
        <a:xfrm>
          <a:off x="7694295" y="2440305"/>
          <a:ext cx="412813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514350</xdr:colOff>
      <xdr:row>25</xdr:row>
      <xdr:rowOff>85725</xdr:rowOff>
    </xdr:from>
    <xdr:to>
      <xdr:col>4</xdr:col>
      <xdr:colOff>123825</xdr:colOff>
      <xdr:row>25</xdr:row>
      <xdr:rowOff>85725</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514350" y="5000625"/>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161925</xdr:colOff>
      <xdr:row>25</xdr:row>
      <xdr:rowOff>85725</xdr:rowOff>
    </xdr:from>
    <xdr:to>
      <xdr:col>8</xdr:col>
      <xdr:colOff>533400</xdr:colOff>
      <xdr:row>25</xdr:row>
      <xdr:rowOff>85725</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3971925" y="5000625"/>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523875</xdr:colOff>
      <xdr:row>35</xdr:row>
      <xdr:rowOff>148756</xdr:rowOff>
    </xdr:from>
    <xdr:to>
      <xdr:col>4</xdr:col>
      <xdr:colOff>133350</xdr:colOff>
      <xdr:row>35</xdr:row>
      <xdr:rowOff>148756</xdr:rowOff>
    </xdr:to>
    <xdr:cxnSp macro="">
      <xdr:nvCxnSpPr>
        <xdr:cNvPr id="17" name="Conector recto 16">
          <a:extLst>
            <a:ext uri="{FF2B5EF4-FFF2-40B4-BE49-F238E27FC236}">
              <a16:creationId xmlns:a16="http://schemas.microsoft.com/office/drawing/2014/main" id="{00000000-0008-0000-0200-000011000000}"/>
            </a:ext>
          </a:extLst>
        </xdr:cNvPr>
        <xdr:cNvCxnSpPr/>
      </xdr:nvCxnSpPr>
      <xdr:spPr>
        <a:xfrm>
          <a:off x="523875" y="6981908"/>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141632</xdr:colOff>
      <xdr:row>35</xdr:row>
      <xdr:rowOff>155713</xdr:rowOff>
    </xdr:from>
    <xdr:to>
      <xdr:col>8</xdr:col>
      <xdr:colOff>513107</xdr:colOff>
      <xdr:row>35</xdr:row>
      <xdr:rowOff>155713</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3951632" y="6975613"/>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523875</xdr:colOff>
      <xdr:row>9</xdr:row>
      <xdr:rowOff>104775</xdr:rowOff>
    </xdr:from>
    <xdr:to>
      <xdr:col>8</xdr:col>
      <xdr:colOff>581025</xdr:colOff>
      <xdr:row>9</xdr:row>
      <xdr:rowOff>104775</xdr:rowOff>
    </xdr:to>
    <xdr:cxnSp macro="">
      <xdr:nvCxnSpPr>
        <xdr:cNvPr id="55" name="Conector recto 54">
          <a:extLst>
            <a:ext uri="{FF2B5EF4-FFF2-40B4-BE49-F238E27FC236}">
              <a16:creationId xmlns:a16="http://schemas.microsoft.com/office/drawing/2014/main" id="{00000000-0008-0000-0200-000037000000}"/>
            </a:ext>
          </a:extLst>
        </xdr:cNvPr>
        <xdr:cNvCxnSpPr/>
      </xdr:nvCxnSpPr>
      <xdr:spPr>
        <a:xfrm>
          <a:off x="523875" y="1971675"/>
          <a:ext cx="6153150"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0</xdr:colOff>
      <xdr:row>9</xdr:row>
      <xdr:rowOff>89535</xdr:rowOff>
    </xdr:from>
    <xdr:to>
      <xdr:col>17</xdr:col>
      <xdr:colOff>57150</xdr:colOff>
      <xdr:row>9</xdr:row>
      <xdr:rowOff>89535</xdr:rowOff>
    </xdr:to>
    <xdr:cxnSp macro="">
      <xdr:nvCxnSpPr>
        <xdr:cNvPr id="56" name="Conector recto 55">
          <a:extLst>
            <a:ext uri="{FF2B5EF4-FFF2-40B4-BE49-F238E27FC236}">
              <a16:creationId xmlns:a16="http://schemas.microsoft.com/office/drawing/2014/main" id="{00000000-0008-0000-0200-000038000000}"/>
            </a:ext>
          </a:extLst>
        </xdr:cNvPr>
        <xdr:cNvCxnSpPr/>
      </xdr:nvCxnSpPr>
      <xdr:spPr>
        <a:xfrm>
          <a:off x="7711440" y="1918335"/>
          <a:ext cx="4110990"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514350</xdr:colOff>
      <xdr:row>24</xdr:row>
      <xdr:rowOff>28575</xdr:rowOff>
    </xdr:from>
    <xdr:to>
      <xdr:col>4</xdr:col>
      <xdr:colOff>142875</xdr:colOff>
      <xdr:row>24</xdr:row>
      <xdr:rowOff>28575</xdr:rowOff>
    </xdr:to>
    <xdr:cxnSp macro="">
      <xdr:nvCxnSpPr>
        <xdr:cNvPr id="58" name="Conector recto 57">
          <a:extLst>
            <a:ext uri="{FF2B5EF4-FFF2-40B4-BE49-F238E27FC236}">
              <a16:creationId xmlns:a16="http://schemas.microsoft.com/office/drawing/2014/main" id="{00000000-0008-0000-0200-00003A000000}"/>
            </a:ext>
          </a:extLst>
        </xdr:cNvPr>
        <xdr:cNvCxnSpPr/>
      </xdr:nvCxnSpPr>
      <xdr:spPr>
        <a:xfrm>
          <a:off x="514350" y="4781550"/>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161925</xdr:colOff>
      <xdr:row>24</xdr:row>
      <xdr:rowOff>17145</xdr:rowOff>
    </xdr:from>
    <xdr:to>
      <xdr:col>8</xdr:col>
      <xdr:colOff>552450</xdr:colOff>
      <xdr:row>24</xdr:row>
      <xdr:rowOff>17145</xdr:rowOff>
    </xdr:to>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3971925" y="4741545"/>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523875</xdr:colOff>
      <xdr:row>34</xdr:row>
      <xdr:rowOff>87796</xdr:rowOff>
    </xdr:from>
    <xdr:to>
      <xdr:col>4</xdr:col>
      <xdr:colOff>152400</xdr:colOff>
      <xdr:row>34</xdr:row>
      <xdr:rowOff>87796</xdr:rowOff>
    </xdr:to>
    <xdr:cxnSp macro="">
      <xdr:nvCxnSpPr>
        <xdr:cNvPr id="61" name="Conector recto 60">
          <a:extLst>
            <a:ext uri="{FF2B5EF4-FFF2-40B4-BE49-F238E27FC236}">
              <a16:creationId xmlns:a16="http://schemas.microsoft.com/office/drawing/2014/main" id="{00000000-0008-0000-0200-00003D000000}"/>
            </a:ext>
          </a:extLst>
        </xdr:cNvPr>
        <xdr:cNvCxnSpPr/>
      </xdr:nvCxnSpPr>
      <xdr:spPr>
        <a:xfrm>
          <a:off x="523875" y="6730448"/>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141632</xdr:colOff>
      <xdr:row>34</xdr:row>
      <xdr:rowOff>89038</xdr:rowOff>
    </xdr:from>
    <xdr:to>
      <xdr:col>8</xdr:col>
      <xdr:colOff>532157</xdr:colOff>
      <xdr:row>34</xdr:row>
      <xdr:rowOff>89038</xdr:rowOff>
    </xdr:to>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3951632" y="6718438"/>
          <a:ext cx="2676525" cy="0"/>
        </a:xfrm>
        <a:prstGeom prst="line">
          <a:avLst/>
        </a:prstGeom>
        <a:ln>
          <a:solidFill>
            <a:srgbClr val="7030A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523875</xdr:colOff>
      <xdr:row>25</xdr:row>
      <xdr:rowOff>95250</xdr:rowOff>
    </xdr:from>
    <xdr:to>
      <xdr:col>14</xdr:col>
      <xdr:colOff>371475</xdr:colOff>
      <xdr:row>25</xdr:row>
      <xdr:rowOff>95250</xdr:rowOff>
    </xdr:to>
    <xdr:cxnSp macro="">
      <xdr:nvCxnSpPr>
        <xdr:cNvPr id="69" name="Conector recto 68">
          <a:extLst>
            <a:ext uri="{FF2B5EF4-FFF2-40B4-BE49-F238E27FC236}">
              <a16:creationId xmlns:a16="http://schemas.microsoft.com/office/drawing/2014/main" id="{00000000-0008-0000-0200-000045000000}"/>
            </a:ext>
          </a:extLst>
        </xdr:cNvPr>
        <xdr:cNvCxnSpPr/>
      </xdr:nvCxnSpPr>
      <xdr:spPr>
        <a:xfrm>
          <a:off x="7381875" y="5010150"/>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523875</xdr:colOff>
      <xdr:row>24</xdr:row>
      <xdr:rowOff>26670</xdr:rowOff>
    </xdr:from>
    <xdr:to>
      <xdr:col>14</xdr:col>
      <xdr:colOff>390525</xdr:colOff>
      <xdr:row>24</xdr:row>
      <xdr:rowOff>26670</xdr:rowOff>
    </xdr:to>
    <xdr:cxnSp macro="">
      <xdr:nvCxnSpPr>
        <xdr:cNvPr id="70" name="Conector recto 69">
          <a:extLst>
            <a:ext uri="{FF2B5EF4-FFF2-40B4-BE49-F238E27FC236}">
              <a16:creationId xmlns:a16="http://schemas.microsoft.com/office/drawing/2014/main" id="{00000000-0008-0000-0200-000046000000}"/>
            </a:ext>
          </a:extLst>
        </xdr:cNvPr>
        <xdr:cNvCxnSpPr/>
      </xdr:nvCxnSpPr>
      <xdr:spPr>
        <a:xfrm>
          <a:off x="7381875" y="4751070"/>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8</xdr:col>
      <xdr:colOff>752475</xdr:colOff>
      <xdr:row>31</xdr:row>
      <xdr:rowOff>57150</xdr:rowOff>
    </xdr:from>
    <xdr:to>
      <xdr:col>14</xdr:col>
      <xdr:colOff>504825</xdr:colOff>
      <xdr:row>41</xdr:row>
      <xdr:rowOff>66675</xdr:rowOff>
    </xdr:to>
    <xdr:graphicFrame macro="">
      <xdr:nvGraphicFramePr>
        <xdr:cNvPr id="72" name="Gráfico 71">
          <a:extLst>
            <a:ext uri="{FF2B5EF4-FFF2-40B4-BE49-F238E27FC236}">
              <a16:creationId xmlns:a16="http://schemas.microsoft.com/office/drawing/2014/main" id="{00000000-0008-0000-02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31</xdr:row>
      <xdr:rowOff>76200</xdr:rowOff>
    </xdr:from>
    <xdr:to>
      <xdr:col>20</xdr:col>
      <xdr:colOff>514350</xdr:colOff>
      <xdr:row>41</xdr:row>
      <xdr:rowOff>85725</xdr:rowOff>
    </xdr:to>
    <xdr:graphicFrame macro="">
      <xdr:nvGraphicFramePr>
        <xdr:cNvPr id="73" name="Gráfico 72">
          <a:extLst>
            <a:ext uri="{FF2B5EF4-FFF2-40B4-BE49-F238E27FC236}">
              <a16:creationId xmlns:a16="http://schemas.microsoft.com/office/drawing/2014/main" id="{00000000-0008-0000-02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9525</xdr:colOff>
      <xdr:row>41</xdr:row>
      <xdr:rowOff>180975</xdr:rowOff>
    </xdr:from>
    <xdr:to>
      <xdr:col>6</xdr:col>
      <xdr:colOff>285750</xdr:colOff>
      <xdr:row>52</xdr:row>
      <xdr:rowOff>0</xdr:rowOff>
    </xdr:to>
    <xdr:graphicFrame macro="">
      <xdr:nvGraphicFramePr>
        <xdr:cNvPr id="74" name="Gráfico 73">
          <a:extLst>
            <a:ext uri="{FF2B5EF4-FFF2-40B4-BE49-F238E27FC236}">
              <a16:creationId xmlns:a16="http://schemas.microsoft.com/office/drawing/2014/main" id="{00000000-0008-0000-02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41</xdr:row>
      <xdr:rowOff>180975</xdr:rowOff>
    </xdr:from>
    <xdr:to>
      <xdr:col>18</xdr:col>
      <xdr:colOff>514350</xdr:colOff>
      <xdr:row>52</xdr:row>
      <xdr:rowOff>0</xdr:rowOff>
    </xdr:to>
    <xdr:graphicFrame macro="">
      <xdr:nvGraphicFramePr>
        <xdr:cNvPr id="75" name="Gráfico 74">
          <a:extLst>
            <a:ext uri="{FF2B5EF4-FFF2-40B4-BE49-F238E27FC236}">
              <a16:creationId xmlns:a16="http://schemas.microsoft.com/office/drawing/2014/main" id="{00000000-0008-0000-02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9525</xdr:colOff>
      <xdr:row>41</xdr:row>
      <xdr:rowOff>180975</xdr:rowOff>
    </xdr:from>
    <xdr:to>
      <xdr:col>12</xdr:col>
      <xdr:colOff>130037</xdr:colOff>
      <xdr:row>52</xdr:row>
      <xdr:rowOff>0</xdr:rowOff>
    </xdr:to>
    <xdr:graphicFrame macro="">
      <xdr:nvGraphicFramePr>
        <xdr:cNvPr id="76" name="Gráfico 75">
          <a:extLst>
            <a:ext uri="{FF2B5EF4-FFF2-40B4-BE49-F238E27FC236}">
              <a16:creationId xmlns:a16="http://schemas.microsoft.com/office/drawing/2014/main" id="{00000000-0008-0000-02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523875</xdr:colOff>
      <xdr:row>25</xdr:row>
      <xdr:rowOff>95250</xdr:rowOff>
    </xdr:from>
    <xdr:to>
      <xdr:col>20</xdr:col>
      <xdr:colOff>371475</xdr:colOff>
      <xdr:row>25</xdr:row>
      <xdr:rowOff>95250</xdr:rowOff>
    </xdr:to>
    <xdr:cxnSp macro="">
      <xdr:nvCxnSpPr>
        <xdr:cNvPr id="77" name="Conector recto 76">
          <a:extLst>
            <a:ext uri="{FF2B5EF4-FFF2-40B4-BE49-F238E27FC236}">
              <a16:creationId xmlns:a16="http://schemas.microsoft.com/office/drawing/2014/main" id="{00000000-0008-0000-0200-00004D000000}"/>
            </a:ext>
          </a:extLst>
        </xdr:cNvPr>
        <xdr:cNvCxnSpPr/>
      </xdr:nvCxnSpPr>
      <xdr:spPr>
        <a:xfrm>
          <a:off x="10753725" y="5010150"/>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523875</xdr:colOff>
      <xdr:row>24</xdr:row>
      <xdr:rowOff>26670</xdr:rowOff>
    </xdr:from>
    <xdr:to>
      <xdr:col>20</xdr:col>
      <xdr:colOff>390525</xdr:colOff>
      <xdr:row>24</xdr:row>
      <xdr:rowOff>26670</xdr:rowOff>
    </xdr:to>
    <xdr:cxnSp macro="">
      <xdr:nvCxnSpPr>
        <xdr:cNvPr id="78" name="Conector recto 77">
          <a:extLst>
            <a:ext uri="{FF2B5EF4-FFF2-40B4-BE49-F238E27FC236}">
              <a16:creationId xmlns:a16="http://schemas.microsoft.com/office/drawing/2014/main" id="{00000000-0008-0000-0200-00004E000000}"/>
            </a:ext>
          </a:extLst>
        </xdr:cNvPr>
        <xdr:cNvCxnSpPr/>
      </xdr:nvCxnSpPr>
      <xdr:spPr>
        <a:xfrm>
          <a:off x="10753725" y="4751070"/>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514350</xdr:colOff>
      <xdr:row>35</xdr:row>
      <xdr:rowOff>161925</xdr:rowOff>
    </xdr:from>
    <xdr:to>
      <xdr:col>14</xdr:col>
      <xdr:colOff>361950</xdr:colOff>
      <xdr:row>35</xdr:row>
      <xdr:rowOff>161925</xdr:rowOff>
    </xdr:to>
    <xdr:cxnSp macro="">
      <xdr:nvCxnSpPr>
        <xdr:cNvPr id="79" name="Conector recto 78">
          <a:extLst>
            <a:ext uri="{FF2B5EF4-FFF2-40B4-BE49-F238E27FC236}">
              <a16:creationId xmlns:a16="http://schemas.microsoft.com/office/drawing/2014/main" id="{00000000-0008-0000-0200-00004F000000}"/>
            </a:ext>
          </a:extLst>
        </xdr:cNvPr>
        <xdr:cNvCxnSpPr/>
      </xdr:nvCxnSpPr>
      <xdr:spPr>
        <a:xfrm>
          <a:off x="7372350" y="6981825"/>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514350</xdr:colOff>
      <xdr:row>34</xdr:row>
      <xdr:rowOff>93345</xdr:rowOff>
    </xdr:from>
    <xdr:to>
      <xdr:col>14</xdr:col>
      <xdr:colOff>381000</xdr:colOff>
      <xdr:row>34</xdr:row>
      <xdr:rowOff>93345</xdr:rowOff>
    </xdr:to>
    <xdr:cxnSp macro="">
      <xdr:nvCxnSpPr>
        <xdr:cNvPr id="80" name="Conector recto 79">
          <a:extLst>
            <a:ext uri="{FF2B5EF4-FFF2-40B4-BE49-F238E27FC236}">
              <a16:creationId xmlns:a16="http://schemas.microsoft.com/office/drawing/2014/main" id="{00000000-0008-0000-0200-000050000000}"/>
            </a:ext>
          </a:extLst>
        </xdr:cNvPr>
        <xdr:cNvCxnSpPr/>
      </xdr:nvCxnSpPr>
      <xdr:spPr>
        <a:xfrm>
          <a:off x="7372350" y="6722745"/>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523875</xdr:colOff>
      <xdr:row>35</xdr:row>
      <xdr:rowOff>182880</xdr:rowOff>
    </xdr:from>
    <xdr:to>
      <xdr:col>20</xdr:col>
      <xdr:colOff>371475</xdr:colOff>
      <xdr:row>35</xdr:row>
      <xdr:rowOff>182880</xdr:rowOff>
    </xdr:to>
    <xdr:cxnSp macro="">
      <xdr:nvCxnSpPr>
        <xdr:cNvPr id="81" name="Conector recto 80">
          <a:extLst>
            <a:ext uri="{FF2B5EF4-FFF2-40B4-BE49-F238E27FC236}">
              <a16:creationId xmlns:a16="http://schemas.microsoft.com/office/drawing/2014/main" id="{00000000-0008-0000-0200-000051000000}"/>
            </a:ext>
          </a:extLst>
        </xdr:cNvPr>
        <xdr:cNvCxnSpPr/>
      </xdr:nvCxnSpPr>
      <xdr:spPr>
        <a:xfrm>
          <a:off x="10753725" y="7002780"/>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15</xdr:col>
      <xdr:colOff>523875</xdr:colOff>
      <xdr:row>34</xdr:row>
      <xdr:rowOff>114300</xdr:rowOff>
    </xdr:from>
    <xdr:to>
      <xdr:col>20</xdr:col>
      <xdr:colOff>390525</xdr:colOff>
      <xdr:row>34</xdr:row>
      <xdr:rowOff>114300</xdr:rowOff>
    </xdr:to>
    <xdr:cxnSp macro="">
      <xdr:nvCxnSpPr>
        <xdr:cNvPr id="82" name="Conector recto 81">
          <a:extLst>
            <a:ext uri="{FF2B5EF4-FFF2-40B4-BE49-F238E27FC236}">
              <a16:creationId xmlns:a16="http://schemas.microsoft.com/office/drawing/2014/main" id="{00000000-0008-0000-0200-000052000000}"/>
            </a:ext>
          </a:extLst>
        </xdr:cNvPr>
        <xdr:cNvCxnSpPr/>
      </xdr:nvCxnSpPr>
      <xdr:spPr>
        <a:xfrm>
          <a:off x="10753725" y="6743700"/>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523875</xdr:colOff>
      <xdr:row>46</xdr:row>
      <xdr:rowOff>87630</xdr:rowOff>
    </xdr:from>
    <xdr:to>
      <xdr:col>6</xdr:col>
      <xdr:colOff>133350</xdr:colOff>
      <xdr:row>46</xdr:row>
      <xdr:rowOff>87630</xdr:rowOff>
    </xdr:to>
    <xdr:cxnSp macro="">
      <xdr:nvCxnSpPr>
        <xdr:cNvPr id="83" name="Conector recto 82">
          <a:extLst>
            <a:ext uri="{FF2B5EF4-FFF2-40B4-BE49-F238E27FC236}">
              <a16:creationId xmlns:a16="http://schemas.microsoft.com/office/drawing/2014/main" id="{00000000-0008-0000-0200-000053000000}"/>
            </a:ext>
          </a:extLst>
        </xdr:cNvPr>
        <xdr:cNvCxnSpPr/>
      </xdr:nvCxnSpPr>
      <xdr:spPr>
        <a:xfrm>
          <a:off x="2047875" y="9003030"/>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523875</xdr:colOff>
      <xdr:row>45</xdr:row>
      <xdr:rowOff>19050</xdr:rowOff>
    </xdr:from>
    <xdr:to>
      <xdr:col>6</xdr:col>
      <xdr:colOff>152400</xdr:colOff>
      <xdr:row>45</xdr:row>
      <xdr:rowOff>19050</xdr:rowOff>
    </xdr:to>
    <xdr:cxnSp macro="">
      <xdr:nvCxnSpPr>
        <xdr:cNvPr id="84" name="Conector recto 83">
          <a:extLst>
            <a:ext uri="{FF2B5EF4-FFF2-40B4-BE49-F238E27FC236}">
              <a16:creationId xmlns:a16="http://schemas.microsoft.com/office/drawing/2014/main" id="{00000000-0008-0000-0200-000054000000}"/>
            </a:ext>
          </a:extLst>
        </xdr:cNvPr>
        <xdr:cNvCxnSpPr/>
      </xdr:nvCxnSpPr>
      <xdr:spPr>
        <a:xfrm>
          <a:off x="2047875" y="8743950"/>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514350</xdr:colOff>
      <xdr:row>46</xdr:row>
      <xdr:rowOff>97155</xdr:rowOff>
    </xdr:from>
    <xdr:to>
      <xdr:col>18</xdr:col>
      <xdr:colOff>361950</xdr:colOff>
      <xdr:row>46</xdr:row>
      <xdr:rowOff>97155</xdr:rowOff>
    </xdr:to>
    <xdr:cxnSp macro="">
      <xdr:nvCxnSpPr>
        <xdr:cNvPr id="85" name="Conector recto 84">
          <a:extLst>
            <a:ext uri="{FF2B5EF4-FFF2-40B4-BE49-F238E27FC236}">
              <a16:creationId xmlns:a16="http://schemas.microsoft.com/office/drawing/2014/main" id="{00000000-0008-0000-0200-000055000000}"/>
            </a:ext>
          </a:extLst>
        </xdr:cNvPr>
        <xdr:cNvCxnSpPr/>
      </xdr:nvCxnSpPr>
      <xdr:spPr>
        <a:xfrm>
          <a:off x="9620250" y="9012555"/>
          <a:ext cx="2657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514350</xdr:colOff>
      <xdr:row>45</xdr:row>
      <xdr:rowOff>28575</xdr:rowOff>
    </xdr:from>
    <xdr:to>
      <xdr:col>18</xdr:col>
      <xdr:colOff>381000</xdr:colOff>
      <xdr:row>45</xdr:row>
      <xdr:rowOff>28575</xdr:rowOff>
    </xdr:to>
    <xdr:cxnSp macro="">
      <xdr:nvCxnSpPr>
        <xdr:cNvPr id="86" name="Conector recto 85">
          <a:extLst>
            <a:ext uri="{FF2B5EF4-FFF2-40B4-BE49-F238E27FC236}">
              <a16:creationId xmlns:a16="http://schemas.microsoft.com/office/drawing/2014/main" id="{00000000-0008-0000-0200-000056000000}"/>
            </a:ext>
          </a:extLst>
        </xdr:cNvPr>
        <xdr:cNvCxnSpPr/>
      </xdr:nvCxnSpPr>
      <xdr:spPr>
        <a:xfrm>
          <a:off x="9620250" y="8753475"/>
          <a:ext cx="2676525"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533401</xdr:colOff>
      <xdr:row>46</xdr:row>
      <xdr:rowOff>88873</xdr:rowOff>
    </xdr:from>
    <xdr:to>
      <xdr:col>11</xdr:col>
      <xdr:colOff>549138</xdr:colOff>
      <xdr:row>46</xdr:row>
      <xdr:rowOff>88873</xdr:rowOff>
    </xdr:to>
    <xdr:cxnSp macro="">
      <xdr:nvCxnSpPr>
        <xdr:cNvPr id="87" name="Conector recto 86">
          <a:extLst>
            <a:ext uri="{FF2B5EF4-FFF2-40B4-BE49-F238E27FC236}">
              <a16:creationId xmlns:a16="http://schemas.microsoft.com/office/drawing/2014/main" id="{00000000-0008-0000-0200-000057000000}"/>
            </a:ext>
          </a:extLst>
        </xdr:cNvPr>
        <xdr:cNvCxnSpPr/>
      </xdr:nvCxnSpPr>
      <xdr:spPr>
        <a:xfrm>
          <a:off x="5867401" y="9004273"/>
          <a:ext cx="2663687"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7</xdr:col>
      <xdr:colOff>533401</xdr:colOff>
      <xdr:row>45</xdr:row>
      <xdr:rowOff>20293</xdr:rowOff>
    </xdr:from>
    <xdr:to>
      <xdr:col>12</xdr:col>
      <xdr:colOff>6213</xdr:colOff>
      <xdr:row>45</xdr:row>
      <xdr:rowOff>20293</xdr:rowOff>
    </xdr:to>
    <xdr:cxnSp macro="">
      <xdr:nvCxnSpPr>
        <xdr:cNvPr id="88" name="Conector recto 87">
          <a:extLst>
            <a:ext uri="{FF2B5EF4-FFF2-40B4-BE49-F238E27FC236}">
              <a16:creationId xmlns:a16="http://schemas.microsoft.com/office/drawing/2014/main" id="{00000000-0008-0000-0200-000058000000}"/>
            </a:ext>
          </a:extLst>
        </xdr:cNvPr>
        <xdr:cNvCxnSpPr/>
      </xdr:nvCxnSpPr>
      <xdr:spPr>
        <a:xfrm>
          <a:off x="5867401" y="8745193"/>
          <a:ext cx="2682737"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742950</xdr:colOff>
      <xdr:row>0</xdr:row>
      <xdr:rowOff>130174</xdr:rowOff>
    </xdr:from>
    <xdr:ext cx="2121512" cy="612775"/>
    <xdr:pic>
      <xdr:nvPicPr>
        <xdr:cNvPr id="2" name="2 Imagen" descr="cid:imagebbd17b.JPG@739cedec.4aa3761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950" y="130174"/>
          <a:ext cx="2121512" cy="61277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514350</xdr:colOff>
      <xdr:row>0</xdr:row>
      <xdr:rowOff>73024</xdr:rowOff>
    </xdr:from>
    <xdr:ext cx="2121512" cy="612775"/>
    <xdr:pic>
      <xdr:nvPicPr>
        <xdr:cNvPr id="2" name="2 Imagen" descr="cid:imagebbd17b.JPG@739cedec.4aa3761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73024"/>
          <a:ext cx="2121512" cy="612775"/>
        </a:xfrm>
        <a:prstGeom prst="rect">
          <a:avLst/>
        </a:prstGeom>
        <a:noFill/>
        <a:ln>
          <a:noFill/>
        </a:ln>
      </xdr:spPr>
    </xdr:pic>
    <xdr:clientData/>
  </xdr:oneCellAnchor>
  <xdr:twoCellAnchor>
    <xdr:from>
      <xdr:col>0</xdr:col>
      <xdr:colOff>0</xdr:colOff>
      <xdr:row>6</xdr:row>
      <xdr:rowOff>0</xdr:rowOff>
    </xdr:from>
    <xdr:to>
      <xdr:col>6</xdr:col>
      <xdr:colOff>238125</xdr:colOff>
      <xdr:row>20</xdr:row>
      <xdr:rowOff>152400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523875</xdr:colOff>
      <xdr:row>10</xdr:row>
      <xdr:rowOff>19050</xdr:rowOff>
    </xdr:from>
    <xdr:to>
      <xdr:col>5</xdr:col>
      <xdr:colOff>619125</xdr:colOff>
      <xdr:row>10</xdr:row>
      <xdr:rowOff>19050</xdr:rowOff>
    </xdr:to>
    <xdr:cxnSp macro="">
      <xdr:nvCxnSpPr>
        <xdr:cNvPr id="4" name="Conector recto 3">
          <a:extLst>
            <a:ext uri="{FF2B5EF4-FFF2-40B4-BE49-F238E27FC236}">
              <a16:creationId xmlns:a16="http://schemas.microsoft.com/office/drawing/2014/main" id="{00000000-0008-0000-0400-000004000000}"/>
            </a:ext>
          </a:extLst>
        </xdr:cNvPr>
        <xdr:cNvCxnSpPr/>
      </xdr:nvCxnSpPr>
      <xdr:spPr>
        <a:xfrm>
          <a:off x="523875" y="2343150"/>
          <a:ext cx="3905250"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504825</xdr:colOff>
      <xdr:row>13</xdr:row>
      <xdr:rowOff>57150</xdr:rowOff>
    </xdr:from>
    <xdr:to>
      <xdr:col>5</xdr:col>
      <xdr:colOff>619125</xdr:colOff>
      <xdr:row>13</xdr:row>
      <xdr:rowOff>57150</xdr:rowOff>
    </xdr:to>
    <xdr:cxnSp macro="">
      <xdr:nvCxnSpPr>
        <xdr:cNvPr id="6" name="Conector recto 5">
          <a:extLst>
            <a:ext uri="{FF2B5EF4-FFF2-40B4-BE49-F238E27FC236}">
              <a16:creationId xmlns:a16="http://schemas.microsoft.com/office/drawing/2014/main" id="{00000000-0008-0000-0400-000006000000}"/>
            </a:ext>
          </a:extLst>
        </xdr:cNvPr>
        <xdr:cNvCxnSpPr/>
      </xdr:nvCxnSpPr>
      <xdr:spPr>
        <a:xfrm>
          <a:off x="504825" y="2952750"/>
          <a:ext cx="3924300"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9</xdr:col>
      <xdr:colOff>190500</xdr:colOff>
      <xdr:row>31</xdr:row>
      <xdr:rowOff>70207</xdr:rowOff>
    </xdr:from>
    <xdr:ext cx="771525" cy="802697"/>
    <xdr:pic>
      <xdr:nvPicPr>
        <xdr:cNvPr id="8" name="Imagen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9858375" y="4604107"/>
          <a:ext cx="771525" cy="802697"/>
        </a:xfrm>
        <a:prstGeom prst="rect">
          <a:avLst/>
        </a:prstGeom>
      </xdr:spPr>
    </xdr:pic>
    <xdr:clientData/>
  </xdr:oneCellAnchor>
  <xdr:oneCellAnchor>
    <xdr:from>
      <xdr:col>13</xdr:col>
      <xdr:colOff>123825</xdr:colOff>
      <xdr:row>31</xdr:row>
      <xdr:rowOff>70207</xdr:rowOff>
    </xdr:from>
    <xdr:ext cx="771525" cy="802697"/>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stretch>
          <a:fillRect/>
        </a:stretch>
      </xdr:blipFill>
      <xdr:spPr>
        <a:xfrm>
          <a:off x="12039600" y="4604107"/>
          <a:ext cx="771525" cy="802697"/>
        </a:xfrm>
        <a:prstGeom prst="rect">
          <a:avLst/>
        </a:prstGeom>
      </xdr:spPr>
    </xdr:pic>
    <xdr:clientData/>
  </xdr:oneCellAnchor>
  <xdr:oneCellAnchor>
    <xdr:from>
      <xdr:col>9</xdr:col>
      <xdr:colOff>238125</xdr:colOff>
      <xdr:row>41</xdr:row>
      <xdr:rowOff>76200</xdr:rowOff>
    </xdr:from>
    <xdr:ext cx="771525" cy="802697"/>
    <xdr:pic>
      <xdr:nvPicPr>
        <xdr:cNvPr id="11" name="Imagen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3"/>
        <a:stretch>
          <a:fillRect/>
        </a:stretch>
      </xdr:blipFill>
      <xdr:spPr>
        <a:xfrm>
          <a:off x="9906000" y="6515100"/>
          <a:ext cx="771525" cy="802697"/>
        </a:xfrm>
        <a:prstGeom prst="rect">
          <a:avLst/>
        </a:prstGeom>
      </xdr:spPr>
    </xdr:pic>
    <xdr:clientData/>
  </xdr:oneCellAnchor>
  <xdr:oneCellAnchor>
    <xdr:from>
      <xdr:col>13</xdr:col>
      <xdr:colOff>171450</xdr:colOff>
      <xdr:row>41</xdr:row>
      <xdr:rowOff>76200</xdr:rowOff>
    </xdr:from>
    <xdr:ext cx="771525" cy="802697"/>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12087225" y="6515100"/>
          <a:ext cx="771525" cy="802697"/>
        </a:xfrm>
        <a:prstGeom prst="rect">
          <a:avLst/>
        </a:prstGeom>
      </xdr:spPr>
    </xdr:pic>
    <xdr:clientData/>
  </xdr:oneCellAnchor>
  <xdr:oneCellAnchor>
    <xdr:from>
      <xdr:col>8</xdr:col>
      <xdr:colOff>76200</xdr:colOff>
      <xdr:row>36</xdr:row>
      <xdr:rowOff>69774</xdr:rowOff>
    </xdr:from>
    <xdr:ext cx="428625" cy="445943"/>
    <xdr:pic>
      <xdr:nvPicPr>
        <xdr:cNvPr id="17" name="Imagen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9182100" y="5556174"/>
          <a:ext cx="428625" cy="445943"/>
        </a:xfrm>
        <a:prstGeom prst="rect">
          <a:avLst/>
        </a:prstGeom>
      </xdr:spPr>
    </xdr:pic>
    <xdr:clientData/>
  </xdr:oneCellAnchor>
  <xdr:oneCellAnchor>
    <xdr:from>
      <xdr:col>9</xdr:col>
      <xdr:colOff>76200</xdr:colOff>
      <xdr:row>36</xdr:row>
      <xdr:rowOff>69774</xdr:rowOff>
    </xdr:from>
    <xdr:ext cx="428625" cy="445943"/>
    <xdr:pic>
      <xdr:nvPicPr>
        <xdr:cNvPr id="18" name="Imagen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3"/>
        <a:stretch>
          <a:fillRect/>
        </a:stretch>
      </xdr:blipFill>
      <xdr:spPr>
        <a:xfrm>
          <a:off x="9744075" y="5556174"/>
          <a:ext cx="428625" cy="445943"/>
        </a:xfrm>
        <a:prstGeom prst="rect">
          <a:avLst/>
        </a:prstGeom>
      </xdr:spPr>
    </xdr:pic>
    <xdr:clientData/>
  </xdr:oneCellAnchor>
  <xdr:oneCellAnchor>
    <xdr:from>
      <xdr:col>10</xdr:col>
      <xdr:colOff>57150</xdr:colOff>
      <xdr:row>36</xdr:row>
      <xdr:rowOff>69774</xdr:rowOff>
    </xdr:from>
    <xdr:ext cx="428625" cy="445943"/>
    <xdr:pic>
      <xdr:nvPicPr>
        <xdr:cNvPr id="19" name="Imagen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3"/>
        <a:stretch>
          <a:fillRect/>
        </a:stretch>
      </xdr:blipFill>
      <xdr:spPr>
        <a:xfrm>
          <a:off x="10287000" y="5556174"/>
          <a:ext cx="428625" cy="445943"/>
        </a:xfrm>
        <a:prstGeom prst="rect">
          <a:avLst/>
        </a:prstGeom>
      </xdr:spPr>
    </xdr:pic>
    <xdr:clientData/>
  </xdr:oneCellAnchor>
  <xdr:oneCellAnchor>
    <xdr:from>
      <xdr:col>11</xdr:col>
      <xdr:colOff>47625</xdr:colOff>
      <xdr:row>36</xdr:row>
      <xdr:rowOff>69774</xdr:rowOff>
    </xdr:from>
    <xdr:ext cx="428625" cy="445943"/>
    <xdr:pic>
      <xdr:nvPicPr>
        <xdr:cNvPr id="20" name="Imagen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3"/>
        <a:stretch>
          <a:fillRect/>
        </a:stretch>
      </xdr:blipFill>
      <xdr:spPr>
        <a:xfrm>
          <a:off x="10839450" y="5556174"/>
          <a:ext cx="428625" cy="445943"/>
        </a:xfrm>
        <a:prstGeom prst="rect">
          <a:avLst/>
        </a:prstGeom>
      </xdr:spPr>
    </xdr:pic>
    <xdr:clientData/>
  </xdr:oneCellAnchor>
  <xdr:oneCellAnchor>
    <xdr:from>
      <xdr:col>12</xdr:col>
      <xdr:colOff>76200</xdr:colOff>
      <xdr:row>36</xdr:row>
      <xdr:rowOff>57150</xdr:rowOff>
    </xdr:from>
    <xdr:ext cx="428625" cy="445943"/>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1430000" y="5543550"/>
          <a:ext cx="428625" cy="445943"/>
        </a:xfrm>
        <a:prstGeom prst="rect">
          <a:avLst/>
        </a:prstGeom>
      </xdr:spPr>
    </xdr:pic>
    <xdr:clientData/>
  </xdr:oneCellAnchor>
  <xdr:oneCellAnchor>
    <xdr:from>
      <xdr:col>13</xdr:col>
      <xdr:colOff>76200</xdr:colOff>
      <xdr:row>36</xdr:row>
      <xdr:rowOff>57150</xdr:rowOff>
    </xdr:from>
    <xdr:ext cx="428625" cy="445943"/>
    <xdr:pic>
      <xdr:nvPicPr>
        <xdr:cNvPr id="22" name="Imagen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3"/>
        <a:stretch>
          <a:fillRect/>
        </a:stretch>
      </xdr:blipFill>
      <xdr:spPr>
        <a:xfrm>
          <a:off x="11991975" y="5543550"/>
          <a:ext cx="428625" cy="445943"/>
        </a:xfrm>
        <a:prstGeom prst="rect">
          <a:avLst/>
        </a:prstGeom>
      </xdr:spPr>
    </xdr:pic>
    <xdr:clientData/>
  </xdr:oneCellAnchor>
  <xdr:oneCellAnchor>
    <xdr:from>
      <xdr:col>14</xdr:col>
      <xdr:colOff>57150</xdr:colOff>
      <xdr:row>36</xdr:row>
      <xdr:rowOff>57150</xdr:rowOff>
    </xdr:from>
    <xdr:ext cx="428625" cy="445943"/>
    <xdr:pic>
      <xdr:nvPicPr>
        <xdr:cNvPr id="23" name="Imagen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3"/>
        <a:stretch>
          <a:fillRect/>
        </a:stretch>
      </xdr:blipFill>
      <xdr:spPr>
        <a:xfrm>
          <a:off x="12534900" y="5543550"/>
          <a:ext cx="428625" cy="445943"/>
        </a:xfrm>
        <a:prstGeom prst="rect">
          <a:avLst/>
        </a:prstGeom>
      </xdr:spPr>
    </xdr:pic>
    <xdr:clientData/>
  </xdr:oneCellAnchor>
  <xdr:oneCellAnchor>
    <xdr:from>
      <xdr:col>15</xdr:col>
      <xdr:colOff>47625</xdr:colOff>
      <xdr:row>36</xdr:row>
      <xdr:rowOff>57150</xdr:rowOff>
    </xdr:from>
    <xdr:ext cx="428625" cy="445943"/>
    <xdr:pic>
      <xdr:nvPicPr>
        <xdr:cNvPr id="24" name="Imagen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3"/>
        <a:stretch>
          <a:fillRect/>
        </a:stretch>
      </xdr:blipFill>
      <xdr:spPr>
        <a:xfrm>
          <a:off x="13087350" y="5543550"/>
          <a:ext cx="428625" cy="445943"/>
        </a:xfrm>
        <a:prstGeom prst="rect">
          <a:avLst/>
        </a:prstGeom>
      </xdr:spPr>
    </xdr:pic>
    <xdr:clientData/>
  </xdr:oneCellAnchor>
  <xdr:oneCellAnchor>
    <xdr:from>
      <xdr:col>8</xdr:col>
      <xdr:colOff>85725</xdr:colOff>
      <xdr:row>46</xdr:row>
      <xdr:rowOff>66675</xdr:rowOff>
    </xdr:from>
    <xdr:ext cx="428625" cy="445943"/>
    <xdr:pic>
      <xdr:nvPicPr>
        <xdr:cNvPr id="29" name="Imagen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3"/>
        <a:stretch>
          <a:fillRect/>
        </a:stretch>
      </xdr:blipFill>
      <xdr:spPr>
        <a:xfrm>
          <a:off x="9191625" y="7458075"/>
          <a:ext cx="428625" cy="445943"/>
        </a:xfrm>
        <a:prstGeom prst="rect">
          <a:avLst/>
        </a:prstGeom>
      </xdr:spPr>
    </xdr:pic>
    <xdr:clientData/>
  </xdr:oneCellAnchor>
  <xdr:oneCellAnchor>
    <xdr:from>
      <xdr:col>9</xdr:col>
      <xdr:colOff>85725</xdr:colOff>
      <xdr:row>46</xdr:row>
      <xdr:rowOff>66675</xdr:rowOff>
    </xdr:from>
    <xdr:ext cx="428625" cy="445943"/>
    <xdr:pic>
      <xdr:nvPicPr>
        <xdr:cNvPr id="30" name="Imagen 29">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3"/>
        <a:stretch>
          <a:fillRect/>
        </a:stretch>
      </xdr:blipFill>
      <xdr:spPr>
        <a:xfrm>
          <a:off x="9753600" y="7458075"/>
          <a:ext cx="428625" cy="445943"/>
        </a:xfrm>
        <a:prstGeom prst="rect">
          <a:avLst/>
        </a:prstGeom>
      </xdr:spPr>
    </xdr:pic>
    <xdr:clientData/>
  </xdr:oneCellAnchor>
  <xdr:oneCellAnchor>
    <xdr:from>
      <xdr:col>10</xdr:col>
      <xdr:colOff>66675</xdr:colOff>
      <xdr:row>46</xdr:row>
      <xdr:rowOff>66675</xdr:rowOff>
    </xdr:from>
    <xdr:ext cx="428625" cy="445943"/>
    <xdr:pic>
      <xdr:nvPicPr>
        <xdr:cNvPr id="31" name="Imagen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3"/>
        <a:stretch>
          <a:fillRect/>
        </a:stretch>
      </xdr:blipFill>
      <xdr:spPr>
        <a:xfrm>
          <a:off x="10296525" y="7458075"/>
          <a:ext cx="428625" cy="445943"/>
        </a:xfrm>
        <a:prstGeom prst="rect">
          <a:avLst/>
        </a:prstGeom>
      </xdr:spPr>
    </xdr:pic>
    <xdr:clientData/>
  </xdr:oneCellAnchor>
  <xdr:oneCellAnchor>
    <xdr:from>
      <xdr:col>11</xdr:col>
      <xdr:colOff>57150</xdr:colOff>
      <xdr:row>46</xdr:row>
      <xdr:rowOff>66675</xdr:rowOff>
    </xdr:from>
    <xdr:ext cx="428625" cy="445943"/>
    <xdr:pic>
      <xdr:nvPicPr>
        <xdr:cNvPr id="32" name="Imagen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3"/>
        <a:stretch>
          <a:fillRect/>
        </a:stretch>
      </xdr:blipFill>
      <xdr:spPr>
        <a:xfrm>
          <a:off x="10848975" y="7458075"/>
          <a:ext cx="428625" cy="445943"/>
        </a:xfrm>
        <a:prstGeom prst="rect">
          <a:avLst/>
        </a:prstGeom>
      </xdr:spPr>
    </xdr:pic>
    <xdr:clientData/>
  </xdr:oneCellAnchor>
  <xdr:oneCellAnchor>
    <xdr:from>
      <xdr:col>12</xdr:col>
      <xdr:colOff>76200</xdr:colOff>
      <xdr:row>46</xdr:row>
      <xdr:rowOff>66675</xdr:rowOff>
    </xdr:from>
    <xdr:ext cx="428625" cy="445943"/>
    <xdr:pic>
      <xdr:nvPicPr>
        <xdr:cNvPr id="33" name="Imagen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3"/>
        <a:stretch>
          <a:fillRect/>
        </a:stretch>
      </xdr:blipFill>
      <xdr:spPr>
        <a:xfrm>
          <a:off x="11430000" y="7458075"/>
          <a:ext cx="428625" cy="445943"/>
        </a:xfrm>
        <a:prstGeom prst="rect">
          <a:avLst/>
        </a:prstGeom>
      </xdr:spPr>
    </xdr:pic>
    <xdr:clientData/>
  </xdr:oneCellAnchor>
  <xdr:oneCellAnchor>
    <xdr:from>
      <xdr:col>13</xdr:col>
      <xdr:colOff>76200</xdr:colOff>
      <xdr:row>46</xdr:row>
      <xdr:rowOff>66675</xdr:rowOff>
    </xdr:from>
    <xdr:ext cx="428625" cy="445943"/>
    <xdr:pic>
      <xdr:nvPicPr>
        <xdr:cNvPr id="34" name="Imagen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3"/>
        <a:stretch>
          <a:fillRect/>
        </a:stretch>
      </xdr:blipFill>
      <xdr:spPr>
        <a:xfrm>
          <a:off x="11991975" y="7458075"/>
          <a:ext cx="428625" cy="445943"/>
        </a:xfrm>
        <a:prstGeom prst="rect">
          <a:avLst/>
        </a:prstGeom>
      </xdr:spPr>
    </xdr:pic>
    <xdr:clientData/>
  </xdr:oneCellAnchor>
  <xdr:oneCellAnchor>
    <xdr:from>
      <xdr:col>14</xdr:col>
      <xdr:colOff>57150</xdr:colOff>
      <xdr:row>46</xdr:row>
      <xdr:rowOff>66675</xdr:rowOff>
    </xdr:from>
    <xdr:ext cx="428625" cy="445943"/>
    <xdr:pic>
      <xdr:nvPicPr>
        <xdr:cNvPr id="35" name="Imagen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3"/>
        <a:stretch>
          <a:fillRect/>
        </a:stretch>
      </xdr:blipFill>
      <xdr:spPr>
        <a:xfrm>
          <a:off x="12534900" y="7458075"/>
          <a:ext cx="428625" cy="445943"/>
        </a:xfrm>
        <a:prstGeom prst="rect">
          <a:avLst/>
        </a:prstGeom>
      </xdr:spPr>
    </xdr:pic>
    <xdr:clientData/>
  </xdr:oneCellAnchor>
  <xdr:oneCellAnchor>
    <xdr:from>
      <xdr:col>15</xdr:col>
      <xdr:colOff>47625</xdr:colOff>
      <xdr:row>46</xdr:row>
      <xdr:rowOff>66675</xdr:rowOff>
    </xdr:from>
    <xdr:ext cx="428625" cy="445943"/>
    <xdr:pic>
      <xdr:nvPicPr>
        <xdr:cNvPr id="36" name="Imagen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stretch>
          <a:fillRect/>
        </a:stretch>
      </xdr:blipFill>
      <xdr:spPr>
        <a:xfrm>
          <a:off x="13087350" y="7458075"/>
          <a:ext cx="428625" cy="445943"/>
        </a:xfrm>
        <a:prstGeom prst="rect">
          <a:avLst/>
        </a:prstGeom>
      </xdr:spPr>
    </xdr:pic>
    <xdr:clientData/>
  </xdr:oneCellAnchor>
  <xdr:twoCellAnchor>
    <xdr:from>
      <xdr:col>17</xdr:col>
      <xdr:colOff>9525</xdr:colOff>
      <xdr:row>29</xdr:row>
      <xdr:rowOff>0</xdr:rowOff>
    </xdr:from>
    <xdr:to>
      <xdr:col>18</xdr:col>
      <xdr:colOff>19050</xdr:colOff>
      <xdr:row>33</xdr:row>
      <xdr:rowOff>21647</xdr:rowOff>
    </xdr:to>
    <xdr:pic>
      <xdr:nvPicPr>
        <xdr:cNvPr id="37" name="Imagen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3"/>
        <a:stretch>
          <a:fillRect/>
        </a:stretch>
      </xdr:blipFill>
      <xdr:spPr>
        <a:xfrm>
          <a:off x="14373225" y="4152900"/>
          <a:ext cx="771525" cy="802697"/>
        </a:xfrm>
        <a:prstGeom prst="rect">
          <a:avLst/>
        </a:prstGeom>
      </xdr:spPr>
    </xdr:pic>
    <xdr:clientData/>
  </xdr:twoCellAnchor>
  <xdr:twoCellAnchor>
    <xdr:from>
      <xdr:col>18</xdr:col>
      <xdr:colOff>47625</xdr:colOff>
      <xdr:row>29</xdr:row>
      <xdr:rowOff>1205</xdr:rowOff>
    </xdr:from>
    <xdr:to>
      <xdr:col>19</xdr:col>
      <xdr:colOff>28575</xdr:colOff>
      <xdr:row>33</xdr:row>
      <xdr:rowOff>26186</xdr:rowOff>
    </xdr:to>
    <xdr:pic>
      <xdr:nvPicPr>
        <xdr:cNvPr id="38" name="Imagen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4"/>
        <a:stretch>
          <a:fillRect/>
        </a:stretch>
      </xdr:blipFill>
      <xdr:spPr>
        <a:xfrm>
          <a:off x="15173325" y="4154105"/>
          <a:ext cx="742950" cy="806031"/>
        </a:xfrm>
        <a:prstGeom prst="rect">
          <a:avLst/>
        </a:prstGeom>
      </xdr:spPr>
    </xdr:pic>
    <xdr:clientData/>
  </xdr:twoCellAnchor>
  <xdr:twoCellAnchor>
    <xdr:from>
      <xdr:col>17</xdr:col>
      <xdr:colOff>19050</xdr:colOff>
      <xdr:row>34</xdr:row>
      <xdr:rowOff>0</xdr:rowOff>
    </xdr:from>
    <xdr:to>
      <xdr:col>18</xdr:col>
      <xdr:colOff>4431</xdr:colOff>
      <xdr:row>38</xdr:row>
      <xdr:rowOff>54582</xdr:rowOff>
    </xdr:to>
    <xdr:pic>
      <xdr:nvPicPr>
        <xdr:cNvPr id="39" name="Imagen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5"/>
        <a:stretch>
          <a:fillRect/>
        </a:stretch>
      </xdr:blipFill>
      <xdr:spPr>
        <a:xfrm>
          <a:off x="14382750" y="5105400"/>
          <a:ext cx="747381" cy="816582"/>
        </a:xfrm>
        <a:prstGeom prst="rect">
          <a:avLst/>
        </a:prstGeom>
      </xdr:spPr>
    </xdr:pic>
    <xdr:clientData/>
  </xdr:twoCellAnchor>
  <xdr:twoCellAnchor>
    <xdr:from>
      <xdr:col>18</xdr:col>
      <xdr:colOff>9525</xdr:colOff>
      <xdr:row>33</xdr:row>
      <xdr:rowOff>147433</xdr:rowOff>
    </xdr:from>
    <xdr:to>
      <xdr:col>19</xdr:col>
      <xdr:colOff>19050</xdr:colOff>
      <xdr:row>38</xdr:row>
      <xdr:rowOff>57226</xdr:rowOff>
    </xdr:to>
    <xdr:pic>
      <xdr:nvPicPr>
        <xdr:cNvPr id="40" name="Imagen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6"/>
        <a:stretch>
          <a:fillRect/>
        </a:stretch>
      </xdr:blipFill>
      <xdr:spPr>
        <a:xfrm>
          <a:off x="15135225" y="5062333"/>
          <a:ext cx="771525" cy="862293"/>
        </a:xfrm>
        <a:prstGeom prst="rect">
          <a:avLst/>
        </a:prstGeom>
      </xdr:spPr>
    </xdr:pic>
    <xdr:clientData/>
  </xdr:twoCellAnchor>
  <xdr:twoCellAnchor>
    <xdr:from>
      <xdr:col>18</xdr:col>
      <xdr:colOff>704850</xdr:colOff>
      <xdr:row>1048576</xdr:row>
      <xdr:rowOff>7924799</xdr:rowOff>
    </xdr:from>
    <xdr:to>
      <xdr:col>16384</xdr:col>
      <xdr:colOff>4057650</xdr:colOff>
      <xdr:row>1048576</xdr:row>
      <xdr:rowOff>11525249</xdr:rowOff>
    </xdr:to>
    <xdr:graphicFrame macro="">
      <xdr:nvGraphicFramePr>
        <xdr:cNvPr id="41" name="Gráfico 40">
          <a:extLst>
            <a:ext uri="{FF2B5EF4-FFF2-40B4-BE49-F238E27FC236}">
              <a16:creationId xmlns:a16="http://schemas.microsoft.com/office/drawing/2014/main" id="{00000000-0008-0000-0400-000029000000}"/>
            </a:ext>
            <a:ext uri="{147F2762-F138-4A5C-976F-8EAC2B608ADB}">
              <a16:predDERef xmlns:a16="http://schemas.microsoft.com/office/drawing/2014/main" pre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9</xdr:row>
      <xdr:rowOff>133350</xdr:rowOff>
    </xdr:from>
    <xdr:to>
      <xdr:col>20</xdr:col>
      <xdr:colOff>533400</xdr:colOff>
      <xdr:row>9</xdr:row>
      <xdr:rowOff>133350</xdr:rowOff>
    </xdr:to>
    <xdr:cxnSp macro="">
      <xdr:nvCxnSpPr>
        <xdr:cNvPr id="42" name="Conector recto 41">
          <a:extLst>
            <a:ext uri="{FF2B5EF4-FFF2-40B4-BE49-F238E27FC236}">
              <a16:creationId xmlns:a16="http://schemas.microsoft.com/office/drawing/2014/main" id="{00000000-0008-0000-0400-00002A000000}"/>
            </a:ext>
          </a:extLst>
        </xdr:cNvPr>
        <xdr:cNvCxnSpPr/>
      </xdr:nvCxnSpPr>
      <xdr:spPr>
        <a:xfrm>
          <a:off x="10868025" y="2266950"/>
          <a:ext cx="4933950" cy="0"/>
        </a:xfrm>
        <a:prstGeom prst="line">
          <a:avLst/>
        </a:prstGeom>
        <a:ln>
          <a:solidFill>
            <a:srgbClr val="0070C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161925</xdr:colOff>
      <xdr:row>13</xdr:row>
      <xdr:rowOff>152400</xdr:rowOff>
    </xdr:from>
    <xdr:to>
      <xdr:col>20</xdr:col>
      <xdr:colOff>533400</xdr:colOff>
      <xdr:row>13</xdr:row>
      <xdr:rowOff>152400</xdr:rowOff>
    </xdr:to>
    <xdr:cxnSp macro="">
      <xdr:nvCxnSpPr>
        <xdr:cNvPr id="43" name="Conector recto 42">
          <a:extLst>
            <a:ext uri="{FF2B5EF4-FFF2-40B4-BE49-F238E27FC236}">
              <a16:creationId xmlns:a16="http://schemas.microsoft.com/office/drawing/2014/main" id="{00000000-0008-0000-0400-00002B000000}"/>
            </a:ext>
          </a:extLst>
        </xdr:cNvPr>
        <xdr:cNvCxnSpPr/>
      </xdr:nvCxnSpPr>
      <xdr:spPr>
        <a:xfrm>
          <a:off x="10858500" y="3048000"/>
          <a:ext cx="4943475" cy="0"/>
        </a:xfrm>
        <a:prstGeom prst="line">
          <a:avLst/>
        </a:prstGeom>
        <a:ln>
          <a:solidFill>
            <a:srgbClr val="FF0000"/>
          </a:solidFill>
          <a:prstDash val="sysDot"/>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514350</xdr:colOff>
      <xdr:row>0</xdr:row>
      <xdr:rowOff>73024</xdr:rowOff>
    </xdr:from>
    <xdr:ext cx="2121512" cy="612775"/>
    <xdr:pic>
      <xdr:nvPicPr>
        <xdr:cNvPr id="2" name="2 Imagen" descr="cid:imagebbd17b.JPG@739cedec.4aa37611">
          <a:extLst>
            <a:ext uri="{FF2B5EF4-FFF2-40B4-BE49-F238E27FC236}">
              <a16:creationId xmlns:a16="http://schemas.microsoft.com/office/drawing/2014/main" id="{3021CBEF-B5AF-4720-ACBB-FE17D3DAA068}"/>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73024"/>
          <a:ext cx="2121512" cy="612775"/>
        </a:xfrm>
        <a:prstGeom prst="rect">
          <a:avLst/>
        </a:prstGeom>
        <a:noFill/>
        <a:ln>
          <a:noFill/>
        </a:ln>
      </xdr:spPr>
    </xdr:pic>
    <xdr:clientData/>
  </xdr:oneCellAnchor>
  <xdr:twoCellAnchor>
    <xdr:from>
      <xdr:col>0</xdr:col>
      <xdr:colOff>191736</xdr:colOff>
      <xdr:row>37</xdr:row>
      <xdr:rowOff>173427</xdr:rowOff>
    </xdr:from>
    <xdr:to>
      <xdr:col>5</xdr:col>
      <xdr:colOff>867145</xdr:colOff>
      <xdr:row>53</xdr:row>
      <xdr:rowOff>3710</xdr:rowOff>
    </xdr:to>
    <xdr:graphicFrame macro="">
      <xdr:nvGraphicFramePr>
        <xdr:cNvPr id="3" name="Gráfico 2">
          <a:extLst>
            <a:ext uri="{FF2B5EF4-FFF2-40B4-BE49-F238E27FC236}">
              <a16:creationId xmlns:a16="http://schemas.microsoft.com/office/drawing/2014/main" id="{3C57F58C-AACA-4C40-9A05-F6060767E9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445326</xdr:colOff>
      <xdr:row>43</xdr:row>
      <xdr:rowOff>79169</xdr:rowOff>
    </xdr:from>
    <xdr:to>
      <xdr:col>5</xdr:col>
      <xdr:colOff>707571</xdr:colOff>
      <xdr:row>43</xdr:row>
      <xdr:rowOff>108857</xdr:rowOff>
    </xdr:to>
    <xdr:cxnSp macro="">
      <xdr:nvCxnSpPr>
        <xdr:cNvPr id="4" name="Conector recto 3">
          <a:extLst>
            <a:ext uri="{FF2B5EF4-FFF2-40B4-BE49-F238E27FC236}">
              <a16:creationId xmlns:a16="http://schemas.microsoft.com/office/drawing/2014/main" id="{E04C3F29-85BB-4B44-A82B-9A2611E3CECA}"/>
            </a:ext>
          </a:extLst>
        </xdr:cNvPr>
        <xdr:cNvCxnSpPr/>
      </xdr:nvCxnSpPr>
      <xdr:spPr>
        <a:xfrm>
          <a:off x="1207326" y="9823244"/>
          <a:ext cx="3510270" cy="29688"/>
        </a:xfrm>
        <a:prstGeom prst="line">
          <a:avLst/>
        </a:prstGeom>
        <a:ln w="2222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136072</xdr:colOff>
      <xdr:row>38</xdr:row>
      <xdr:rowOff>2721</xdr:rowOff>
    </xdr:from>
    <xdr:to>
      <xdr:col>11</xdr:col>
      <xdr:colOff>1088571</xdr:colOff>
      <xdr:row>53</xdr:row>
      <xdr:rowOff>40821</xdr:rowOff>
    </xdr:to>
    <xdr:graphicFrame macro="">
      <xdr:nvGraphicFramePr>
        <xdr:cNvPr id="5" name="Gráfico 4">
          <a:extLst>
            <a:ext uri="{FF2B5EF4-FFF2-40B4-BE49-F238E27FC236}">
              <a16:creationId xmlns:a16="http://schemas.microsoft.com/office/drawing/2014/main" id="{39315215-A530-4185-90B3-5AA94CD33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571501</xdr:colOff>
      <xdr:row>43</xdr:row>
      <xdr:rowOff>79168</xdr:rowOff>
    </xdr:from>
    <xdr:to>
      <xdr:col>11</xdr:col>
      <xdr:colOff>707572</xdr:colOff>
      <xdr:row>43</xdr:row>
      <xdr:rowOff>95249</xdr:rowOff>
    </xdr:to>
    <xdr:cxnSp macro="">
      <xdr:nvCxnSpPr>
        <xdr:cNvPr id="6" name="Conector recto 5">
          <a:extLst>
            <a:ext uri="{FF2B5EF4-FFF2-40B4-BE49-F238E27FC236}">
              <a16:creationId xmlns:a16="http://schemas.microsoft.com/office/drawing/2014/main" id="{799B5B72-25A3-4F41-846F-357329D3CA67}"/>
            </a:ext>
          </a:extLst>
        </xdr:cNvPr>
        <xdr:cNvCxnSpPr/>
      </xdr:nvCxnSpPr>
      <xdr:spPr>
        <a:xfrm>
          <a:off x="5486401" y="9823243"/>
          <a:ext cx="3936546" cy="16081"/>
        </a:xfrm>
        <a:prstGeom prst="line">
          <a:avLst/>
        </a:prstGeom>
        <a:ln w="2222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40287601\AppData\Local\Microsoft\Windows\Temporary%20Internet%20Files\Content.Outlook\9SMFLESG\&#1056;&#1077;&#1094;&#1077;&#1087;&#1090;&#1091;&#1088;&#1099;\&#1056;&#1077;&#1094;&#1077;&#1087;&#1090;&#1091;&#1088;&#1072;%20&#1041;&#1072;&#1090;&#1086;&#1085;&#1095;&#1080;&#1082;%20&#1055;&#1077;&#1087;&#1089;&#1080;&#1082;&#1086;%20&#847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056;&#1072;&#1073;&#1086;&#1090;&#1072;_3-rd%20Party\&#1055;&#1088;&#1086;&#1077;&#1082;&#1090;&#1099;\2016\6_Aquarius%20for%20CSDs\Danube%20Project%20Plan%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Лист1"/>
      <sheetName val="17фев"/>
      <sheetName val="Лист2"/>
      <sheetName val="Лист2 (2)"/>
      <sheetName val="Лист3"/>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siness Case"/>
      <sheetName val="Dates"/>
      <sheetName val="Project Plan v1"/>
      <sheetName val="Contact list"/>
    </sheetNames>
    <sheetDataSet>
      <sheetData sheetId="0"/>
      <sheetData sheetId="1"/>
      <sheetData sheetId="2"/>
      <sheetData sheetId="3"/>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8</v>
    <v>1</v>
  </rv>
</rvData>
</file>

<file path=xl/richData/rdrichvaluestructure.xml><?xml version="1.0" encoding="utf-8"?>
<rvStructures xmlns="http://schemas.microsoft.com/office/spreadsheetml/2017/richdata" count="1">
  <s t="_error">
    <k n="errorType" t="i"/>
    <k n="propagated" t="b"/>
  </s>
</rvStructur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theme="8"/>
  </sheetPr>
  <dimension ref="A1:XFC85"/>
  <sheetViews>
    <sheetView view="pageBreakPreview" zoomScale="80" zoomScaleNormal="90" zoomScaleSheetLayoutView="80" workbookViewId="0">
      <selection activeCell="H3" sqref="H3:J3"/>
    </sheetView>
  </sheetViews>
  <sheetFormatPr baseColWidth="10" defaultColWidth="11.42578125" defaultRowHeight="15" zeroHeight="1" x14ac:dyDescent="0.25"/>
  <cols>
    <col min="1" max="1" width="51.42578125" bestFit="1" customWidth="1"/>
    <col min="2" max="2" width="13.42578125" customWidth="1"/>
    <col min="3" max="3" width="11.42578125" customWidth="1"/>
    <col min="4" max="4" width="17.42578125" customWidth="1"/>
    <col min="5" max="5" width="17.28515625" customWidth="1"/>
    <col min="6" max="7" width="11.42578125" customWidth="1"/>
    <col min="8" max="8" width="16" customWidth="1"/>
    <col min="9" max="9" width="7" customWidth="1"/>
    <col min="10" max="10" width="10" customWidth="1"/>
    <col min="11" max="11" width="13.42578125" customWidth="1"/>
    <col min="12" max="12" width="13.5703125" customWidth="1"/>
    <col min="13" max="13" width="10.28515625" customWidth="1"/>
    <col min="14" max="14" width="17.42578125" hidden="1" customWidth="1"/>
    <col min="15" max="15" width="19.5703125" hidden="1" customWidth="1"/>
    <col min="16" max="16" width="34.42578125" hidden="1" customWidth="1"/>
    <col min="17" max="17" width="0.42578125" hidden="1" customWidth="1"/>
    <col min="18" max="42" width="0" hidden="1" customWidth="1"/>
    <col min="16380" max="16380" width="28.5703125" hidden="1" customWidth="1"/>
    <col min="16381" max="16381" width="13" hidden="1" customWidth="1"/>
    <col min="16382" max="16382" width="31.42578125" hidden="1" customWidth="1"/>
    <col min="16383" max="16383" width="29.5703125" hidden="1" customWidth="1"/>
    <col min="16384" max="16384" width="59" hidden="1" customWidth="1"/>
  </cols>
  <sheetData>
    <row r="1" spans="1:18" ht="18" customHeight="1" x14ac:dyDescent="0.25">
      <c r="A1" s="577"/>
      <c r="B1" s="582" t="s">
        <v>0</v>
      </c>
      <c r="C1" s="583"/>
      <c r="D1" s="583"/>
      <c r="E1" s="583"/>
      <c r="F1" s="583"/>
      <c r="G1" s="583"/>
      <c r="H1" s="583"/>
      <c r="I1" s="583"/>
      <c r="J1" s="583"/>
      <c r="K1" s="504" t="s">
        <v>1</v>
      </c>
      <c r="L1" s="504"/>
      <c r="M1" s="504"/>
      <c r="P1" t="s">
        <v>2</v>
      </c>
      <c r="R1" t="s">
        <v>3</v>
      </c>
    </row>
    <row r="2" spans="1:18" ht="18" customHeight="1" x14ac:dyDescent="0.25">
      <c r="A2" s="578"/>
      <c r="B2" s="584"/>
      <c r="C2" s="585"/>
      <c r="D2" s="585"/>
      <c r="E2" s="585"/>
      <c r="F2" s="585"/>
      <c r="G2" s="585"/>
      <c r="H2" s="585"/>
      <c r="I2" s="585"/>
      <c r="J2" s="585"/>
      <c r="K2" s="504" t="s">
        <v>4</v>
      </c>
      <c r="L2" s="504"/>
      <c r="M2" s="504"/>
    </row>
    <row r="3" spans="1:18" ht="18" customHeight="1" x14ac:dyDescent="0.25">
      <c r="A3" s="578"/>
      <c r="B3" s="69" t="s">
        <v>5</v>
      </c>
      <c r="C3" s="70" t="s">
        <v>6</v>
      </c>
      <c r="D3" s="71"/>
      <c r="E3" s="72" t="s">
        <v>7</v>
      </c>
      <c r="F3" s="73">
        <v>2026</v>
      </c>
      <c r="G3" s="72" t="s">
        <v>8</v>
      </c>
      <c r="H3" s="580" t="s">
        <v>9</v>
      </c>
      <c r="I3" s="580"/>
      <c r="J3" s="581"/>
      <c r="K3" s="507">
        <v>45288</v>
      </c>
      <c r="L3" s="507"/>
      <c r="M3" s="507"/>
      <c r="Q3" s="1"/>
      <c r="R3" s="1"/>
    </row>
    <row r="4" spans="1:18" ht="18" customHeight="1" x14ac:dyDescent="0.3">
      <c r="A4" s="579"/>
      <c r="B4" s="74"/>
      <c r="C4" s="75"/>
      <c r="D4" s="75"/>
      <c r="E4" s="75"/>
      <c r="F4" s="76" t="s">
        <v>10</v>
      </c>
      <c r="G4" s="77"/>
      <c r="H4" s="78"/>
      <c r="I4" s="78"/>
      <c r="J4" s="68"/>
      <c r="K4" s="504" t="s">
        <v>11</v>
      </c>
      <c r="L4" s="504"/>
      <c r="M4" s="504"/>
      <c r="Q4" s="43"/>
    </row>
    <row r="5" spans="1:18" ht="15.75" customHeight="1" thickBot="1" x14ac:dyDescent="0.3">
      <c r="A5" s="62"/>
      <c r="B5" s="62"/>
      <c r="C5" s="62"/>
      <c r="D5" s="62"/>
      <c r="E5" s="62"/>
      <c r="F5" s="62"/>
      <c r="G5" s="29"/>
      <c r="Q5" s="43"/>
    </row>
    <row r="6" spans="1:18" x14ac:dyDescent="0.25">
      <c r="A6" s="608" t="s">
        <v>12</v>
      </c>
      <c r="B6" s="609"/>
      <c r="C6" s="609"/>
      <c r="D6" s="610"/>
      <c r="E6" s="614" t="s">
        <v>13</v>
      </c>
      <c r="F6" s="52" t="s">
        <v>13</v>
      </c>
      <c r="G6" s="29"/>
      <c r="H6" s="616" t="s">
        <v>14</v>
      </c>
      <c r="I6" s="617"/>
      <c r="J6" s="617"/>
      <c r="K6" s="622" t="s">
        <v>13</v>
      </c>
      <c r="L6" s="625" t="s">
        <v>15</v>
      </c>
      <c r="Q6" s="43"/>
    </row>
    <row r="7" spans="1:18" ht="15.75" thickBot="1" x14ac:dyDescent="0.3">
      <c r="A7" s="611"/>
      <c r="B7" s="612"/>
      <c r="C7" s="612"/>
      <c r="D7" s="613"/>
      <c r="E7" s="615"/>
      <c r="F7" s="48" t="s">
        <v>15</v>
      </c>
      <c r="G7" s="29"/>
      <c r="H7" s="618"/>
      <c r="I7" s="619"/>
      <c r="J7" s="619"/>
      <c r="K7" s="623"/>
      <c r="L7" s="626"/>
      <c r="Q7" s="43"/>
    </row>
    <row r="8" spans="1:18" ht="15.75" thickBot="1" x14ac:dyDescent="0.3">
      <c r="A8" s="599" t="str">
        <f>'AUDIT HK'!B10</f>
        <v>A. MEZCLAS (Cámaras, Bodegas, Sla. Mezclas, Sla. Aditivos, Sla.Glucosas)</v>
      </c>
      <c r="B8" s="600"/>
      <c r="C8" s="600"/>
      <c r="D8" s="601"/>
      <c r="E8" s="31">
        <f>SUM(E9:E12)</f>
        <v>48</v>
      </c>
      <c r="F8" s="30">
        <f>(E8/F9)*100</f>
        <v>92.307692307692307</v>
      </c>
      <c r="G8" s="29"/>
      <c r="H8" s="620"/>
      <c r="I8" s="621"/>
      <c r="J8" s="621"/>
      <c r="K8" s="624"/>
      <c r="L8" s="627"/>
      <c r="Q8" s="43"/>
    </row>
    <row r="9" spans="1:18" ht="15" customHeight="1" x14ac:dyDescent="0.25">
      <c r="A9" s="586" t="s">
        <v>16</v>
      </c>
      <c r="B9" s="587"/>
      <c r="C9" s="587"/>
      <c r="D9" s="588"/>
      <c r="E9" s="38">
        <f>HLOOKUP($H$3,ListasDatos!$E$2:$R$44,3,)</f>
        <v>11</v>
      </c>
      <c r="F9" s="29">
        <v>52</v>
      </c>
      <c r="G9" s="29"/>
      <c r="H9" s="628" t="s">
        <v>17</v>
      </c>
      <c r="I9" s="629"/>
      <c r="J9" s="630"/>
      <c r="K9" s="631">
        <f>HLOOKUP($H$51,ListasDatos!$E$50:$R$55,2,)</f>
        <v>59</v>
      </c>
      <c r="L9" s="632">
        <f>HLOOKUP($H$3,ListasDatos!$E$61:$R$67,2,)</f>
        <v>0.95161290322580649</v>
      </c>
    </row>
    <row r="10" spans="1:18" ht="15" customHeight="1" x14ac:dyDescent="0.25">
      <c r="A10" s="596" t="s">
        <v>18</v>
      </c>
      <c r="B10" s="597"/>
      <c r="C10" s="597"/>
      <c r="D10" s="598"/>
      <c r="E10" s="38">
        <f>HLOOKUP($H$3,ListasDatos!$E$2:$R$44,4,)</f>
        <v>13</v>
      </c>
      <c r="F10" s="29"/>
      <c r="G10" s="29"/>
      <c r="H10" s="567"/>
      <c r="I10" s="568"/>
      <c r="J10" s="569"/>
      <c r="K10" s="573"/>
      <c r="L10" s="575"/>
    </row>
    <row r="11" spans="1:18" ht="15" customHeight="1" x14ac:dyDescent="0.25">
      <c r="A11" s="596" t="s">
        <v>19</v>
      </c>
      <c r="B11" s="597"/>
      <c r="C11" s="597"/>
      <c r="D11" s="598"/>
      <c r="E11" s="38">
        <f>HLOOKUP($H$3,ListasDatos!$E$2:$R$44,5,)</f>
        <v>14</v>
      </c>
      <c r="F11" s="29"/>
      <c r="G11" s="29"/>
      <c r="H11" s="567" t="s">
        <v>18</v>
      </c>
      <c r="I11" s="568"/>
      <c r="J11" s="569"/>
      <c r="K11" s="573">
        <f>HLOOKUP($H$51,ListasDatos!$E$50:$R$55,3,)</f>
        <v>66</v>
      </c>
      <c r="L11" s="575">
        <f>HLOOKUP($H$51,ListasDatos!$E$61:$R$67,3,)</f>
        <v>0.94285714285714284</v>
      </c>
    </row>
    <row r="12" spans="1:18" ht="15.75" customHeight="1" thickBot="1" x14ac:dyDescent="0.3">
      <c r="A12" s="593" t="s">
        <v>20</v>
      </c>
      <c r="B12" s="594"/>
      <c r="C12" s="594"/>
      <c r="D12" s="595"/>
      <c r="E12" s="38">
        <f>HLOOKUP($H$3,ListasDatos!$E$2:$R$44,6,)</f>
        <v>10</v>
      </c>
      <c r="F12" s="29"/>
      <c r="G12" s="29"/>
      <c r="H12" s="567"/>
      <c r="I12" s="568"/>
      <c r="J12" s="569"/>
      <c r="K12" s="573"/>
      <c r="L12" s="575"/>
    </row>
    <row r="13" spans="1:18" ht="15.75" customHeight="1" thickBot="1" x14ac:dyDescent="0.3">
      <c r="A13" s="599" t="str">
        <f>'AUDIT HK'!B42</f>
        <v xml:space="preserve">B. ALMACÉN (MMPP, MMAA, Producto Terminado y APQ) </v>
      </c>
      <c r="B13" s="600"/>
      <c r="C13" s="600"/>
      <c r="D13" s="601"/>
      <c r="E13" s="31">
        <f>SUM(E14:E17)</f>
        <v>40</v>
      </c>
      <c r="F13" s="30">
        <f>(E13/F14)*100</f>
        <v>90.909090909090907</v>
      </c>
      <c r="G13" s="29"/>
      <c r="H13" s="567" t="s">
        <v>19</v>
      </c>
      <c r="I13" s="568"/>
      <c r="J13" s="569"/>
      <c r="K13" s="573">
        <f>HLOOKUP($H$51,ListasDatos!$E$50:$R$55,4,)</f>
        <v>85</v>
      </c>
      <c r="L13" s="575">
        <f>HLOOKUP($H$51,ListasDatos!$E$61:$R$67,4,)</f>
        <v>0.94444444444444442</v>
      </c>
    </row>
    <row r="14" spans="1:18" ht="15" customHeight="1" x14ac:dyDescent="0.25">
      <c r="A14" s="586" t="s">
        <v>16</v>
      </c>
      <c r="B14" s="587"/>
      <c r="C14" s="587"/>
      <c r="D14" s="588"/>
      <c r="E14" s="38">
        <f>HLOOKUP($H$3,ListasDatos!$E$2:$R$44,9,)</f>
        <v>9</v>
      </c>
      <c r="F14" s="29">
        <v>44</v>
      </c>
      <c r="G14" s="29"/>
      <c r="H14" s="567"/>
      <c r="I14" s="568"/>
      <c r="J14" s="569"/>
      <c r="K14" s="573"/>
      <c r="L14" s="575"/>
    </row>
    <row r="15" spans="1:18" ht="15" customHeight="1" x14ac:dyDescent="0.25">
      <c r="A15" s="596" t="s">
        <v>18</v>
      </c>
      <c r="B15" s="597"/>
      <c r="C15" s="597"/>
      <c r="D15" s="598"/>
      <c r="E15" s="38">
        <f>HLOOKUP($H$3,ListasDatos!$E$2:$R$44,10,)</f>
        <v>11</v>
      </c>
      <c r="F15" s="29"/>
      <c r="G15" s="29"/>
      <c r="H15" s="567" t="s">
        <v>21</v>
      </c>
      <c r="I15" s="568"/>
      <c r="J15" s="569"/>
      <c r="K15" s="573">
        <f>HLOOKUP($H$51,ListasDatos!$E$50:$R$55,5,)</f>
        <v>64</v>
      </c>
      <c r="L15" s="575">
        <f>HLOOKUP($H$51,ListasDatos!$E$61:$R$67,5,)</f>
        <v>0.96969696969696972</v>
      </c>
      <c r="Q15" s="29"/>
    </row>
    <row r="16" spans="1:18" ht="15.75" customHeight="1" thickBot="1" x14ac:dyDescent="0.3">
      <c r="A16" s="596" t="s">
        <v>19</v>
      </c>
      <c r="B16" s="597"/>
      <c r="C16" s="597"/>
      <c r="D16" s="598"/>
      <c r="E16" s="38">
        <f>HLOOKUP($H$3,ListasDatos!$E$2:$R$44,11,)</f>
        <v>12</v>
      </c>
      <c r="F16" s="29"/>
      <c r="G16" s="29"/>
      <c r="H16" s="570"/>
      <c r="I16" s="571"/>
      <c r="J16" s="572"/>
      <c r="K16" s="574"/>
      <c r="L16" s="576"/>
    </row>
    <row r="17" spans="1:13" ht="15.75" customHeight="1" thickBot="1" x14ac:dyDescent="0.3">
      <c r="A17" s="593" t="s">
        <v>20</v>
      </c>
      <c r="B17" s="594"/>
      <c r="C17" s="594"/>
      <c r="D17" s="595"/>
      <c r="E17" s="38">
        <f>HLOOKUP($H$3,ListasDatos!$E$2:$R$44,12,)</f>
        <v>8</v>
      </c>
      <c r="F17" s="29"/>
      <c r="G17" s="29"/>
      <c r="H17" s="567" t="s">
        <v>22</v>
      </c>
      <c r="I17" s="568"/>
      <c r="J17" s="569"/>
      <c r="K17" s="573">
        <f>HLOOKUP($H$3,ListasDatos!$E$2:$R$47,45,)</f>
        <v>6</v>
      </c>
      <c r="L17" s="575">
        <f>HLOOKUP($H$51,ListasDatos!$E$61:$R$67,6,)</f>
        <v>1</v>
      </c>
    </row>
    <row r="18" spans="1:13" ht="17.25" customHeight="1" thickBot="1" x14ac:dyDescent="0.3">
      <c r="A18" s="599" t="str">
        <f>'AUDIT HK'!B70</f>
        <v>C. Taller de Mantenimiento, Sla Compresores, Sla Calderas, Sla CIP y PTA</v>
      </c>
      <c r="B18" s="600"/>
      <c r="C18" s="600"/>
      <c r="D18" s="601"/>
      <c r="E18" s="31">
        <f>SUM(E19:E22)</f>
        <v>41</v>
      </c>
      <c r="F18" s="30">
        <f>(E18/F19)*100</f>
        <v>97.61904761904762</v>
      </c>
      <c r="G18" s="29"/>
      <c r="H18" s="570"/>
      <c r="I18" s="571"/>
      <c r="J18" s="572"/>
      <c r="K18" s="574"/>
      <c r="L18" s="576"/>
    </row>
    <row r="19" spans="1:13" ht="14.25" customHeight="1" x14ac:dyDescent="0.25">
      <c r="A19" s="586" t="s">
        <v>16</v>
      </c>
      <c r="B19" s="587"/>
      <c r="C19" s="587"/>
      <c r="D19" s="588"/>
      <c r="E19" s="38">
        <f>HLOOKUP($H$3,ListasDatos!$E$2:$R$44,15,)</f>
        <v>8</v>
      </c>
      <c r="F19" s="29">
        <v>42</v>
      </c>
      <c r="G19" s="29"/>
      <c r="H19" s="557" t="s">
        <v>23</v>
      </c>
      <c r="I19" s="558"/>
      <c r="J19" s="559"/>
      <c r="K19" s="563">
        <f ca="1">E45</f>
        <v>249</v>
      </c>
      <c r="L19" s="565">
        <f ca="1">F45/100</f>
        <v>0.95769230769230773</v>
      </c>
    </row>
    <row r="20" spans="1:13" ht="15.75" thickBot="1" x14ac:dyDescent="0.3">
      <c r="A20" s="596" t="s">
        <v>18</v>
      </c>
      <c r="B20" s="597"/>
      <c r="C20" s="597"/>
      <c r="D20" s="598"/>
      <c r="E20" s="38">
        <f>HLOOKUP($H$3,ListasDatos!$E$2:$R$44,16,)</f>
        <v>9</v>
      </c>
      <c r="F20" s="29"/>
      <c r="G20" s="29"/>
      <c r="H20" s="560"/>
      <c r="I20" s="561"/>
      <c r="J20" s="562"/>
      <c r="K20" s="564"/>
      <c r="L20" s="566"/>
    </row>
    <row r="21" spans="1:13" x14ac:dyDescent="0.25">
      <c r="A21" s="596" t="s">
        <v>19</v>
      </c>
      <c r="B21" s="597"/>
      <c r="C21" s="597"/>
      <c r="D21" s="598"/>
      <c r="E21" s="38">
        <f>HLOOKUP($H$3,ListasDatos!$E$2:$R$44,17,)</f>
        <v>14</v>
      </c>
      <c r="F21" s="29"/>
      <c r="G21" s="29"/>
    </row>
    <row r="22" spans="1:13" ht="15.75" thickBot="1" x14ac:dyDescent="0.3">
      <c r="A22" s="593" t="s">
        <v>20</v>
      </c>
      <c r="B22" s="594"/>
      <c r="C22" s="594"/>
      <c r="D22" s="595"/>
      <c r="E22" s="38">
        <f>HLOOKUP($H$3,ListasDatos!$E$2:$R$44,18,)</f>
        <v>10</v>
      </c>
      <c r="F22" s="29"/>
      <c r="G22" s="29"/>
    </row>
    <row r="23" spans="1:13" ht="15.75" customHeight="1" thickBot="1" x14ac:dyDescent="0.3">
      <c r="A23" s="41" t="str">
        <f>'AUDIT HK'!B97</f>
        <v>D. Laboratorio</v>
      </c>
      <c r="B23" s="40"/>
      <c r="C23" s="40"/>
      <c r="D23" s="39"/>
      <c r="E23" s="31">
        <f>SUM(E24:E27)</f>
        <v>32</v>
      </c>
      <c r="F23" s="30">
        <f>(E23/F24)*100</f>
        <v>100</v>
      </c>
      <c r="G23" s="29"/>
    </row>
    <row r="24" spans="1:13" x14ac:dyDescent="0.25">
      <c r="A24" s="586" t="s">
        <v>16</v>
      </c>
      <c r="B24" s="587"/>
      <c r="C24" s="587"/>
      <c r="D24" s="588"/>
      <c r="E24" s="38">
        <f>HLOOKUP($H$3,ListasDatos!$E$2:$R$44,21,)</f>
        <v>6</v>
      </c>
      <c r="F24" s="29">
        <v>32</v>
      </c>
      <c r="G24" s="29"/>
    </row>
    <row r="25" spans="1:13" x14ac:dyDescent="0.25">
      <c r="A25" s="596" t="s">
        <v>18</v>
      </c>
      <c r="B25" s="597"/>
      <c r="C25" s="597"/>
      <c r="D25" s="598"/>
      <c r="E25" s="38">
        <f>HLOOKUP($H$3,ListasDatos!$E$2:$R$44,22,)</f>
        <v>6</v>
      </c>
      <c r="F25" s="29"/>
      <c r="G25" s="29"/>
    </row>
    <row r="26" spans="1:13" x14ac:dyDescent="0.25">
      <c r="A26" s="596" t="s">
        <v>19</v>
      </c>
      <c r="B26" s="597"/>
      <c r="C26" s="597"/>
      <c r="D26" s="598"/>
      <c r="E26" s="38">
        <f>HLOOKUP($H$3,ListasDatos!$E$2:$R$44,23,)</f>
        <v>10</v>
      </c>
      <c r="F26" s="29"/>
      <c r="G26" s="29"/>
    </row>
    <row r="27" spans="1:13" ht="15.75" thickBot="1" x14ac:dyDescent="0.3">
      <c r="A27" s="593" t="s">
        <v>20</v>
      </c>
      <c r="B27" s="594"/>
      <c r="C27" s="594"/>
      <c r="D27" s="595"/>
      <c r="E27" s="38">
        <f>HLOOKUP($H$3,ListasDatos!$E$2:$R$44,24,)</f>
        <v>10</v>
      </c>
      <c r="F27" s="29"/>
      <c r="G27" s="29"/>
    </row>
    <row r="28" spans="1:13" ht="15.75" thickBot="1" x14ac:dyDescent="0.3">
      <c r="A28" s="41" t="str">
        <f>'AUDIT HK'!B117</f>
        <v>E.ENVASADO (Linea 2,8 y 9 )</v>
      </c>
      <c r="B28" s="40"/>
      <c r="C28" s="40"/>
      <c r="D28" s="39"/>
      <c r="E28" s="31">
        <f ca="1">SUM(E29:E32)</f>
        <v>41</v>
      </c>
      <c r="F28" s="30">
        <f ca="1">(E28/F29)*100</f>
        <v>93.181818181818173</v>
      </c>
      <c r="G28" s="29"/>
    </row>
    <row r="29" spans="1:13" x14ac:dyDescent="0.25">
      <c r="A29" s="586" t="s">
        <v>16</v>
      </c>
      <c r="B29" s="587"/>
      <c r="C29" s="587"/>
      <c r="D29" s="588"/>
      <c r="E29" s="428">
        <f ca="1">ListasDatos!I28</f>
        <v>7</v>
      </c>
      <c r="F29" s="29">
        <v>44</v>
      </c>
      <c r="G29" s="29"/>
    </row>
    <row r="30" spans="1:13" x14ac:dyDescent="0.25">
      <c r="A30" s="596" t="s">
        <v>18</v>
      </c>
      <c r="B30" s="597"/>
      <c r="C30" s="597"/>
      <c r="D30" s="598"/>
      <c r="E30" s="428">
        <f>ListasDatos!I29</f>
        <v>10</v>
      </c>
      <c r="F30" s="29"/>
      <c r="G30" s="29"/>
    </row>
    <row r="31" spans="1:13" x14ac:dyDescent="0.25">
      <c r="A31" s="596" t="s">
        <v>19</v>
      </c>
      <c r="B31" s="597"/>
      <c r="C31" s="597"/>
      <c r="D31" s="598"/>
      <c r="E31" s="428">
        <f>ListasDatos!I30</f>
        <v>12</v>
      </c>
      <c r="F31" s="29"/>
      <c r="G31" s="29"/>
      <c r="H31" s="29"/>
      <c r="I31" s="29"/>
      <c r="J31" s="29"/>
      <c r="K31" s="29"/>
      <c r="L31" s="29"/>
      <c r="M31" s="29"/>
    </row>
    <row r="32" spans="1:13" ht="15.75" thickBot="1" x14ac:dyDescent="0.3">
      <c r="A32" s="593" t="s">
        <v>20</v>
      </c>
      <c r="B32" s="594"/>
      <c r="C32" s="594"/>
      <c r="D32" s="595"/>
      <c r="E32" s="428">
        <f>ListasDatos!I31</f>
        <v>10</v>
      </c>
      <c r="F32" s="29"/>
      <c r="G32" s="29"/>
      <c r="H32" s="29"/>
      <c r="I32" s="29"/>
      <c r="J32" s="29"/>
      <c r="K32" s="29"/>
      <c r="L32" s="29"/>
      <c r="M32" s="29"/>
    </row>
    <row r="33" spans="1:13" ht="15.75" thickBot="1" x14ac:dyDescent="0.3">
      <c r="A33" s="41" t="str">
        <f>'AUDIT HK'!B143</f>
        <v>F. Exteriores</v>
      </c>
      <c r="B33" s="40"/>
      <c r="C33" s="40"/>
      <c r="D33" s="39"/>
      <c r="E33" s="31">
        <f>SUM(E34:E37)</f>
        <v>38</v>
      </c>
      <c r="F33" s="30">
        <f>(E33/F34)*100</f>
        <v>100</v>
      </c>
      <c r="G33" s="29"/>
      <c r="M33" s="29"/>
    </row>
    <row r="34" spans="1:13" x14ac:dyDescent="0.25">
      <c r="A34" s="586" t="s">
        <v>16</v>
      </c>
      <c r="B34" s="587"/>
      <c r="C34" s="587"/>
      <c r="D34" s="588"/>
      <c r="E34" s="38">
        <f>HLOOKUP($H$3,ListasDatos!$E$2:$R$44,33,)</f>
        <v>8</v>
      </c>
      <c r="F34" s="29">
        <v>38</v>
      </c>
      <c r="G34" s="29"/>
      <c r="M34" s="29"/>
    </row>
    <row r="35" spans="1:13" x14ac:dyDescent="0.25">
      <c r="A35" s="596" t="s">
        <v>18</v>
      </c>
      <c r="B35" s="597"/>
      <c r="C35" s="597"/>
      <c r="D35" s="598"/>
      <c r="E35" s="38">
        <f>HLOOKUP($H$3,ListasDatos!$E$2:$R$44,34,)</f>
        <v>8</v>
      </c>
      <c r="F35" s="29"/>
      <c r="G35" s="29"/>
      <c r="M35" s="29"/>
    </row>
    <row r="36" spans="1:13" x14ac:dyDescent="0.25">
      <c r="A36" s="596" t="s">
        <v>19</v>
      </c>
      <c r="B36" s="597"/>
      <c r="C36" s="597"/>
      <c r="D36" s="598"/>
      <c r="E36" s="38">
        <f>HLOOKUP($H$3,ListasDatos!$E$2:$R$44,35,)</f>
        <v>14</v>
      </c>
      <c r="F36" s="29"/>
      <c r="G36" s="29"/>
      <c r="M36" s="29"/>
    </row>
    <row r="37" spans="1:13" ht="15.75" thickBot="1" x14ac:dyDescent="0.3">
      <c r="A37" s="593" t="s">
        <v>21</v>
      </c>
      <c r="B37" s="594"/>
      <c r="C37" s="594"/>
      <c r="D37" s="595"/>
      <c r="E37" s="38">
        <f>HLOOKUP($H$3,ListasDatos!$E$2:$R$44,36,)</f>
        <v>8</v>
      </c>
      <c r="F37" s="29"/>
      <c r="G37" s="29"/>
      <c r="M37" s="29"/>
    </row>
    <row r="38" spans="1:13" ht="15.75" thickBot="1" x14ac:dyDescent="0.3">
      <c r="A38" s="599" t="str">
        <f>'AUDIT HK'!B166</f>
        <v>G. ZONAS COMUNES (Vestuarios, Servicios, Comedor y Cuarto de Limpieza)</v>
      </c>
      <c r="B38" s="600"/>
      <c r="C38" s="600"/>
      <c r="D38" s="601"/>
      <c r="E38" s="37">
        <f>SUM(E39:E42)</f>
        <v>32</v>
      </c>
      <c r="F38" s="30">
        <f>(E38/F39)*100</f>
        <v>88.888888888888886</v>
      </c>
      <c r="G38" s="29"/>
      <c r="M38" s="29"/>
    </row>
    <row r="39" spans="1:13" x14ac:dyDescent="0.25">
      <c r="A39" s="586" t="s">
        <v>16</v>
      </c>
      <c r="B39" s="587"/>
      <c r="C39" s="587"/>
      <c r="D39" s="588"/>
      <c r="E39" s="38">
        <f>HLOOKUP($H$3,ListasDatos!$E$2:$R$44,39,)</f>
        <v>7</v>
      </c>
      <c r="F39" s="29">
        <v>36</v>
      </c>
      <c r="G39" s="29"/>
      <c r="M39" s="29"/>
    </row>
    <row r="40" spans="1:13" x14ac:dyDescent="0.25">
      <c r="A40" s="596" t="s">
        <v>18</v>
      </c>
      <c r="B40" s="597"/>
      <c r="C40" s="597"/>
      <c r="D40" s="598"/>
      <c r="E40" s="38">
        <f>HLOOKUP($H$3,ListasDatos!$E$2:$R$44,40,)</f>
        <v>9</v>
      </c>
      <c r="F40" s="29"/>
      <c r="G40" s="35"/>
      <c r="M40" s="29"/>
    </row>
    <row r="41" spans="1:13" x14ac:dyDescent="0.25">
      <c r="A41" s="596" t="s">
        <v>19</v>
      </c>
      <c r="B41" s="597"/>
      <c r="C41" s="597"/>
      <c r="D41" s="598"/>
      <c r="E41" s="38">
        <f>HLOOKUP($H$3,ListasDatos!$E$2:$R$44,41,)</f>
        <v>8</v>
      </c>
      <c r="F41" s="29"/>
      <c r="G41" s="29"/>
      <c r="M41" s="29"/>
    </row>
    <row r="42" spans="1:13" ht="15.75" thickBot="1" x14ac:dyDescent="0.3">
      <c r="A42" s="593" t="s">
        <v>21</v>
      </c>
      <c r="B42" s="594"/>
      <c r="C42" s="594"/>
      <c r="D42" s="595"/>
      <c r="E42" s="38">
        <f>HLOOKUP($H$3,ListasDatos!$E$2:$R$44,42,)</f>
        <v>8</v>
      </c>
      <c r="F42" s="29"/>
      <c r="G42" s="29"/>
      <c r="M42" s="29"/>
    </row>
    <row r="43" spans="1:13" ht="15.75" thickBot="1" x14ac:dyDescent="0.3">
      <c r="A43" s="599" t="str">
        <f>'AUDIT SISTEMAS Y PROCESOS'!H5</f>
        <v>AUDITORÍA DE SISTEMAS Y PROCESOS</v>
      </c>
      <c r="B43" s="600"/>
      <c r="C43" s="600"/>
      <c r="D43" s="601"/>
      <c r="E43" s="37">
        <f>HLOOKUP($H$3,ListasDatos!$E$2:$R$47,45,)</f>
        <v>6</v>
      </c>
      <c r="F43" s="30">
        <f>E43/F44*100</f>
        <v>100</v>
      </c>
      <c r="G43" s="29"/>
      <c r="M43" s="29"/>
    </row>
    <row r="44" spans="1:13" ht="15.75" thickBot="1" x14ac:dyDescent="0.3">
      <c r="A44" s="602"/>
      <c r="B44" s="603"/>
      <c r="C44" s="603"/>
      <c r="D44" s="604"/>
      <c r="E44" s="38"/>
      <c r="F44" s="29">
        <f>HLOOKUP($H$3,ListasDatos!$E$2:$R$47,46,)</f>
        <v>6</v>
      </c>
      <c r="G44" s="29"/>
      <c r="M44" s="29"/>
    </row>
    <row r="45" spans="1:13" ht="15.75" customHeight="1" thickBot="1" x14ac:dyDescent="0.3">
      <c r="A45" s="605" t="s">
        <v>24</v>
      </c>
      <c r="B45" s="606"/>
      <c r="C45" s="606"/>
      <c r="D45" s="607"/>
      <c r="E45" s="34">
        <f ca="1">(E8+E13+E18+E23+E28+E33+E38+E43)</f>
        <v>249</v>
      </c>
      <c r="F45" s="36">
        <f ca="1">E45/E46*100</f>
        <v>95.769230769230774</v>
      </c>
      <c r="G45" s="29"/>
      <c r="M45" s="29"/>
    </row>
    <row r="46" spans="1:13" ht="15.75" thickBot="1" x14ac:dyDescent="0.3">
      <c r="A46" s="589" t="s">
        <v>25</v>
      </c>
      <c r="B46" s="590"/>
      <c r="C46" s="590"/>
      <c r="D46" s="590"/>
      <c r="E46" s="33">
        <f>HLOOKUP($H$3,ListasDatos!$E$2:$R$49,48,)</f>
        <v>294</v>
      </c>
      <c r="F46" s="29"/>
      <c r="G46" s="29"/>
      <c r="H46" s="29"/>
      <c r="I46" s="29"/>
      <c r="J46" s="29"/>
      <c r="K46" s="29"/>
      <c r="L46" s="29"/>
      <c r="M46" s="29"/>
    </row>
    <row r="47" spans="1:13" ht="15.75" thickBot="1" x14ac:dyDescent="0.3">
      <c r="A47" s="591" t="s">
        <v>26</v>
      </c>
      <c r="B47" s="592"/>
      <c r="C47" s="592"/>
      <c r="D47" s="592"/>
      <c r="E47" s="32">
        <f ca="1">E45/E46</f>
        <v>0.95769230769230773</v>
      </c>
      <c r="F47" s="29"/>
      <c r="G47" s="29"/>
      <c r="H47" s="29"/>
      <c r="I47" s="29"/>
      <c r="J47" s="29"/>
      <c r="K47" s="29"/>
      <c r="L47" s="29"/>
      <c r="M47" s="29"/>
    </row>
    <row r="48" spans="1:13" x14ac:dyDescent="0.25">
      <c r="A48" s="29"/>
      <c r="B48" s="29"/>
      <c r="C48" s="29"/>
      <c r="D48" s="29"/>
      <c r="E48" s="29"/>
      <c r="F48" s="29"/>
      <c r="G48" s="29"/>
      <c r="H48" s="29"/>
      <c r="I48" s="29"/>
      <c r="J48" s="29"/>
      <c r="K48" s="29"/>
      <c r="L48" s="29"/>
      <c r="M48" s="29"/>
    </row>
    <row r="49" spans="1:18" ht="18" customHeight="1" x14ac:dyDescent="0.25">
      <c r="A49" s="577"/>
      <c r="B49" s="582" t="s">
        <v>0</v>
      </c>
      <c r="C49" s="583"/>
      <c r="D49" s="583"/>
      <c r="E49" s="583"/>
      <c r="F49" s="583"/>
      <c r="G49" s="583"/>
      <c r="H49" s="583"/>
      <c r="I49" s="583"/>
      <c r="J49" s="583"/>
      <c r="K49" s="504" t="s">
        <v>1</v>
      </c>
      <c r="L49" s="504"/>
      <c r="M49" s="504"/>
    </row>
    <row r="50" spans="1:18" ht="18" customHeight="1" x14ac:dyDescent="0.25">
      <c r="A50" s="578"/>
      <c r="B50" s="584"/>
      <c r="C50" s="585"/>
      <c r="D50" s="585"/>
      <c r="E50" s="585"/>
      <c r="F50" s="585"/>
      <c r="G50" s="585"/>
      <c r="H50" s="585"/>
      <c r="I50" s="585"/>
      <c r="J50" s="585"/>
      <c r="K50" s="504" t="s">
        <v>4</v>
      </c>
      <c r="L50" s="504"/>
      <c r="M50" s="504"/>
    </row>
    <row r="51" spans="1:18" ht="18" customHeight="1" x14ac:dyDescent="0.25">
      <c r="A51" s="578"/>
      <c r="B51" s="69" t="s">
        <v>5</v>
      </c>
      <c r="C51" s="70" t="str">
        <f>C3</f>
        <v>MARCILLA</v>
      </c>
      <c r="D51" s="71"/>
      <c r="E51" s="72" t="s">
        <v>7</v>
      </c>
      <c r="F51" s="73">
        <v>2026</v>
      </c>
      <c r="G51" s="72" t="s">
        <v>8</v>
      </c>
      <c r="H51" s="580" t="str">
        <f>H3</f>
        <v>septiembre</v>
      </c>
      <c r="I51" s="580"/>
      <c r="J51" s="581"/>
      <c r="K51" s="507">
        <v>45288</v>
      </c>
      <c r="L51" s="507"/>
      <c r="M51" s="507"/>
      <c r="Q51" s="1"/>
      <c r="R51" s="1"/>
    </row>
    <row r="52" spans="1:18" ht="18" customHeight="1" x14ac:dyDescent="0.3">
      <c r="A52" s="579"/>
      <c r="B52" s="74"/>
      <c r="C52" s="75"/>
      <c r="D52" s="75"/>
      <c r="E52" s="75"/>
      <c r="F52" s="76" t="s">
        <v>10</v>
      </c>
      <c r="G52" s="77">
        <f>'AUDIT HK'!K56</f>
        <v>0</v>
      </c>
      <c r="H52" s="78"/>
      <c r="I52" s="78"/>
      <c r="J52" s="68"/>
      <c r="K52" s="504" t="s">
        <v>27</v>
      </c>
      <c r="L52" s="504"/>
      <c r="M52" s="504"/>
      <c r="Q52" s="43"/>
    </row>
    <row r="53" spans="1:18" ht="15.75" thickBot="1" x14ac:dyDescent="0.3">
      <c r="A53" s="29"/>
      <c r="B53" s="29"/>
      <c r="C53" s="29"/>
      <c r="D53" s="29"/>
      <c r="E53" s="29"/>
      <c r="F53" s="29"/>
      <c r="G53" s="29"/>
    </row>
    <row r="54" spans="1:18" s="101" customFormat="1" ht="21" customHeight="1" thickBot="1" x14ac:dyDescent="0.3">
      <c r="A54" s="329" t="s">
        <v>28</v>
      </c>
      <c r="B54" s="332">
        <f>NCm_NCM!D6</f>
        <v>1</v>
      </c>
      <c r="C54" s="334"/>
      <c r="D54" s="335"/>
      <c r="E54" s="336" t="s">
        <v>29</v>
      </c>
      <c r="F54" s="337" t="e">
        <f>NCm_NCM!J6</f>
        <v>#REF!</v>
      </c>
      <c r="G54" s="330"/>
      <c r="H54" s="328" t="s">
        <v>30</v>
      </c>
      <c r="I54" s="333">
        <f>NCm_NCM!O6</f>
        <v>1</v>
      </c>
      <c r="J54" s="330"/>
      <c r="K54" s="331"/>
      <c r="L54" s="328" t="s">
        <v>31</v>
      </c>
      <c r="M54" s="333" t="e">
        <f>NCm_NCM!S6</f>
        <v>#REF!</v>
      </c>
      <c r="P54" s="326"/>
    </row>
    <row r="55" spans="1:18" ht="15.75" customHeight="1" thickBot="1" x14ac:dyDescent="0.3">
      <c r="A55" s="633"/>
      <c r="B55" s="633"/>
      <c r="C55" s="633"/>
      <c r="D55" s="633"/>
      <c r="E55" s="57"/>
    </row>
    <row r="56" spans="1:18" ht="15.75" thickBot="1" x14ac:dyDescent="0.3">
      <c r="A56" s="634" t="s">
        <v>32</v>
      </c>
      <c r="B56" s="27" t="s">
        <v>33</v>
      </c>
      <c r="C56" s="636" t="s">
        <v>34</v>
      </c>
      <c r="D56" s="636" t="s">
        <v>35</v>
      </c>
      <c r="E56" s="57"/>
      <c r="K56" s="58"/>
      <c r="L56" s="58"/>
      <c r="M56" s="25" t="s">
        <v>36</v>
      </c>
    </row>
    <row r="57" spans="1:18" ht="15.75" thickBot="1" x14ac:dyDescent="0.3">
      <c r="A57" s="635"/>
      <c r="B57" s="26" t="s">
        <v>37</v>
      </c>
      <c r="C57" s="637"/>
      <c r="D57" s="638"/>
      <c r="E57" s="1"/>
      <c r="H57" s="28" t="s">
        <v>38</v>
      </c>
      <c r="I57" s="87"/>
      <c r="J57" s="61" t="s">
        <v>39</v>
      </c>
      <c r="K57" s="639" t="s">
        <v>18</v>
      </c>
      <c r="L57" s="640"/>
      <c r="M57" s="23">
        <f>O57+P57</f>
        <v>1</v>
      </c>
      <c r="O57" s="178">
        <f>HLOOKUP($H$51,ListasDatos!$AI$2:$AV$44,3,)</f>
        <v>1</v>
      </c>
      <c r="P57" s="178">
        <f>HLOOKUP($H$51,ListasDatos!$AX$2:$BK$44,3,)</f>
        <v>0</v>
      </c>
    </row>
    <row r="58" spans="1:18" x14ac:dyDescent="0.25">
      <c r="A58" s="22" t="str">
        <f>A8</f>
        <v>A. MEZCLAS (Cámaras, Bodegas, Sla. Mezclas, Sla. Aditivos, Sla.Glucosas)</v>
      </c>
      <c r="B58" s="88">
        <f>E8</f>
        <v>48</v>
      </c>
      <c r="C58" s="19">
        <f>SUM(O57:O60)</f>
        <v>2</v>
      </c>
      <c r="D58" s="19">
        <f t="shared" ref="D58" si="0">SUM(P57:P60)</f>
        <v>0</v>
      </c>
      <c r="E58" s="1"/>
      <c r="F58" s="639" t="s">
        <v>18</v>
      </c>
      <c r="G58" s="640"/>
      <c r="H58" s="24">
        <f>'INFORME AUDIT INTERNA'!M57+'INFORME AUDIT INTERNA'!M61+'INFORME AUDIT INTERNA'!M65+'INFORME AUDIT INTERNA'!M69+'INFORME AUDIT INTERNA'!M73+'INFORME AUDIT INTERNA'!M77+'INFORME AUDIT INTERNA'!M81</f>
        <v>3</v>
      </c>
      <c r="I58" s="1"/>
      <c r="J58" s="1"/>
      <c r="K58" s="644" t="s">
        <v>19</v>
      </c>
      <c r="L58" s="646"/>
      <c r="M58" s="23">
        <f t="shared" ref="M58:M84" si="1">O58+P58</f>
        <v>1</v>
      </c>
      <c r="O58" s="178">
        <f>HLOOKUP($H$51,ListasDatos!$AI$2:$AV$44,4,)</f>
        <v>1</v>
      </c>
      <c r="P58" s="178">
        <f>HLOOKUP($H$51,ListasDatos!$AX$2:$BK$44,4,)</f>
        <v>0</v>
      </c>
    </row>
    <row r="59" spans="1:18" x14ac:dyDescent="0.25">
      <c r="A59" s="22" t="str">
        <f>A13</f>
        <v xml:space="preserve">B. ALMACÉN (MMPP, MMAA, Producto Terminado y APQ) </v>
      </c>
      <c r="B59" s="88">
        <f>E13</f>
        <v>40</v>
      </c>
      <c r="C59" s="19">
        <f>SUM(O61:O64)</f>
        <v>4</v>
      </c>
      <c r="D59" s="19">
        <f t="shared" ref="D59" si="2">SUM(P61:P64)</f>
        <v>0</v>
      </c>
      <c r="F59" s="644" t="s">
        <v>19</v>
      </c>
      <c r="G59" s="646"/>
      <c r="H59" s="23">
        <f>'INFORME AUDIT INTERNA'!M58+'INFORME AUDIT INTERNA'!M62+'INFORME AUDIT INTERNA'!M66+'INFORME AUDIT INTERNA'!M70+'INFORME AUDIT INTERNA'!M74+'INFORME AUDIT INTERNA'!M78+'INFORME AUDIT INTERNA'!M82</f>
        <v>4</v>
      </c>
      <c r="I59" s="1"/>
      <c r="J59" s="1"/>
      <c r="K59" s="644" t="s">
        <v>21</v>
      </c>
      <c r="L59" s="646"/>
      <c r="M59" s="23">
        <f t="shared" si="1"/>
        <v>0</v>
      </c>
      <c r="O59" s="178">
        <f>HLOOKUP($H$51,ListasDatos!$AI$2:$AV$44,5,)</f>
        <v>0</v>
      </c>
      <c r="P59" s="178">
        <f>HLOOKUP($H$51,ListasDatos!$AX$2:$BK$44,5,)</f>
        <v>0</v>
      </c>
    </row>
    <row r="60" spans="1:18" ht="15.75" thickBot="1" x14ac:dyDescent="0.3">
      <c r="A60" s="22" t="str">
        <f>A18</f>
        <v>C. Taller de Mantenimiento, Sla Compresores, Sla Calderas, Sla CIP y PTA</v>
      </c>
      <c r="B60" s="88">
        <f>E18</f>
        <v>41</v>
      </c>
      <c r="C60" s="19">
        <f>SUM(O65:O68)</f>
        <v>1</v>
      </c>
      <c r="D60" s="19">
        <f t="shared" ref="D60" si="3">SUM(P65:P68)</f>
        <v>0</v>
      </c>
      <c r="F60" s="644" t="s">
        <v>21</v>
      </c>
      <c r="G60" s="646"/>
      <c r="H60" s="23">
        <f>'INFORME AUDIT INTERNA'!M59+'INFORME AUDIT INTERNA'!M63+'INFORME AUDIT INTERNA'!M67+'INFORME AUDIT INTERNA'!M71+'INFORME AUDIT INTERNA'!M75+'INFORME AUDIT INTERNA'!M79+'INFORME AUDIT INTERNA'!M83</f>
        <v>3</v>
      </c>
      <c r="I60" s="1"/>
      <c r="J60" s="1"/>
      <c r="K60" s="641" t="s">
        <v>17</v>
      </c>
      <c r="L60" s="642"/>
      <c r="M60" s="21">
        <f t="shared" si="1"/>
        <v>0</v>
      </c>
      <c r="O60" s="178">
        <f>HLOOKUP($H$51,ListasDatos!$AI$2:$AV$44,6,)</f>
        <v>0</v>
      </c>
      <c r="P60" s="178">
        <f>HLOOKUP($H$51,ListasDatos!$AX$2:$BK$44,6,)</f>
        <v>0</v>
      </c>
    </row>
    <row r="61" spans="1:18" ht="15.75" thickBot="1" x14ac:dyDescent="0.3">
      <c r="A61" s="22" t="str">
        <f>A23</f>
        <v>D. Laboratorio</v>
      </c>
      <c r="B61" s="88">
        <f>E23</f>
        <v>32</v>
      </c>
      <c r="C61" s="19">
        <f>SUM(O69:O72)</f>
        <v>0</v>
      </c>
      <c r="D61" s="19">
        <f t="shared" ref="D61" si="4">SUM(P69:P72)</f>
        <v>0</v>
      </c>
      <c r="F61" s="641" t="s">
        <v>17</v>
      </c>
      <c r="G61" s="642"/>
      <c r="H61" s="21">
        <f>'INFORME AUDIT INTERNA'!M60+'INFORME AUDIT INTERNA'!M64+'INFORME AUDIT INTERNA'!M68+'INFORME AUDIT INTERNA'!M72+'INFORME AUDIT INTERNA'!M76+'INFORME AUDIT INTERNA'!M80+'INFORME AUDIT INTERNA'!M84</f>
        <v>0</v>
      </c>
      <c r="I61" s="23"/>
      <c r="J61" s="25" t="s">
        <v>40</v>
      </c>
      <c r="K61" s="639" t="s">
        <v>18</v>
      </c>
      <c r="L61" s="640"/>
      <c r="M61" s="24">
        <f t="shared" si="1"/>
        <v>1</v>
      </c>
      <c r="O61" s="178">
        <f>HLOOKUP($H$51,ListasDatos!$AI$2:$AV$44,9,)</f>
        <v>1</v>
      </c>
      <c r="P61" s="178">
        <f>HLOOKUP($H$51,ListasDatos!$AX$2:$BK$44,9,)</f>
        <v>0</v>
      </c>
    </row>
    <row r="62" spans="1:18" x14ac:dyDescent="0.25">
      <c r="A62" s="22" t="str">
        <f>A28</f>
        <v>E.ENVASADO (Linea 2,8 y 9 )</v>
      </c>
      <c r="B62" s="88">
        <f ca="1">E28</f>
        <v>41</v>
      </c>
      <c r="C62" s="19">
        <f>SUM(O73:O76)</f>
        <v>1</v>
      </c>
      <c r="D62" s="19">
        <f t="shared" ref="D62" si="5">SUM(P73:P76)</f>
        <v>0</v>
      </c>
      <c r="J62" s="1"/>
      <c r="K62" s="644" t="s">
        <v>19</v>
      </c>
      <c r="L62" s="646"/>
      <c r="M62" s="23">
        <f t="shared" si="1"/>
        <v>1</v>
      </c>
      <c r="O62" s="178">
        <f>HLOOKUP($H$51,ListasDatos!$AI$2:$AV$44,10,)</f>
        <v>1</v>
      </c>
      <c r="P62" s="178">
        <f>HLOOKUP($H$51,ListasDatos!$AX$2:$BK$44,10,)</f>
        <v>0</v>
      </c>
    </row>
    <row r="63" spans="1:18" x14ac:dyDescent="0.25">
      <c r="A63" s="22" t="str">
        <f>A33</f>
        <v>F. Exteriores</v>
      </c>
      <c r="B63" s="88">
        <f>E33</f>
        <v>38</v>
      </c>
      <c r="C63" s="19">
        <f>SUM(O77:O80)</f>
        <v>0</v>
      </c>
      <c r="D63" s="19">
        <f t="shared" ref="D63" si="6">SUM(P77:P80)</f>
        <v>0</v>
      </c>
      <c r="E63">
        <f>P66</f>
        <v>0</v>
      </c>
      <c r="J63" s="1"/>
      <c r="K63" s="644" t="s">
        <v>21</v>
      </c>
      <c r="L63" s="646"/>
      <c r="M63" s="23">
        <f t="shared" si="1"/>
        <v>2</v>
      </c>
      <c r="O63" s="178">
        <f>HLOOKUP($H$51,ListasDatos!$AI$2:$AV$44,11,)</f>
        <v>2</v>
      </c>
      <c r="P63" s="178">
        <f>HLOOKUP($H$51,ListasDatos!$AX$2:$BK$44,11,)</f>
        <v>0</v>
      </c>
    </row>
    <row r="64" spans="1:18" ht="15.75" thickBot="1" x14ac:dyDescent="0.3">
      <c r="A64" s="20" t="str">
        <f>A38</f>
        <v>G. ZONAS COMUNES (Vestuarios, Servicios, Comedor y Cuarto de Limpieza)</v>
      </c>
      <c r="B64" s="88">
        <f>E38</f>
        <v>32</v>
      </c>
      <c r="C64" s="19">
        <f>SUM(O81:O84)</f>
        <v>2</v>
      </c>
      <c r="D64" s="19">
        <f t="shared" ref="D64" si="7">SUM(P81:P84)</f>
        <v>0</v>
      </c>
      <c r="J64" s="1"/>
      <c r="K64" s="641" t="s">
        <v>17</v>
      </c>
      <c r="L64" s="642"/>
      <c r="M64" s="23">
        <f t="shared" si="1"/>
        <v>0</v>
      </c>
      <c r="O64" s="178">
        <f>HLOOKUP($H$51,ListasDatos!$AI$2:$AV$44,12,)</f>
        <v>0</v>
      </c>
      <c r="P64" s="178">
        <f>HLOOKUP($H$51,ListasDatos!$AX$2:$BK$44,12,)</f>
        <v>0</v>
      </c>
    </row>
    <row r="65" spans="3:16" ht="15.75" thickBot="1" x14ac:dyDescent="0.3">
      <c r="J65" s="25" t="s">
        <v>41</v>
      </c>
      <c r="K65" s="639" t="s">
        <v>18</v>
      </c>
      <c r="L65" s="643"/>
      <c r="M65" s="407">
        <f t="shared" si="1"/>
        <v>0</v>
      </c>
      <c r="O65" s="178">
        <f>HLOOKUP($H$51,ListasDatos!$AI$2:$AV$44,15,)</f>
        <v>0</v>
      </c>
      <c r="P65" s="178">
        <f>HLOOKUP($H$51,ListasDatos!$AX$2:$BK$44,15,)</f>
        <v>0</v>
      </c>
    </row>
    <row r="66" spans="3:16" ht="20.25" customHeight="1" thickBot="1" x14ac:dyDescent="0.3">
      <c r="D66" s="55" t="s">
        <v>42</v>
      </c>
      <c r="E66" s="54" t="s">
        <v>43</v>
      </c>
      <c r="F66" s="60" t="s">
        <v>44</v>
      </c>
      <c r="G66" s="54" t="s">
        <v>45</v>
      </c>
      <c r="H66" s="53" t="s">
        <v>46</v>
      </c>
      <c r="J66" s="1"/>
      <c r="K66" s="644" t="s">
        <v>19</v>
      </c>
      <c r="L66" s="645"/>
      <c r="M66" s="408">
        <f t="shared" si="1"/>
        <v>1</v>
      </c>
      <c r="O66" s="178">
        <f>HLOOKUP($H$51,ListasDatos!$AI$2:$AV$44,16,)</f>
        <v>1</v>
      </c>
      <c r="P66" s="178">
        <f>HLOOKUP($H$51,ListasDatos!$AX$2:$BK$44,16,)</f>
        <v>0</v>
      </c>
    </row>
    <row r="67" spans="3:16" x14ac:dyDescent="0.25">
      <c r="D67" s="51" t="s">
        <v>18</v>
      </c>
      <c r="E67" s="63">
        <f>'INFORME AUDIT INTERNA'!$H$58</f>
        <v>3</v>
      </c>
      <c r="F67" s="64">
        <f>E67</f>
        <v>3</v>
      </c>
      <c r="G67" s="50">
        <f>E67/(SUM(E67:E70))</f>
        <v>0.3</v>
      </c>
      <c r="H67" s="49">
        <f>G67</f>
        <v>0.3</v>
      </c>
      <c r="J67" s="1"/>
      <c r="K67" s="644" t="s">
        <v>21</v>
      </c>
      <c r="L67" s="645"/>
      <c r="M67" s="408">
        <f t="shared" si="1"/>
        <v>0</v>
      </c>
      <c r="O67" s="178">
        <f>HLOOKUP($H$51,ListasDatos!$AI$2:$AV$44,17,)</f>
        <v>0</v>
      </c>
      <c r="P67" s="178">
        <f>HLOOKUP($H$51,ListasDatos!$AX$2:$BK$44,17,)</f>
        <v>0</v>
      </c>
    </row>
    <row r="68" spans="3:16" ht="15" customHeight="1" thickBot="1" x14ac:dyDescent="0.3">
      <c r="D68" s="51" t="s">
        <v>19</v>
      </c>
      <c r="E68" s="63">
        <f>'INFORME AUDIT INTERNA'!$H$59</f>
        <v>4</v>
      </c>
      <c r="F68" s="64">
        <f>E68+F67</f>
        <v>7</v>
      </c>
      <c r="G68" s="50">
        <f>(E68)/(SUM(E67:E70))</f>
        <v>0.4</v>
      </c>
      <c r="H68" s="49">
        <f>G68+H67</f>
        <v>0.7</v>
      </c>
      <c r="J68" s="1"/>
      <c r="K68" s="641" t="s">
        <v>17</v>
      </c>
      <c r="L68" s="647"/>
      <c r="M68" s="409">
        <f t="shared" si="1"/>
        <v>0</v>
      </c>
      <c r="O68" s="178">
        <f>HLOOKUP($H$51,ListasDatos!$AI$2:$AV$44,18,)</f>
        <v>0</v>
      </c>
      <c r="P68" s="178">
        <f>HLOOKUP($H$51,ListasDatos!$AX$2:$BK$44,18,)</f>
        <v>0</v>
      </c>
    </row>
    <row r="69" spans="3:16" ht="15" customHeight="1" thickBot="1" x14ac:dyDescent="0.3">
      <c r="D69" s="51" t="s">
        <v>21</v>
      </c>
      <c r="E69" s="63">
        <f>'INFORME AUDIT INTERNA'!$H$60</f>
        <v>3</v>
      </c>
      <c r="F69" s="64">
        <f>E69+F68</f>
        <v>10</v>
      </c>
      <c r="G69" s="50">
        <f>(E69)/(SUM(E67:E70))</f>
        <v>0.3</v>
      </c>
      <c r="H69" s="49">
        <f>G69+H68</f>
        <v>1</v>
      </c>
      <c r="J69" s="25" t="s">
        <v>47</v>
      </c>
      <c r="K69" s="639" t="s">
        <v>18</v>
      </c>
      <c r="L69" s="643"/>
      <c r="M69" s="407">
        <f t="shared" si="1"/>
        <v>0</v>
      </c>
      <c r="O69" s="178">
        <f>HLOOKUP($H$51,ListasDatos!$AI$2:$AV$44,21,)</f>
        <v>0</v>
      </c>
      <c r="P69" s="178">
        <f>HLOOKUP($H$51,ListasDatos!$AX$2:$BK$44,21,)</f>
        <v>0</v>
      </c>
    </row>
    <row r="70" spans="3:16" ht="15.6" customHeight="1" thickBot="1" x14ac:dyDescent="0.3">
      <c r="D70" s="47" t="s">
        <v>17</v>
      </c>
      <c r="E70" s="63">
        <f>'INFORME AUDIT INTERNA'!$H$61</f>
        <v>0</v>
      </c>
      <c r="F70" s="65">
        <f>E70+F69</f>
        <v>10</v>
      </c>
      <c r="G70" s="46">
        <f>(E70)/(SUM(E67:E70))</f>
        <v>0</v>
      </c>
      <c r="H70" s="45">
        <f>G70+H69</f>
        <v>1</v>
      </c>
      <c r="J70" s="1"/>
      <c r="K70" s="644" t="s">
        <v>19</v>
      </c>
      <c r="L70" s="645"/>
      <c r="M70" s="408">
        <f t="shared" si="1"/>
        <v>0</v>
      </c>
      <c r="O70" s="178">
        <f>HLOOKUP($H$51,ListasDatos!$AI$2:$AV$44,22,)</f>
        <v>0</v>
      </c>
      <c r="P70" s="178">
        <f>HLOOKUP($H$51,ListasDatos!$AX$2:$BK$44,22,)</f>
        <v>0</v>
      </c>
    </row>
    <row r="71" spans="3:16" ht="15.75" thickBot="1" x14ac:dyDescent="0.3">
      <c r="E71" s="44">
        <f>SUM(E67:E70)</f>
        <v>10</v>
      </c>
      <c r="J71" s="1"/>
      <c r="K71" s="644" t="s">
        <v>21</v>
      </c>
      <c r="L71" s="645"/>
      <c r="M71" s="408">
        <f>O71+P71</f>
        <v>0</v>
      </c>
      <c r="O71" s="178">
        <f>HLOOKUP($H$51,ListasDatos!$AI$2:$AV$44,23,)</f>
        <v>0</v>
      </c>
      <c r="P71" s="178">
        <f>HLOOKUP($H$51,ListasDatos!$AX$2:$BK$44,23,)</f>
        <v>0</v>
      </c>
    </row>
    <row r="72" spans="3:16" ht="15.75" thickBot="1" x14ac:dyDescent="0.3">
      <c r="J72" s="1"/>
      <c r="K72" s="641" t="s">
        <v>17</v>
      </c>
      <c r="L72" s="647"/>
      <c r="M72" s="409">
        <f t="shared" si="1"/>
        <v>0</v>
      </c>
      <c r="O72" s="178">
        <f>HLOOKUP($H$51,ListasDatos!$AI$2:$AV$44,24,)</f>
        <v>0</v>
      </c>
      <c r="P72" s="178">
        <f>HLOOKUP($H$51,ListasDatos!$AX$2:$BK$44,24,)</f>
        <v>0</v>
      </c>
    </row>
    <row r="73" spans="3:16" ht="15.75" thickBot="1" x14ac:dyDescent="0.3">
      <c r="J73" s="25" t="s">
        <v>48</v>
      </c>
      <c r="K73" s="639" t="s">
        <v>18</v>
      </c>
      <c r="L73" s="640"/>
      <c r="M73" s="23">
        <f t="shared" si="1"/>
        <v>0</v>
      </c>
      <c r="O73" s="178">
        <f>HLOOKUP($H$51,ListasDatos!$AI$2:$AV$44,27,)</f>
        <v>0</v>
      </c>
      <c r="P73" s="178">
        <f>HLOOKUP($H$51,ListasDatos!$AX$2:$BK$44,27,)</f>
        <v>0</v>
      </c>
    </row>
    <row r="74" spans="3:16" x14ac:dyDescent="0.25">
      <c r="J74" s="1"/>
      <c r="K74" s="644" t="s">
        <v>19</v>
      </c>
      <c r="L74" s="646"/>
      <c r="M74" s="23">
        <f t="shared" si="1"/>
        <v>0</v>
      </c>
      <c r="O74" s="178">
        <f>HLOOKUP($H$51,ListasDatos!$AI$2:$AV$44,28,)</f>
        <v>0</v>
      </c>
      <c r="P74" s="178">
        <f>HLOOKUP($H$51,ListasDatos!$AX$2:$BK$44,28,)</f>
        <v>0</v>
      </c>
    </row>
    <row r="75" spans="3:16" x14ac:dyDescent="0.25">
      <c r="J75" s="1"/>
      <c r="K75" s="644" t="s">
        <v>21</v>
      </c>
      <c r="L75" s="646"/>
      <c r="M75" s="23">
        <f t="shared" si="1"/>
        <v>1</v>
      </c>
      <c r="O75" s="178">
        <f>HLOOKUP($H$51,ListasDatos!$AI$2:$AV$44,29,)</f>
        <v>1</v>
      </c>
      <c r="P75" s="178">
        <f>HLOOKUP($H$51,ListasDatos!$AX$2:$BK$44,29,)</f>
        <v>0</v>
      </c>
    </row>
    <row r="76" spans="3:16" ht="18" thickBot="1" x14ac:dyDescent="0.35">
      <c r="C76" s="56"/>
      <c r="D76" s="42"/>
      <c r="J76" s="1"/>
      <c r="K76" s="641" t="s">
        <v>17</v>
      </c>
      <c r="L76" s="642"/>
      <c r="M76" s="21">
        <f t="shared" si="1"/>
        <v>0</v>
      </c>
      <c r="O76" s="178">
        <f>HLOOKUP($H$51,ListasDatos!$AI$2:$AV$44,30,)</f>
        <v>0</v>
      </c>
      <c r="P76" s="178">
        <f>HLOOKUP($H$51,ListasDatos!$AX$2:$BK$44,30,)</f>
        <v>0</v>
      </c>
    </row>
    <row r="77" spans="3:16" ht="15.75" thickBot="1" x14ac:dyDescent="0.3">
      <c r="J77" s="25" t="s">
        <v>49</v>
      </c>
      <c r="K77" s="639" t="s">
        <v>18</v>
      </c>
      <c r="L77" s="640"/>
      <c r="M77" s="24">
        <f t="shared" si="1"/>
        <v>0</v>
      </c>
      <c r="O77" s="178">
        <f>HLOOKUP($H$51,ListasDatos!$AI$2:$AV$44,33,)</f>
        <v>0</v>
      </c>
      <c r="P77" s="178">
        <f>HLOOKUP($H$51,ListasDatos!$AX$2:$BK$44,33,)</f>
        <v>0</v>
      </c>
    </row>
    <row r="78" spans="3:16" ht="17.25" x14ac:dyDescent="0.3">
      <c r="D78" s="42"/>
      <c r="J78" s="1"/>
      <c r="K78" s="644" t="s">
        <v>19</v>
      </c>
      <c r="L78" s="646"/>
      <c r="M78" s="23">
        <f t="shared" si="1"/>
        <v>0</v>
      </c>
      <c r="O78" s="178">
        <f>HLOOKUP($H$51,ListasDatos!$AI$2:$AV$44,34,)</f>
        <v>0</v>
      </c>
      <c r="P78" s="178">
        <f>HLOOKUP($H$51,ListasDatos!$AX$2:$BK$44,34,)</f>
        <v>0</v>
      </c>
    </row>
    <row r="79" spans="3:16" x14ac:dyDescent="0.25">
      <c r="J79" s="1"/>
      <c r="K79" s="644" t="s">
        <v>21</v>
      </c>
      <c r="L79" s="646"/>
      <c r="M79" s="23">
        <f t="shared" si="1"/>
        <v>0</v>
      </c>
      <c r="O79" s="178">
        <f>HLOOKUP($H$51,ListasDatos!$AI$2:$AV$44,35,)</f>
        <v>0</v>
      </c>
      <c r="P79" s="178">
        <f>HLOOKUP($H$51,ListasDatos!$AX$2:$BK$44,35,)</f>
        <v>0</v>
      </c>
    </row>
    <row r="80" spans="3:16" ht="15.75" thickBot="1" x14ac:dyDescent="0.3">
      <c r="J80" s="1"/>
      <c r="K80" s="641" t="s">
        <v>17</v>
      </c>
      <c r="L80" s="642"/>
      <c r="M80" s="21">
        <f t="shared" si="1"/>
        <v>0</v>
      </c>
      <c r="O80" s="178">
        <f>HLOOKUP($H$51,ListasDatos!$AI$2:$AV$44,36,)</f>
        <v>0</v>
      </c>
      <c r="P80" s="178">
        <f>HLOOKUP($H$51,ListasDatos!$AX$2:$BK$44,36,)</f>
        <v>0</v>
      </c>
    </row>
    <row r="81" spans="10:16" ht="15.75" thickBot="1" x14ac:dyDescent="0.3">
      <c r="J81" s="25" t="s">
        <v>50</v>
      </c>
      <c r="K81" s="639" t="s">
        <v>18</v>
      </c>
      <c r="L81" s="640"/>
      <c r="M81" s="24">
        <f t="shared" si="1"/>
        <v>1</v>
      </c>
      <c r="O81" s="178">
        <f>HLOOKUP($H$51,ListasDatos!$AI$2:$AV$44,39,)</f>
        <v>1</v>
      </c>
      <c r="P81" s="178">
        <f>HLOOKUP($H$51,ListasDatos!$AX$2:$BK$44,39,)</f>
        <v>0</v>
      </c>
    </row>
    <row r="82" spans="10:16" x14ac:dyDescent="0.25">
      <c r="K82" s="644" t="s">
        <v>19</v>
      </c>
      <c r="L82" s="646"/>
      <c r="M82" s="23">
        <f t="shared" si="1"/>
        <v>1</v>
      </c>
      <c r="O82" s="178">
        <f>HLOOKUP($H$51,ListasDatos!$AI$2:$AV$44,40,)</f>
        <v>1</v>
      </c>
      <c r="P82" s="178">
        <f>HLOOKUP($H$51,ListasDatos!$AX$2:$BK$44,40,)</f>
        <v>0</v>
      </c>
    </row>
    <row r="83" spans="10:16" x14ac:dyDescent="0.25">
      <c r="K83" s="644" t="s">
        <v>21</v>
      </c>
      <c r="L83" s="646"/>
      <c r="M83" s="23">
        <f t="shared" si="1"/>
        <v>0</v>
      </c>
      <c r="O83" s="178">
        <f>HLOOKUP($H$51,ListasDatos!$AI$2:$AV$44,41,)</f>
        <v>0</v>
      </c>
      <c r="P83" s="178">
        <f>HLOOKUP($H$51,ListasDatos!$AX$2:$BK$44,41,)</f>
        <v>0</v>
      </c>
    </row>
    <row r="84" spans="10:16" ht="15.75" thickBot="1" x14ac:dyDescent="0.3">
      <c r="K84" s="641" t="s">
        <v>17</v>
      </c>
      <c r="L84" s="642"/>
      <c r="M84" s="21">
        <f t="shared" si="1"/>
        <v>0</v>
      </c>
      <c r="O84" s="178">
        <f>HLOOKUP($H$51,ListasDatos!$AI$2:$AV$44,42,)</f>
        <v>0</v>
      </c>
      <c r="P84" s="178">
        <f>HLOOKUP($H$51,ListasDatos!$AX$2:$BK$44,42,)</f>
        <v>0</v>
      </c>
    </row>
    <row r="85" spans="10:16" ht="17.25" hidden="1" customHeight="1" x14ac:dyDescent="0.25">
      <c r="O85" s="178">
        <f>SUM(O57:O84)</f>
        <v>10</v>
      </c>
      <c r="P85" s="178">
        <f>SUM(P57:P84)</f>
        <v>0</v>
      </c>
    </row>
  </sheetData>
  <dataConsolidate/>
  <mergeCells count="110">
    <mergeCell ref="K84:L84"/>
    <mergeCell ref="K58:L58"/>
    <mergeCell ref="K60:L60"/>
    <mergeCell ref="K61:L61"/>
    <mergeCell ref="K62:L62"/>
    <mergeCell ref="K63:L63"/>
    <mergeCell ref="K79:L79"/>
    <mergeCell ref="K80:L80"/>
    <mergeCell ref="K81:L81"/>
    <mergeCell ref="K82:L82"/>
    <mergeCell ref="K83:L83"/>
    <mergeCell ref="K74:L74"/>
    <mergeCell ref="K68:L68"/>
    <mergeCell ref="K75:L75"/>
    <mergeCell ref="K76:L76"/>
    <mergeCell ref="K77:L77"/>
    <mergeCell ref="K78:L78"/>
    <mergeCell ref="K69:L69"/>
    <mergeCell ref="K70:L70"/>
    <mergeCell ref="K71:L71"/>
    <mergeCell ref="K72:L72"/>
    <mergeCell ref="K73:L73"/>
    <mergeCell ref="K59:L59"/>
    <mergeCell ref="A55:D55"/>
    <mergeCell ref="A56:A57"/>
    <mergeCell ref="C56:C57"/>
    <mergeCell ref="D56:D57"/>
    <mergeCell ref="K57:L57"/>
    <mergeCell ref="K64:L64"/>
    <mergeCell ref="K65:L65"/>
    <mergeCell ref="K66:L66"/>
    <mergeCell ref="K67:L67"/>
    <mergeCell ref="F58:G58"/>
    <mergeCell ref="F59:G59"/>
    <mergeCell ref="F60:G60"/>
    <mergeCell ref="F61:G61"/>
    <mergeCell ref="H6:J8"/>
    <mergeCell ref="K6:K8"/>
    <mergeCell ref="L6:L8"/>
    <mergeCell ref="H9:J10"/>
    <mergeCell ref="K9:K10"/>
    <mergeCell ref="L9:L10"/>
    <mergeCell ref="A16:D16"/>
    <mergeCell ref="A17:D17"/>
    <mergeCell ref="A18:D18"/>
    <mergeCell ref="A11:D11"/>
    <mergeCell ref="A12:D12"/>
    <mergeCell ref="A13:D13"/>
    <mergeCell ref="A14:D14"/>
    <mergeCell ref="A15:D15"/>
    <mergeCell ref="A34:D34"/>
    <mergeCell ref="A35:D35"/>
    <mergeCell ref="A36:D36"/>
    <mergeCell ref="A37:D37"/>
    <mergeCell ref="A38:D38"/>
    <mergeCell ref="A6:D7"/>
    <mergeCell ref="E6:E7"/>
    <mergeCell ref="A8:D8"/>
    <mergeCell ref="A9:D9"/>
    <mergeCell ref="A10:D10"/>
    <mergeCell ref="A19:D19"/>
    <mergeCell ref="A20:D20"/>
    <mergeCell ref="H51:J51"/>
    <mergeCell ref="K51:M51"/>
    <mergeCell ref="B1:J2"/>
    <mergeCell ref="A49:A52"/>
    <mergeCell ref="B49:J50"/>
    <mergeCell ref="A39:D39"/>
    <mergeCell ref="A46:D46"/>
    <mergeCell ref="A47:D47"/>
    <mergeCell ref="A27:D27"/>
    <mergeCell ref="A29:D29"/>
    <mergeCell ref="A30:D30"/>
    <mergeCell ref="A31:D31"/>
    <mergeCell ref="A32:D32"/>
    <mergeCell ref="A43:D43"/>
    <mergeCell ref="A44:D44"/>
    <mergeCell ref="A21:D21"/>
    <mergeCell ref="A22:D22"/>
    <mergeCell ref="A24:D24"/>
    <mergeCell ref="A25:D25"/>
    <mergeCell ref="A26:D26"/>
    <mergeCell ref="A40:D40"/>
    <mergeCell ref="A41:D41"/>
    <mergeCell ref="A42:D42"/>
    <mergeCell ref="A45:D45"/>
    <mergeCell ref="H19:J20"/>
    <mergeCell ref="K19:K20"/>
    <mergeCell ref="L19:L20"/>
    <mergeCell ref="H17:J18"/>
    <mergeCell ref="K17:K18"/>
    <mergeCell ref="L17:L18"/>
    <mergeCell ref="A1:A4"/>
    <mergeCell ref="K52:M52"/>
    <mergeCell ref="K1:M1"/>
    <mergeCell ref="K2:M2"/>
    <mergeCell ref="K3:M3"/>
    <mergeCell ref="H3:J3"/>
    <mergeCell ref="K4:M4"/>
    <mergeCell ref="H15:J16"/>
    <mergeCell ref="K15:K16"/>
    <mergeCell ref="L15:L16"/>
    <mergeCell ref="H11:J12"/>
    <mergeCell ref="K11:K12"/>
    <mergeCell ref="L11:L12"/>
    <mergeCell ref="H13:J14"/>
    <mergeCell ref="K13:K14"/>
    <mergeCell ref="L13:L14"/>
    <mergeCell ref="K49:M49"/>
    <mergeCell ref="K50:M50"/>
  </mergeCells>
  <conditionalFormatting sqref="F8">
    <cfRule type="cellIs" dxfId="1421" priority="57" operator="lessThan">
      <formula>80</formula>
    </cfRule>
    <cfRule type="cellIs" dxfId="1420" priority="58" operator="greaterThan">
      <formula>80</formula>
    </cfRule>
  </conditionalFormatting>
  <conditionalFormatting sqref="E47">
    <cfRule type="cellIs" dxfId="1419" priority="43" operator="lessThan">
      <formula>0.8</formula>
    </cfRule>
    <cfRule type="cellIs" dxfId="1418" priority="44" operator="greaterThan">
      <formula>0.8</formula>
    </cfRule>
  </conditionalFormatting>
  <conditionalFormatting sqref="L9:L16">
    <cfRule type="cellIs" dxfId="1417" priority="41" operator="lessThan">
      <formula>0.8</formula>
    </cfRule>
    <cfRule type="cellIs" dxfId="1416" priority="42" operator="greaterThanOrEqual">
      <formula>0.8</formula>
    </cfRule>
  </conditionalFormatting>
  <conditionalFormatting sqref="C58:D64">
    <cfRule type="cellIs" dxfId="1415" priority="38" operator="equal">
      <formula>1</formula>
    </cfRule>
    <cfRule type="cellIs" dxfId="1414" priority="39" operator="greaterThan">
      <formula>1</formula>
    </cfRule>
  </conditionalFormatting>
  <conditionalFormatting sqref="F45">
    <cfRule type="cellIs" dxfId="1413" priority="35" operator="lessThan">
      <formula>80</formula>
    </cfRule>
    <cfRule type="cellIs" dxfId="1412" priority="36" operator="greaterThan">
      <formula>80</formula>
    </cfRule>
  </conditionalFormatting>
  <conditionalFormatting sqref="D58:D64">
    <cfRule type="cellIs" dxfId="1411" priority="25" operator="equal">
      <formula>1</formula>
    </cfRule>
    <cfRule type="cellIs" dxfId="1410" priority="26" operator="greaterThan">
      <formula>1</formula>
    </cfRule>
  </conditionalFormatting>
  <conditionalFormatting sqref="F13">
    <cfRule type="cellIs" dxfId="1409" priority="21" operator="lessThan">
      <formula>80</formula>
    </cfRule>
    <cfRule type="cellIs" dxfId="1408" priority="22" operator="greaterThan">
      <formula>80</formula>
    </cfRule>
  </conditionalFormatting>
  <conditionalFormatting sqref="F18">
    <cfRule type="cellIs" dxfId="1407" priority="19" operator="lessThan">
      <formula>80</formula>
    </cfRule>
    <cfRule type="cellIs" dxfId="1406" priority="20" operator="greaterThan">
      <formula>80</formula>
    </cfRule>
  </conditionalFormatting>
  <conditionalFormatting sqref="F23">
    <cfRule type="cellIs" dxfId="1405" priority="17" operator="lessThan">
      <formula>80</formula>
    </cfRule>
    <cfRule type="cellIs" dxfId="1404" priority="18" operator="greaterThan">
      <formula>80</formula>
    </cfRule>
  </conditionalFormatting>
  <conditionalFormatting sqref="F28">
    <cfRule type="cellIs" dxfId="1403" priority="15" operator="lessThan">
      <formula>80</formula>
    </cfRule>
    <cfRule type="cellIs" dxfId="1402" priority="16" operator="greaterThan">
      <formula>80</formula>
    </cfRule>
  </conditionalFormatting>
  <conditionalFormatting sqref="F33">
    <cfRule type="cellIs" dxfId="1401" priority="13" operator="lessThan">
      <formula>80</formula>
    </cfRule>
    <cfRule type="cellIs" dxfId="1400" priority="14" operator="greaterThan">
      <formula>80</formula>
    </cfRule>
  </conditionalFormatting>
  <conditionalFormatting sqref="F38">
    <cfRule type="cellIs" dxfId="1399" priority="11" operator="lessThan">
      <formula>80</formula>
    </cfRule>
    <cfRule type="cellIs" dxfId="1398" priority="12" operator="greaterThan">
      <formula>80</formula>
    </cfRule>
  </conditionalFormatting>
  <conditionalFormatting sqref="L19">
    <cfRule type="cellIs" dxfId="1397" priority="5" operator="lessThan">
      <formula>0.8</formula>
    </cfRule>
    <cfRule type="cellIs" dxfId="1396" priority="6" operator="greaterThanOrEqual">
      <formula>0.8</formula>
    </cfRule>
  </conditionalFormatting>
  <conditionalFormatting sqref="F43">
    <cfRule type="cellIs" dxfId="1395" priority="3" operator="lessThan">
      <formula>80</formula>
    </cfRule>
    <cfRule type="cellIs" dxfId="1394" priority="4" operator="greaterThan">
      <formula>80</formula>
    </cfRule>
  </conditionalFormatting>
  <conditionalFormatting sqref="L17:L18">
    <cfRule type="cellIs" dxfId="1393" priority="1" operator="lessThan">
      <formula>0.8</formula>
    </cfRule>
    <cfRule type="cellIs" dxfId="1392" priority="2" operator="greaterThanOrEqual">
      <formula>0.8</formula>
    </cfRule>
  </conditionalFormatting>
  <printOptions horizontalCentered="1"/>
  <pageMargins left="0.39370078740157483" right="0.39370078740157483" top="0.39370078740157483" bottom="0.39370078740157483" header="0.31496062992125984" footer="0.31496062992125984"/>
  <pageSetup paperSize="9" scale="65" fitToHeight="2" orientation="landscape" r:id="rId1"/>
  <rowBreaks count="1" manualBreakCount="1">
    <brk id="48"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ListasDatos!$A$2:$A$15</xm:f>
          </x14:formula1>
          <xm:sqref>H3:J3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pageSetUpPr fitToPage="1"/>
  </sheetPr>
  <dimension ref="A1:K51"/>
  <sheetViews>
    <sheetView zoomScale="60" zoomScaleNormal="60" workbookViewId="0">
      <selection activeCell="F12" sqref="F12"/>
    </sheetView>
  </sheetViews>
  <sheetFormatPr baseColWidth="10" defaultColWidth="11.5703125" defaultRowHeight="14.25" x14ac:dyDescent="0.2"/>
  <cols>
    <col min="1" max="2" width="14.5703125" style="136" bestFit="1" customWidth="1"/>
    <col min="3" max="3" width="6" style="294" customWidth="1"/>
    <col min="4" max="4" width="9.5703125" style="136" customWidth="1"/>
    <col min="5" max="5" width="39.5703125" style="136" customWidth="1"/>
    <col min="6" max="6" width="57.5703125" style="136" customWidth="1"/>
    <col min="7" max="7" width="7.5703125" style="136" customWidth="1"/>
    <col min="8" max="8" width="53.5703125" style="136" customWidth="1"/>
    <col min="9" max="9" width="52.5703125" style="136" customWidth="1"/>
    <col min="10" max="10" width="43.42578125" style="136" customWidth="1"/>
    <col min="11" max="16384" width="11.5703125" style="136"/>
  </cols>
  <sheetData>
    <row r="1" spans="1:10" ht="10.5" customHeight="1" x14ac:dyDescent="0.2">
      <c r="A1" s="669"/>
      <c r="B1" s="669"/>
      <c r="C1" s="669"/>
      <c r="D1" s="669"/>
      <c r="E1" s="669"/>
      <c r="F1" s="669"/>
      <c r="G1" s="669"/>
      <c r="H1" s="669"/>
      <c r="I1" s="669"/>
      <c r="J1" s="670"/>
    </row>
    <row r="2" spans="1:10" ht="10.5" customHeight="1" x14ac:dyDescent="0.2">
      <c r="A2" s="671"/>
      <c r="B2" s="671"/>
      <c r="C2" s="671"/>
      <c r="D2" s="671"/>
      <c r="E2" s="671"/>
      <c r="F2" s="671"/>
      <c r="G2" s="671"/>
      <c r="H2" s="671"/>
      <c r="I2" s="671"/>
      <c r="J2" s="672"/>
    </row>
    <row r="3" spans="1:10" ht="10.5" customHeight="1" thickBot="1" x14ac:dyDescent="0.25">
      <c r="A3" s="673"/>
      <c r="B3" s="673"/>
      <c r="C3" s="673"/>
      <c r="D3" s="673"/>
      <c r="E3" s="673"/>
      <c r="F3" s="673"/>
      <c r="G3" s="673"/>
      <c r="H3" s="673"/>
      <c r="I3" s="673"/>
      <c r="J3" s="674"/>
    </row>
    <row r="4" spans="1:10" ht="15.75" customHeight="1" thickBot="1" x14ac:dyDescent="0.25">
      <c r="A4" s="293"/>
      <c r="B4" s="293"/>
      <c r="C4" s="686" t="s">
        <v>51</v>
      </c>
      <c r="D4" s="687"/>
      <c r="E4" s="284" t="s">
        <v>52</v>
      </c>
      <c r="F4" s="681"/>
      <c r="G4" s="681"/>
      <c r="H4" s="681"/>
      <c r="I4" s="681"/>
      <c r="J4" s="682"/>
    </row>
    <row r="5" spans="1:10" ht="15.75" customHeight="1" thickBot="1" x14ac:dyDescent="0.25">
      <c r="A5" s="675" t="s">
        <v>53</v>
      </c>
      <c r="B5" s="676"/>
      <c r="C5" s="688">
        <v>2026</v>
      </c>
      <c r="D5" s="689"/>
      <c r="E5" s="694" t="str">
        <f>'INFORME AUDIT INTERNA'!C3</f>
        <v>MARCILLA</v>
      </c>
      <c r="F5" s="285" t="s">
        <v>54</v>
      </c>
      <c r="G5" s="317">
        <v>2</v>
      </c>
      <c r="H5" s="697" t="s">
        <v>55</v>
      </c>
      <c r="I5" s="698"/>
      <c r="J5" s="699"/>
    </row>
    <row r="6" spans="1:10" ht="15.75" customHeight="1" thickBot="1" x14ac:dyDescent="0.25">
      <c r="A6" s="677"/>
      <c r="B6" s="678"/>
      <c r="C6" s="690"/>
      <c r="D6" s="691"/>
      <c r="E6" s="695"/>
      <c r="F6" s="287" t="s">
        <v>56</v>
      </c>
      <c r="G6" s="286">
        <v>1</v>
      </c>
      <c r="H6" s="700"/>
      <c r="I6" s="701"/>
      <c r="J6" s="702"/>
    </row>
    <row r="7" spans="1:10" ht="15.75" customHeight="1" thickBot="1" x14ac:dyDescent="0.25">
      <c r="A7" s="679"/>
      <c r="B7" s="680"/>
      <c r="C7" s="692"/>
      <c r="D7" s="693"/>
      <c r="E7" s="696"/>
      <c r="F7" s="289" t="s">
        <v>57</v>
      </c>
      <c r="G7" s="288">
        <v>0</v>
      </c>
      <c r="H7" s="703"/>
      <c r="I7" s="704"/>
      <c r="J7" s="705"/>
    </row>
    <row r="8" spans="1:10" s="290" customFormat="1" ht="39.75" customHeight="1" thickBot="1" x14ac:dyDescent="0.25">
      <c r="A8" s="295" t="s">
        <v>58</v>
      </c>
      <c r="B8" s="295" t="s">
        <v>59</v>
      </c>
      <c r="C8" s="296" t="s">
        <v>60</v>
      </c>
      <c r="D8" s="296" t="s">
        <v>61</v>
      </c>
      <c r="E8" s="295" t="s">
        <v>62</v>
      </c>
      <c r="F8" s="297" t="s">
        <v>63</v>
      </c>
      <c r="G8" s="297" t="s">
        <v>64</v>
      </c>
      <c r="H8" s="296" t="s">
        <v>65</v>
      </c>
      <c r="I8" s="295" t="s">
        <v>66</v>
      </c>
      <c r="J8" s="295" t="s">
        <v>67</v>
      </c>
    </row>
    <row r="9" spans="1:10" s="291" customFormat="1" ht="15" customHeight="1" thickBot="1" x14ac:dyDescent="0.3">
      <c r="A9" s="658" t="s">
        <v>68</v>
      </c>
      <c r="B9" s="659"/>
      <c r="C9" s="659"/>
      <c r="D9" s="659"/>
      <c r="E9" s="659"/>
      <c r="F9" s="659"/>
      <c r="G9" s="659"/>
      <c r="H9" s="659"/>
      <c r="I9" s="659"/>
      <c r="J9" s="660"/>
    </row>
    <row r="10" spans="1:10" s="291" customFormat="1" ht="45" x14ac:dyDescent="0.25">
      <c r="A10" s="664">
        <v>46053</v>
      </c>
      <c r="B10" s="664"/>
      <c r="C10" s="656">
        <f>IF(A10-B10&lt;0,0,1)</f>
        <v>1</v>
      </c>
      <c r="D10" s="656" t="s">
        <v>69</v>
      </c>
      <c r="E10" s="661" t="s">
        <v>70</v>
      </c>
      <c r="F10" s="304" t="s">
        <v>71</v>
      </c>
      <c r="G10" s="305">
        <v>2</v>
      </c>
      <c r="H10" s="306"/>
      <c r="I10" s="307"/>
      <c r="J10" s="302"/>
    </row>
    <row r="11" spans="1:10" s="291" customFormat="1" ht="38.25" customHeight="1" x14ac:dyDescent="0.25">
      <c r="A11" s="663"/>
      <c r="B11" s="663"/>
      <c r="C11" s="649"/>
      <c r="D11" s="649"/>
      <c r="E11" s="652"/>
      <c r="F11" s="308" t="s">
        <v>72</v>
      </c>
      <c r="G11" s="309">
        <v>2</v>
      </c>
      <c r="H11" s="310"/>
      <c r="I11" s="311"/>
      <c r="J11" s="303"/>
    </row>
    <row r="12" spans="1:10" s="291" customFormat="1" ht="46.5" customHeight="1" x14ac:dyDescent="0.25">
      <c r="A12" s="663"/>
      <c r="B12" s="663"/>
      <c r="C12" s="649"/>
      <c r="D12" s="649"/>
      <c r="E12" s="652"/>
      <c r="F12" s="308" t="s">
        <v>73</v>
      </c>
      <c r="G12" s="309">
        <v>2</v>
      </c>
      <c r="H12" s="310"/>
      <c r="I12" s="311"/>
      <c r="J12" s="303"/>
    </row>
    <row r="13" spans="1:10" s="291" customFormat="1" ht="45" x14ac:dyDescent="0.25">
      <c r="A13" s="666"/>
      <c r="B13" s="666"/>
      <c r="C13" s="657"/>
      <c r="D13" s="657"/>
      <c r="E13" s="662"/>
      <c r="F13" s="308" t="s">
        <v>74</v>
      </c>
      <c r="G13" s="309">
        <v>2</v>
      </c>
      <c r="H13" s="310"/>
      <c r="I13" s="307"/>
      <c r="J13" s="363"/>
    </row>
    <row r="14" spans="1:10" s="291" customFormat="1" ht="15.75" thickBot="1" x14ac:dyDescent="0.3">
      <c r="A14" s="658" t="s">
        <v>68</v>
      </c>
      <c r="B14" s="659"/>
      <c r="C14" s="659"/>
      <c r="D14" s="659"/>
      <c r="E14" s="659"/>
      <c r="F14" s="659"/>
      <c r="G14" s="659"/>
      <c r="H14" s="659"/>
      <c r="I14" s="659"/>
      <c r="J14" s="660"/>
    </row>
    <row r="15" spans="1:10" s="291" customFormat="1" ht="60" x14ac:dyDescent="0.25">
      <c r="A15" s="654">
        <v>46081</v>
      </c>
      <c r="B15" s="654"/>
      <c r="C15" s="648">
        <f>IF(A15-B15&lt;0,0,1)</f>
        <v>1</v>
      </c>
      <c r="D15" s="648" t="s">
        <v>75</v>
      </c>
      <c r="E15" s="651" t="s">
        <v>76</v>
      </c>
      <c r="F15" s="312" t="s">
        <v>77</v>
      </c>
      <c r="G15" s="313">
        <v>2</v>
      </c>
      <c r="H15" s="314"/>
      <c r="I15" s="315"/>
      <c r="J15" s="303"/>
    </row>
    <row r="16" spans="1:10" s="291" customFormat="1" ht="45" x14ac:dyDescent="0.25">
      <c r="A16" s="655"/>
      <c r="B16" s="655"/>
      <c r="C16" s="650"/>
      <c r="D16" s="650"/>
      <c r="E16" s="653"/>
      <c r="F16" s="312" t="s">
        <v>78</v>
      </c>
      <c r="G16" s="313">
        <v>2</v>
      </c>
      <c r="H16" s="314"/>
      <c r="I16" s="315"/>
      <c r="J16" s="303"/>
    </row>
    <row r="17" spans="1:11" ht="15.75" thickBot="1" x14ac:dyDescent="0.25">
      <c r="A17" s="683" t="s">
        <v>79</v>
      </c>
      <c r="B17" s="684"/>
      <c r="C17" s="684"/>
      <c r="D17" s="684"/>
      <c r="E17" s="684"/>
      <c r="F17" s="684"/>
      <c r="G17" s="684"/>
      <c r="H17" s="684"/>
      <c r="I17" s="684"/>
      <c r="J17" s="685"/>
    </row>
    <row r="18" spans="1:11" s="291" customFormat="1" ht="90" customHeight="1" x14ac:dyDescent="0.25">
      <c r="A18" s="664">
        <v>46112</v>
      </c>
      <c r="B18" s="664"/>
      <c r="C18" s="656">
        <f>IF(A18-B18&lt;0,0,1)</f>
        <v>1</v>
      </c>
      <c r="D18" s="656" t="s">
        <v>80</v>
      </c>
      <c r="E18" s="661" t="s">
        <v>81</v>
      </c>
      <c r="F18" s="304" t="s">
        <v>82</v>
      </c>
      <c r="G18" s="305">
        <v>2</v>
      </c>
      <c r="H18" s="316"/>
      <c r="I18" s="316"/>
      <c r="J18" s="656"/>
    </row>
    <row r="19" spans="1:11" s="291" customFormat="1" ht="69" customHeight="1" x14ac:dyDescent="0.25">
      <c r="A19" s="665"/>
      <c r="B19" s="665"/>
      <c r="C19" s="667"/>
      <c r="D19" s="667"/>
      <c r="E19" s="668"/>
      <c r="F19" s="298" t="s">
        <v>83</v>
      </c>
      <c r="G19" s="299">
        <v>2</v>
      </c>
      <c r="H19" s="300"/>
      <c r="I19" s="301"/>
      <c r="J19" s="667"/>
      <c r="K19" s="292"/>
    </row>
    <row r="20" spans="1:11" s="291" customFormat="1" ht="99" customHeight="1" thickBot="1" x14ac:dyDescent="0.3">
      <c r="A20" s="666"/>
      <c r="B20" s="666"/>
      <c r="C20" s="657"/>
      <c r="D20" s="657"/>
      <c r="E20" s="662"/>
      <c r="F20" s="308" t="s">
        <v>84</v>
      </c>
      <c r="G20" s="309">
        <v>2</v>
      </c>
      <c r="H20" s="310"/>
      <c r="I20" s="310"/>
      <c r="J20" s="657"/>
    </row>
    <row r="21" spans="1:11" s="291" customFormat="1" ht="15.75" thickBot="1" x14ac:dyDescent="0.3">
      <c r="A21" s="658" t="s">
        <v>68</v>
      </c>
      <c r="B21" s="659"/>
      <c r="C21" s="659"/>
      <c r="D21" s="659"/>
      <c r="E21" s="659"/>
      <c r="F21" s="659"/>
      <c r="G21" s="659"/>
      <c r="H21" s="659"/>
      <c r="I21" s="659"/>
      <c r="J21" s="660"/>
    </row>
    <row r="22" spans="1:11" s="291" customFormat="1" ht="90" x14ac:dyDescent="0.25">
      <c r="A22" s="654"/>
      <c r="B22" s="654"/>
      <c r="C22" s="648">
        <f>IF(A22-B22&lt;0,0,1)</f>
        <v>1</v>
      </c>
      <c r="D22" s="648" t="s">
        <v>85</v>
      </c>
      <c r="E22" s="651" t="s">
        <v>76</v>
      </c>
      <c r="F22" s="312" t="s">
        <v>86</v>
      </c>
      <c r="G22" s="313">
        <v>2</v>
      </c>
      <c r="H22" s="314"/>
      <c r="I22" s="395"/>
      <c r="J22" s="303"/>
    </row>
    <row r="23" spans="1:11" s="291" customFormat="1" ht="75" x14ac:dyDescent="0.25">
      <c r="A23" s="655"/>
      <c r="B23" s="655"/>
      <c r="C23" s="650"/>
      <c r="D23" s="650"/>
      <c r="E23" s="653"/>
      <c r="F23" s="312" t="s">
        <v>87</v>
      </c>
      <c r="G23" s="313">
        <v>2</v>
      </c>
      <c r="H23" s="314"/>
      <c r="I23" s="395"/>
      <c r="J23" s="303"/>
    </row>
    <row r="24" spans="1:11" s="291" customFormat="1" ht="15.75" thickBot="1" x14ac:dyDescent="0.3">
      <c r="A24" s="658" t="s">
        <v>68</v>
      </c>
      <c r="B24" s="659"/>
      <c r="C24" s="659"/>
      <c r="D24" s="659"/>
      <c r="E24" s="659"/>
      <c r="F24" s="659"/>
      <c r="G24" s="659"/>
      <c r="H24" s="659"/>
      <c r="I24" s="659"/>
      <c r="J24" s="660"/>
    </row>
    <row r="25" spans="1:11" s="291" customFormat="1" ht="86.25" customHeight="1" x14ac:dyDescent="0.25">
      <c r="A25" s="654"/>
      <c r="B25" s="654"/>
      <c r="C25" s="648">
        <f>IF(A25-B25&lt;0,0,1)</f>
        <v>1</v>
      </c>
      <c r="D25" s="648" t="s">
        <v>88</v>
      </c>
      <c r="E25" s="651" t="s">
        <v>76</v>
      </c>
      <c r="F25" s="312" t="s">
        <v>89</v>
      </c>
      <c r="G25" s="313">
        <v>2</v>
      </c>
      <c r="H25" s="314"/>
      <c r="I25" s="395"/>
      <c r="J25" s="303"/>
    </row>
    <row r="26" spans="1:11" s="291" customFormat="1" ht="132.75" x14ac:dyDescent="0.25">
      <c r="A26" s="655"/>
      <c r="B26" s="655"/>
      <c r="C26" s="650"/>
      <c r="D26" s="650"/>
      <c r="E26" s="653"/>
      <c r="F26" s="312" t="s">
        <v>90</v>
      </c>
      <c r="G26" s="313">
        <v>2</v>
      </c>
      <c r="H26" s="314"/>
      <c r="I26" s="395"/>
      <c r="J26" s="303"/>
    </row>
    <row r="27" spans="1:11" s="291" customFormat="1" ht="15.75" thickBot="1" x14ac:dyDescent="0.3">
      <c r="A27" s="658" t="s">
        <v>68</v>
      </c>
      <c r="B27" s="659"/>
      <c r="C27" s="659"/>
      <c r="D27" s="659"/>
      <c r="E27" s="659"/>
      <c r="F27" s="659"/>
      <c r="G27" s="659"/>
      <c r="H27" s="659"/>
      <c r="I27" s="659"/>
      <c r="J27" s="660"/>
    </row>
    <row r="28" spans="1:11" s="291" customFormat="1" ht="45" x14ac:dyDescent="0.25">
      <c r="A28" s="654"/>
      <c r="B28" s="654"/>
      <c r="C28" s="648">
        <f>IF(A28-B28&lt;0,0,1)</f>
        <v>1</v>
      </c>
      <c r="D28" s="648" t="s">
        <v>91</v>
      </c>
      <c r="E28" s="651" t="s">
        <v>92</v>
      </c>
      <c r="F28" s="312" t="s">
        <v>93</v>
      </c>
      <c r="G28" s="313">
        <v>2</v>
      </c>
      <c r="H28" s="314"/>
      <c r="I28" s="395"/>
      <c r="J28" s="303"/>
    </row>
    <row r="29" spans="1:11" s="291" customFormat="1" ht="45" x14ac:dyDescent="0.25">
      <c r="A29" s="663"/>
      <c r="B29" s="663"/>
      <c r="C29" s="649"/>
      <c r="D29" s="649"/>
      <c r="E29" s="652"/>
      <c r="F29" s="312" t="s">
        <v>94</v>
      </c>
      <c r="G29" s="313">
        <v>2</v>
      </c>
      <c r="H29" s="314"/>
      <c r="I29" s="395"/>
      <c r="J29" s="303"/>
    </row>
    <row r="30" spans="1:11" s="291" customFormat="1" ht="75" x14ac:dyDescent="0.25">
      <c r="A30" s="655"/>
      <c r="B30" s="655"/>
      <c r="C30" s="650"/>
      <c r="D30" s="650"/>
      <c r="E30" s="653"/>
      <c r="F30" s="312" t="s">
        <v>95</v>
      </c>
      <c r="G30" s="313">
        <v>2</v>
      </c>
      <c r="H30" s="314"/>
      <c r="I30" s="395"/>
      <c r="J30" s="303"/>
    </row>
    <row r="31" spans="1:11" s="291" customFormat="1" ht="15.75" thickBot="1" x14ac:dyDescent="0.3">
      <c r="A31" s="658" t="s">
        <v>68</v>
      </c>
      <c r="B31" s="659"/>
      <c r="C31" s="659"/>
      <c r="D31" s="659"/>
      <c r="E31" s="659"/>
      <c r="F31" s="659"/>
      <c r="G31" s="659"/>
      <c r="H31" s="659"/>
      <c r="I31" s="659"/>
      <c r="J31" s="660"/>
    </row>
    <row r="32" spans="1:11" s="291" customFormat="1" ht="30" x14ac:dyDescent="0.25">
      <c r="A32" s="654"/>
      <c r="B32" s="654"/>
      <c r="C32" s="648">
        <f>IF(A32-B32&lt;0,0,1)</f>
        <v>1</v>
      </c>
      <c r="D32" s="648" t="s">
        <v>96</v>
      </c>
      <c r="E32" s="651" t="s">
        <v>97</v>
      </c>
      <c r="F32" s="312" t="s">
        <v>98</v>
      </c>
      <c r="G32" s="313">
        <v>2</v>
      </c>
      <c r="H32" s="314"/>
      <c r="I32" s="395"/>
      <c r="J32" s="303"/>
    </row>
    <row r="33" spans="1:11" s="291" customFormat="1" ht="15.75" thickBot="1" x14ac:dyDescent="0.25">
      <c r="A33" s="655"/>
      <c r="B33" s="655"/>
      <c r="C33" s="650"/>
      <c r="D33" s="650"/>
      <c r="E33" s="653"/>
      <c r="F33" s="312" t="s">
        <v>99</v>
      </c>
      <c r="G33" s="313">
        <v>2</v>
      </c>
      <c r="H33" s="314"/>
      <c r="I33" s="399"/>
      <c r="J33" s="303"/>
    </row>
    <row r="34" spans="1:11" s="291" customFormat="1" ht="15.75" thickBot="1" x14ac:dyDescent="0.3">
      <c r="A34" s="658" t="s">
        <v>68</v>
      </c>
      <c r="B34" s="659"/>
      <c r="C34" s="659"/>
      <c r="D34" s="659"/>
      <c r="E34" s="659"/>
      <c r="F34" s="659"/>
      <c r="G34" s="659"/>
      <c r="H34" s="659"/>
      <c r="I34" s="659"/>
      <c r="J34" s="660"/>
    </row>
    <row r="35" spans="1:11" s="291" customFormat="1" ht="75" x14ac:dyDescent="0.25">
      <c r="A35" s="664"/>
      <c r="B35" s="664"/>
      <c r="C35" s="656">
        <f>IF(A35-B35&lt;0,0,1)</f>
        <v>1</v>
      </c>
      <c r="D35" s="656" t="s">
        <v>100</v>
      </c>
      <c r="E35" s="661" t="s">
        <v>101</v>
      </c>
      <c r="F35" s="304" t="s">
        <v>102</v>
      </c>
      <c r="G35" s="305">
        <v>2</v>
      </c>
      <c r="H35" s="306"/>
      <c r="I35" s="397"/>
      <c r="J35" s="656"/>
    </row>
    <row r="36" spans="1:11" s="291" customFormat="1" ht="75" x14ac:dyDescent="0.25">
      <c r="A36" s="663"/>
      <c r="B36" s="663"/>
      <c r="C36" s="649"/>
      <c r="D36" s="649"/>
      <c r="E36" s="652"/>
      <c r="F36" s="308" t="s">
        <v>103</v>
      </c>
      <c r="G36" s="309">
        <v>2</v>
      </c>
      <c r="H36" s="310"/>
      <c r="I36" s="396"/>
      <c r="J36" s="649"/>
    </row>
    <row r="37" spans="1:11" s="291" customFormat="1" ht="60" x14ac:dyDescent="0.25">
      <c r="A37" s="666"/>
      <c r="B37" s="666"/>
      <c r="C37" s="657"/>
      <c r="D37" s="657"/>
      <c r="E37" s="662"/>
      <c r="F37" s="308" t="s">
        <v>104</v>
      </c>
      <c r="G37" s="309">
        <v>2</v>
      </c>
      <c r="H37" s="310"/>
      <c r="I37" s="398"/>
      <c r="J37" s="657"/>
    </row>
    <row r="38" spans="1:11" s="291" customFormat="1" ht="15.75" thickBot="1" x14ac:dyDescent="0.3">
      <c r="A38" s="658" t="s">
        <v>68</v>
      </c>
      <c r="B38" s="659"/>
      <c r="C38" s="659"/>
      <c r="D38" s="659"/>
      <c r="E38" s="659"/>
      <c r="F38" s="659"/>
      <c r="G38" s="659"/>
      <c r="H38" s="659"/>
      <c r="I38" s="659"/>
      <c r="J38" s="660"/>
    </row>
    <row r="39" spans="1:11" s="291" customFormat="1" ht="75" x14ac:dyDescent="0.25">
      <c r="A39" s="664"/>
      <c r="B39" s="664"/>
      <c r="C39" s="656">
        <f>IF(A39-B39&lt;0,0,1)</f>
        <v>1</v>
      </c>
      <c r="D39" s="656" t="s">
        <v>105</v>
      </c>
      <c r="E39" s="661" t="s">
        <v>106</v>
      </c>
      <c r="F39" s="304" t="s">
        <v>107</v>
      </c>
      <c r="G39" s="305">
        <v>2</v>
      </c>
      <c r="H39" s="316"/>
      <c r="I39" s="316"/>
      <c r="J39" s="656"/>
    </row>
    <row r="40" spans="1:11" s="291" customFormat="1" ht="135" x14ac:dyDescent="0.25">
      <c r="A40" s="665"/>
      <c r="B40" s="665"/>
      <c r="C40" s="667"/>
      <c r="D40" s="667"/>
      <c r="E40" s="668"/>
      <c r="F40" s="298" t="s">
        <v>108</v>
      </c>
      <c r="G40" s="299">
        <v>2</v>
      </c>
      <c r="H40" s="300"/>
      <c r="I40" s="301"/>
      <c r="J40" s="667"/>
      <c r="K40" s="292"/>
    </row>
    <row r="41" spans="1:11" s="291" customFormat="1" ht="99" customHeight="1" thickBot="1" x14ac:dyDescent="0.3">
      <c r="A41" s="666"/>
      <c r="B41" s="666"/>
      <c r="C41" s="657"/>
      <c r="D41" s="657"/>
      <c r="E41" s="662"/>
      <c r="F41" s="308" t="s">
        <v>109</v>
      </c>
      <c r="G41" s="309">
        <v>2</v>
      </c>
      <c r="H41" s="310"/>
      <c r="I41" s="310"/>
      <c r="J41" s="657"/>
    </row>
    <row r="42" spans="1:11" s="291" customFormat="1" ht="15.75" thickBot="1" x14ac:dyDescent="0.3">
      <c r="A42" s="658" t="s">
        <v>68</v>
      </c>
      <c r="B42" s="659"/>
      <c r="C42" s="659"/>
      <c r="D42" s="659"/>
      <c r="E42" s="659"/>
      <c r="F42" s="659"/>
      <c r="G42" s="659"/>
      <c r="H42" s="659"/>
      <c r="I42" s="659"/>
      <c r="J42" s="660"/>
    </row>
    <row r="43" spans="1:11" s="291" customFormat="1" ht="150" x14ac:dyDescent="0.25">
      <c r="A43" s="664"/>
      <c r="B43" s="664"/>
      <c r="C43" s="656">
        <f>IF(A43-B43&lt;0,0,1)</f>
        <v>1</v>
      </c>
      <c r="D43" s="656" t="s">
        <v>110</v>
      </c>
      <c r="E43" s="661" t="s">
        <v>111</v>
      </c>
      <c r="F43" s="304" t="s">
        <v>112</v>
      </c>
      <c r="G43" s="305">
        <v>2</v>
      </c>
      <c r="H43" s="306"/>
      <c r="I43" s="400"/>
      <c r="J43" s="656"/>
    </row>
    <row r="44" spans="1:11" s="291" customFormat="1" ht="201" customHeight="1" thickBot="1" x14ac:dyDescent="0.3">
      <c r="A44" s="666"/>
      <c r="B44" s="666"/>
      <c r="C44" s="657"/>
      <c r="D44" s="657"/>
      <c r="E44" s="662"/>
      <c r="F44" s="308" t="s">
        <v>113</v>
      </c>
      <c r="G44" s="309">
        <v>2</v>
      </c>
      <c r="H44" s="310"/>
      <c r="I44" s="401"/>
      <c r="J44" s="657"/>
    </row>
    <row r="45" spans="1:11" s="291" customFormat="1" ht="15" customHeight="1" thickBot="1" x14ac:dyDescent="0.3">
      <c r="A45" s="658" t="s">
        <v>114</v>
      </c>
      <c r="B45" s="659"/>
      <c r="C45" s="659"/>
      <c r="D45" s="659"/>
      <c r="E45" s="659"/>
      <c r="F45" s="659"/>
      <c r="G45" s="659"/>
      <c r="H45" s="659"/>
      <c r="I45" s="659"/>
      <c r="J45" s="660"/>
    </row>
    <row r="46" spans="1:11" s="291" customFormat="1" ht="195" x14ac:dyDescent="0.25">
      <c r="A46" s="664"/>
      <c r="B46" s="664"/>
      <c r="C46" s="656">
        <f>IF(A46-B46&lt;0,0,1)</f>
        <v>1</v>
      </c>
      <c r="D46" s="656" t="s">
        <v>115</v>
      </c>
      <c r="E46" s="661" t="s">
        <v>116</v>
      </c>
      <c r="F46" s="304" t="s">
        <v>117</v>
      </c>
      <c r="G46" s="305">
        <v>2</v>
      </c>
      <c r="H46" s="306"/>
      <c r="I46" s="400"/>
      <c r="J46" s="656"/>
    </row>
    <row r="47" spans="1:11" s="291" customFormat="1" ht="201" customHeight="1" x14ac:dyDescent="0.25">
      <c r="A47" s="665"/>
      <c r="B47" s="665"/>
      <c r="C47" s="667"/>
      <c r="D47" s="667"/>
      <c r="E47" s="668"/>
      <c r="F47" s="298" t="s">
        <v>118</v>
      </c>
      <c r="G47" s="299">
        <v>2</v>
      </c>
      <c r="H47" s="300"/>
      <c r="I47" s="402"/>
      <c r="J47" s="667"/>
    </row>
    <row r="48" spans="1:11" s="291" customFormat="1" ht="201" customHeight="1" thickBot="1" x14ac:dyDescent="0.3">
      <c r="A48" s="666"/>
      <c r="B48" s="666"/>
      <c r="C48" s="657"/>
      <c r="D48" s="657"/>
      <c r="E48" s="662"/>
      <c r="F48" s="308" t="s">
        <v>119</v>
      </c>
      <c r="G48" s="309">
        <v>2</v>
      </c>
      <c r="H48" s="310"/>
      <c r="I48" s="401"/>
      <c r="J48" s="657"/>
    </row>
    <row r="49" spans="1:10" s="291" customFormat="1" ht="15" customHeight="1" thickBot="1" x14ac:dyDescent="0.3">
      <c r="A49" s="658" t="s">
        <v>114</v>
      </c>
      <c r="B49" s="659"/>
      <c r="C49" s="659"/>
      <c r="D49" s="659"/>
      <c r="E49" s="659"/>
      <c r="F49" s="659"/>
      <c r="G49" s="659"/>
      <c r="H49" s="659"/>
      <c r="I49" s="659"/>
      <c r="J49" s="660"/>
    </row>
    <row r="50" spans="1:10" s="291" customFormat="1" ht="137.25" customHeight="1" x14ac:dyDescent="0.25">
      <c r="A50" s="654"/>
      <c r="B50" s="654"/>
      <c r="C50" s="648">
        <f>IF(A50-B50&lt;0,0,1)</f>
        <v>1</v>
      </c>
      <c r="D50" s="648" t="s">
        <v>120</v>
      </c>
      <c r="E50" s="651" t="s">
        <v>121</v>
      </c>
      <c r="F50" s="304" t="s">
        <v>122</v>
      </c>
      <c r="G50" s="305">
        <v>2</v>
      </c>
      <c r="H50" s="306"/>
      <c r="I50" s="307"/>
      <c r="J50" s="302"/>
    </row>
    <row r="51" spans="1:10" s="291" customFormat="1" ht="137.25" customHeight="1" x14ac:dyDescent="0.25">
      <c r="A51" s="664"/>
      <c r="B51" s="664"/>
      <c r="C51" s="656"/>
      <c r="D51" s="656"/>
      <c r="E51" s="661"/>
      <c r="F51" s="304" t="s">
        <v>123</v>
      </c>
      <c r="G51" s="305">
        <v>2</v>
      </c>
      <c r="H51" s="306"/>
      <c r="I51" s="307"/>
      <c r="J51" s="302"/>
    </row>
  </sheetData>
  <mergeCells count="84">
    <mergeCell ref="D15:D16"/>
    <mergeCell ref="C15:C16"/>
    <mergeCell ref="B15:B16"/>
    <mergeCell ref="A15:A16"/>
    <mergeCell ref="E15:E16"/>
    <mergeCell ref="C4:D4"/>
    <mergeCell ref="C5:D7"/>
    <mergeCell ref="E5:E7"/>
    <mergeCell ref="H5:J7"/>
    <mergeCell ref="A9:J9"/>
    <mergeCell ref="A1:J3"/>
    <mergeCell ref="A5:B7"/>
    <mergeCell ref="D18:D20"/>
    <mergeCell ref="D10:D13"/>
    <mergeCell ref="E10:E13"/>
    <mergeCell ref="J18:J20"/>
    <mergeCell ref="A10:A13"/>
    <mergeCell ref="B10:B13"/>
    <mergeCell ref="C10:C13"/>
    <mergeCell ref="A18:A20"/>
    <mergeCell ref="B18:B20"/>
    <mergeCell ref="C18:C20"/>
    <mergeCell ref="E18:E20"/>
    <mergeCell ref="F4:J4"/>
    <mergeCell ref="A14:J14"/>
    <mergeCell ref="A17:J17"/>
    <mergeCell ref="A45:J45"/>
    <mergeCell ref="A35:A37"/>
    <mergeCell ref="B35:B37"/>
    <mergeCell ref="C35:C37"/>
    <mergeCell ref="A39:A41"/>
    <mergeCell ref="B39:B41"/>
    <mergeCell ref="C39:C41"/>
    <mergeCell ref="A38:J38"/>
    <mergeCell ref="J35:J37"/>
    <mergeCell ref="J39:J41"/>
    <mergeCell ref="J43:J44"/>
    <mergeCell ref="A42:J42"/>
    <mergeCell ref="A43:A44"/>
    <mergeCell ref="D39:D41"/>
    <mergeCell ref="E39:E41"/>
    <mergeCell ref="B43:B44"/>
    <mergeCell ref="A49:J49"/>
    <mergeCell ref="A46:A48"/>
    <mergeCell ref="B46:B48"/>
    <mergeCell ref="C46:C48"/>
    <mergeCell ref="J46:J48"/>
    <mergeCell ref="D46:D48"/>
    <mergeCell ref="E46:E48"/>
    <mergeCell ref="A21:J21"/>
    <mergeCell ref="A24:J24"/>
    <mergeCell ref="A22:A23"/>
    <mergeCell ref="B22:B23"/>
    <mergeCell ref="D22:D23"/>
    <mergeCell ref="C22:C23"/>
    <mergeCell ref="E22:E23"/>
    <mergeCell ref="E25:E26"/>
    <mergeCell ref="A50:A51"/>
    <mergeCell ref="B50:B51"/>
    <mergeCell ref="C50:C51"/>
    <mergeCell ref="D50:D51"/>
    <mergeCell ref="E50:E51"/>
    <mergeCell ref="A32:A33"/>
    <mergeCell ref="A25:A26"/>
    <mergeCell ref="B25:B26"/>
    <mergeCell ref="C25:C26"/>
    <mergeCell ref="D25:D26"/>
    <mergeCell ref="B28:B30"/>
    <mergeCell ref="C28:C30"/>
    <mergeCell ref="E43:E44"/>
    <mergeCell ref="A27:J27"/>
    <mergeCell ref="A31:J31"/>
    <mergeCell ref="D28:D30"/>
    <mergeCell ref="E28:E30"/>
    <mergeCell ref="E32:E33"/>
    <mergeCell ref="B32:B33"/>
    <mergeCell ref="C43:C44"/>
    <mergeCell ref="D43:D44"/>
    <mergeCell ref="A34:J34"/>
    <mergeCell ref="D35:D37"/>
    <mergeCell ref="E35:E37"/>
    <mergeCell ref="A28:A30"/>
    <mergeCell ref="D32:D33"/>
    <mergeCell ref="C32:C33"/>
  </mergeCells>
  <conditionalFormatting sqref="D18">
    <cfRule type="expression" dxfId="1391" priority="314">
      <formula>C18=1</formula>
    </cfRule>
    <cfRule type="expression" dxfId="1390" priority="315">
      <formula>C18=0</formula>
    </cfRule>
  </conditionalFormatting>
  <conditionalFormatting sqref="D10">
    <cfRule type="expression" dxfId="1389" priority="364">
      <formula>C10=1</formula>
    </cfRule>
    <cfRule type="expression" dxfId="1388" priority="365">
      <formula>C10=0</formula>
    </cfRule>
  </conditionalFormatting>
  <conditionalFormatting sqref="D35">
    <cfRule type="expression" dxfId="1387" priority="302">
      <formula>C35=1</formula>
    </cfRule>
    <cfRule type="expression" dxfId="1386" priority="303">
      <formula>C35=0</formula>
    </cfRule>
  </conditionalFormatting>
  <conditionalFormatting sqref="D39">
    <cfRule type="expression" dxfId="1385" priority="290">
      <formula>C39=1</formula>
    </cfRule>
    <cfRule type="expression" dxfId="1384" priority="291">
      <formula>C39=0</formula>
    </cfRule>
  </conditionalFormatting>
  <conditionalFormatting sqref="D43">
    <cfRule type="expression" dxfId="1383" priority="278">
      <formula>C43=1</formula>
    </cfRule>
    <cfRule type="expression" dxfId="1382" priority="279">
      <formula>C43=0</formula>
    </cfRule>
  </conditionalFormatting>
  <conditionalFormatting sqref="D46">
    <cfRule type="expression" dxfId="1381" priority="266">
      <formula>C46=1</formula>
    </cfRule>
    <cfRule type="expression" dxfId="1380" priority="267">
      <formula>C46=0</formula>
    </cfRule>
  </conditionalFormatting>
  <conditionalFormatting sqref="D50">
    <cfRule type="expression" dxfId="1379" priority="245">
      <formula>C50=1</formula>
    </cfRule>
    <cfRule type="expression" dxfId="1378" priority="246">
      <formula>C50=0</formula>
    </cfRule>
  </conditionalFormatting>
  <conditionalFormatting sqref="G18:G20">
    <cfRule type="cellIs" dxfId="1377" priority="244" operator="lessThan">
      <formula>2</formula>
    </cfRule>
  </conditionalFormatting>
  <conditionalFormatting sqref="G20">
    <cfRule type="cellIs" dxfId="1376" priority="241" operator="lessThan">
      <formula>2</formula>
    </cfRule>
    <cfRule type="cellIs" dxfId="1375" priority="242" operator="lessThan">
      <formula>2</formula>
    </cfRule>
    <cfRule type="cellIs" dxfId="1374" priority="243" operator="lessThan">
      <formula>2</formula>
    </cfRule>
  </conditionalFormatting>
  <conditionalFormatting sqref="G18:G20">
    <cfRule type="cellIs" dxfId="1373" priority="235" operator="equal">
      <formula>0</formula>
    </cfRule>
    <cfRule type="cellIs" dxfId="1372" priority="236" operator="between">
      <formula>2</formula>
      <formula>3</formula>
    </cfRule>
    <cfRule type="cellIs" dxfId="1371" priority="237" operator="between">
      <formula>2</formula>
      <formula>3</formula>
    </cfRule>
    <cfRule type="cellIs" dxfId="1370" priority="238" operator="equal">
      <formula>0</formula>
    </cfRule>
    <cfRule type="cellIs" dxfId="1369" priority="239" operator="equal">
      <formula>1</formula>
    </cfRule>
    <cfRule type="cellIs" dxfId="1368" priority="240" operator="equal">
      <formula>0</formula>
    </cfRule>
  </conditionalFormatting>
  <conditionalFormatting sqref="G10">
    <cfRule type="cellIs" dxfId="1367" priority="234" operator="lessThan">
      <formula>2</formula>
    </cfRule>
  </conditionalFormatting>
  <conditionalFormatting sqref="G13">
    <cfRule type="cellIs" dxfId="1366" priority="232" operator="lessThan">
      <formula>2</formula>
    </cfRule>
    <cfRule type="cellIs" dxfId="1365" priority="233" operator="lessThan">
      <formula>2</formula>
    </cfRule>
  </conditionalFormatting>
  <conditionalFormatting sqref="G13">
    <cfRule type="cellIs" dxfId="1364" priority="231" operator="equal">
      <formula>0</formula>
    </cfRule>
  </conditionalFormatting>
  <conditionalFormatting sqref="G10 G13">
    <cfRule type="cellIs" dxfId="1363" priority="225" operator="between">
      <formula>2</formula>
      <formula>3</formula>
    </cfRule>
    <cfRule type="cellIs" dxfId="1362" priority="226" operator="between">
      <formula>2</formula>
      <formula>3</formula>
    </cfRule>
    <cfRule type="cellIs" dxfId="1361" priority="227" operator="equal">
      <formula>1</formula>
    </cfRule>
    <cfRule type="cellIs" dxfId="1360" priority="228" operator="equal">
      <formula>1</formula>
    </cfRule>
    <cfRule type="cellIs" dxfId="1359" priority="229" operator="equal">
      <formula>0</formula>
    </cfRule>
    <cfRule type="cellIs" dxfId="1358" priority="230" operator="equal">
      <formula>0</formula>
    </cfRule>
  </conditionalFormatting>
  <conditionalFormatting sqref="G16">
    <cfRule type="cellIs" dxfId="1357" priority="224" operator="lessThan">
      <formula>2</formula>
    </cfRule>
  </conditionalFormatting>
  <conditionalFormatting sqref="G16">
    <cfRule type="cellIs" dxfId="1356" priority="218" operator="between">
      <formula>2</formula>
      <formula>3</formula>
    </cfRule>
    <cfRule type="cellIs" dxfId="1355" priority="219" operator="between">
      <formula>2</formula>
      <formula>3</formula>
    </cfRule>
    <cfRule type="cellIs" dxfId="1354" priority="220" operator="equal">
      <formula>1</formula>
    </cfRule>
    <cfRule type="cellIs" dxfId="1353" priority="221" operator="equal">
      <formula>1</formula>
    </cfRule>
    <cfRule type="cellIs" dxfId="1352" priority="222" operator="equal">
      <formula>0</formula>
    </cfRule>
    <cfRule type="cellIs" dxfId="1351" priority="223" operator="equal">
      <formula>0</formula>
    </cfRule>
  </conditionalFormatting>
  <conditionalFormatting sqref="G23">
    <cfRule type="cellIs" dxfId="1350" priority="217" operator="lessThan">
      <formula>2</formula>
    </cfRule>
  </conditionalFormatting>
  <conditionalFormatting sqref="G23">
    <cfRule type="cellIs" dxfId="1349" priority="211" operator="between">
      <formula>2</formula>
      <formula>3</formula>
    </cfRule>
    <cfRule type="cellIs" dxfId="1348" priority="212" operator="between">
      <formula>2</formula>
      <formula>3</formula>
    </cfRule>
    <cfRule type="cellIs" dxfId="1347" priority="213" operator="equal">
      <formula>1</formula>
    </cfRule>
    <cfRule type="cellIs" dxfId="1346" priority="214" operator="equal">
      <formula>1</formula>
    </cfRule>
    <cfRule type="cellIs" dxfId="1345" priority="215" operator="equal">
      <formula>0</formula>
    </cfRule>
    <cfRule type="cellIs" dxfId="1344" priority="216" operator="equal">
      <formula>0</formula>
    </cfRule>
  </conditionalFormatting>
  <conditionalFormatting sqref="G26">
    <cfRule type="cellIs" dxfId="1343" priority="210" operator="lessThan">
      <formula>2</formula>
    </cfRule>
  </conditionalFormatting>
  <conditionalFormatting sqref="G26">
    <cfRule type="cellIs" dxfId="1342" priority="204" operator="between">
      <formula>2</formula>
      <formula>3</formula>
    </cfRule>
    <cfRule type="cellIs" dxfId="1341" priority="205" operator="between">
      <formula>2</formula>
      <formula>3</formula>
    </cfRule>
    <cfRule type="cellIs" dxfId="1340" priority="206" operator="equal">
      <formula>1</formula>
    </cfRule>
    <cfRule type="cellIs" dxfId="1339" priority="207" operator="equal">
      <formula>1</formula>
    </cfRule>
    <cfRule type="cellIs" dxfId="1338" priority="208" operator="equal">
      <formula>0</formula>
    </cfRule>
    <cfRule type="cellIs" dxfId="1337" priority="209" operator="equal">
      <formula>0</formula>
    </cfRule>
  </conditionalFormatting>
  <conditionalFormatting sqref="G30">
    <cfRule type="cellIs" dxfId="1336" priority="203" operator="lessThan">
      <formula>2</formula>
    </cfRule>
  </conditionalFormatting>
  <conditionalFormatting sqref="G30">
    <cfRule type="cellIs" dxfId="1335" priority="197" operator="between">
      <formula>2</formula>
      <formula>3</formula>
    </cfRule>
    <cfRule type="cellIs" dxfId="1334" priority="198" operator="between">
      <formula>2</formula>
      <formula>3</formula>
    </cfRule>
    <cfRule type="cellIs" dxfId="1333" priority="199" operator="equal">
      <formula>1</formula>
    </cfRule>
    <cfRule type="cellIs" dxfId="1332" priority="200" operator="equal">
      <formula>1</formula>
    </cfRule>
    <cfRule type="cellIs" dxfId="1331" priority="201" operator="equal">
      <formula>0</formula>
    </cfRule>
    <cfRule type="cellIs" dxfId="1330" priority="202" operator="equal">
      <formula>0</formula>
    </cfRule>
  </conditionalFormatting>
  <conditionalFormatting sqref="G33">
    <cfRule type="cellIs" dxfId="1329" priority="196" operator="lessThan">
      <formula>2</formula>
    </cfRule>
  </conditionalFormatting>
  <conditionalFormatting sqref="G33">
    <cfRule type="cellIs" dxfId="1328" priority="190" operator="between">
      <formula>2</formula>
      <formula>3</formula>
    </cfRule>
    <cfRule type="cellIs" dxfId="1327" priority="191" operator="between">
      <formula>2</formula>
      <formula>3</formula>
    </cfRule>
    <cfRule type="cellIs" dxfId="1326" priority="192" operator="equal">
      <formula>1</formula>
    </cfRule>
    <cfRule type="cellIs" dxfId="1325" priority="193" operator="equal">
      <formula>1</formula>
    </cfRule>
    <cfRule type="cellIs" dxfId="1324" priority="194" operator="equal">
      <formula>0</formula>
    </cfRule>
    <cfRule type="cellIs" dxfId="1323" priority="195" operator="equal">
      <formula>0</formula>
    </cfRule>
  </conditionalFormatting>
  <conditionalFormatting sqref="G35">
    <cfRule type="cellIs" dxfId="1322" priority="189" operator="lessThan">
      <formula>2</formula>
    </cfRule>
  </conditionalFormatting>
  <conditionalFormatting sqref="G37">
    <cfRule type="cellIs" dxfId="1321" priority="187" operator="lessThan">
      <formula>2</formula>
    </cfRule>
    <cfRule type="cellIs" dxfId="1320" priority="188" operator="lessThan">
      <formula>2</formula>
    </cfRule>
  </conditionalFormatting>
  <conditionalFormatting sqref="G37">
    <cfRule type="cellIs" dxfId="1319" priority="186" operator="equal">
      <formula>0</formula>
    </cfRule>
  </conditionalFormatting>
  <conditionalFormatting sqref="G35 G37">
    <cfRule type="cellIs" dxfId="1318" priority="180" operator="between">
      <formula>2</formula>
      <formula>3</formula>
    </cfRule>
    <cfRule type="cellIs" dxfId="1317" priority="181" operator="between">
      <formula>2</formula>
      <formula>3</formula>
    </cfRule>
    <cfRule type="cellIs" dxfId="1316" priority="182" operator="equal">
      <formula>1</formula>
    </cfRule>
    <cfRule type="cellIs" dxfId="1315" priority="183" operator="equal">
      <formula>1</formula>
    </cfRule>
    <cfRule type="cellIs" dxfId="1314" priority="184" operator="equal">
      <formula>0</formula>
    </cfRule>
    <cfRule type="cellIs" dxfId="1313" priority="185" operator="equal">
      <formula>0</formula>
    </cfRule>
  </conditionalFormatting>
  <conditionalFormatting sqref="G39:G41">
    <cfRule type="cellIs" dxfId="1312" priority="179" operator="lessThan">
      <formula>2</formula>
    </cfRule>
  </conditionalFormatting>
  <conditionalFormatting sqref="G41">
    <cfRule type="cellIs" dxfId="1311" priority="176" operator="lessThan">
      <formula>2</formula>
    </cfRule>
    <cfRule type="cellIs" dxfId="1310" priority="177" operator="lessThan">
      <formula>2</formula>
    </cfRule>
    <cfRule type="cellIs" dxfId="1309" priority="178" operator="lessThan">
      <formula>2</formula>
    </cfRule>
  </conditionalFormatting>
  <conditionalFormatting sqref="G39:G41">
    <cfRule type="cellIs" dxfId="1308" priority="170" operator="equal">
      <formula>0</formula>
    </cfRule>
    <cfRule type="cellIs" dxfId="1307" priority="171" operator="between">
      <formula>2</formula>
      <formula>3</formula>
    </cfRule>
    <cfRule type="cellIs" dxfId="1306" priority="172" operator="between">
      <formula>2</formula>
      <formula>3</formula>
    </cfRule>
    <cfRule type="cellIs" dxfId="1305" priority="173" operator="equal">
      <formula>0</formula>
    </cfRule>
    <cfRule type="cellIs" dxfId="1304" priority="174" operator="equal">
      <formula>1</formula>
    </cfRule>
    <cfRule type="cellIs" dxfId="1303" priority="175" operator="equal">
      <formula>0</formula>
    </cfRule>
  </conditionalFormatting>
  <conditionalFormatting sqref="G43">
    <cfRule type="cellIs" dxfId="1302" priority="169" operator="lessThan">
      <formula>2</formula>
    </cfRule>
  </conditionalFormatting>
  <conditionalFormatting sqref="G44">
    <cfRule type="cellIs" dxfId="1301" priority="167" operator="lessThan">
      <formula>2</formula>
    </cfRule>
    <cfRule type="cellIs" dxfId="1300" priority="168" operator="lessThan">
      <formula>2</formula>
    </cfRule>
  </conditionalFormatting>
  <conditionalFormatting sqref="G44">
    <cfRule type="cellIs" dxfId="1299" priority="166" operator="equal">
      <formula>0</formula>
    </cfRule>
  </conditionalFormatting>
  <conditionalFormatting sqref="G43:G44">
    <cfRule type="cellIs" dxfId="1298" priority="160" operator="between">
      <formula>2</formula>
      <formula>3</formula>
    </cfRule>
    <cfRule type="cellIs" dxfId="1297" priority="161" operator="between">
      <formula>2</formula>
      <formula>3</formula>
    </cfRule>
    <cfRule type="cellIs" dxfId="1296" priority="162" operator="equal">
      <formula>1</formula>
    </cfRule>
    <cfRule type="cellIs" dxfId="1295" priority="163" operator="equal">
      <formula>1</formula>
    </cfRule>
    <cfRule type="cellIs" dxfId="1294" priority="164" operator="equal">
      <formula>0</formula>
    </cfRule>
    <cfRule type="cellIs" dxfId="1293" priority="165" operator="equal">
      <formula>0</formula>
    </cfRule>
  </conditionalFormatting>
  <conditionalFormatting sqref="G46">
    <cfRule type="cellIs" dxfId="1292" priority="159" operator="lessThan">
      <formula>2</formula>
    </cfRule>
  </conditionalFormatting>
  <conditionalFormatting sqref="G48">
    <cfRule type="cellIs" dxfId="1291" priority="157" operator="lessThan">
      <formula>2</formula>
    </cfRule>
    <cfRule type="cellIs" dxfId="1290" priority="158" operator="lessThan">
      <formula>2</formula>
    </cfRule>
  </conditionalFormatting>
  <conditionalFormatting sqref="G48">
    <cfRule type="cellIs" dxfId="1289" priority="156" operator="equal">
      <formula>0</formula>
    </cfRule>
  </conditionalFormatting>
  <conditionalFormatting sqref="G46 G48">
    <cfRule type="cellIs" dxfId="1288" priority="150" operator="between">
      <formula>2</formula>
      <formula>3</formula>
    </cfRule>
    <cfRule type="cellIs" dxfId="1287" priority="151" operator="between">
      <formula>2</formula>
      <formula>3</formula>
    </cfRule>
    <cfRule type="cellIs" dxfId="1286" priority="152" operator="equal">
      <formula>1</formula>
    </cfRule>
    <cfRule type="cellIs" dxfId="1285" priority="153" operator="equal">
      <formula>1</formula>
    </cfRule>
    <cfRule type="cellIs" dxfId="1284" priority="154" operator="equal">
      <formula>0</formula>
    </cfRule>
    <cfRule type="cellIs" dxfId="1283" priority="155" operator="equal">
      <formula>0</formula>
    </cfRule>
  </conditionalFormatting>
  <conditionalFormatting sqref="G47">
    <cfRule type="cellIs" dxfId="1282" priority="148" operator="lessThan">
      <formula>2</formula>
    </cfRule>
    <cfRule type="cellIs" dxfId="1281" priority="149" operator="lessThan">
      <formula>2</formula>
    </cfRule>
  </conditionalFormatting>
  <conditionalFormatting sqref="G47">
    <cfRule type="cellIs" dxfId="1280" priority="147" operator="equal">
      <formula>0</formula>
    </cfRule>
  </conditionalFormatting>
  <conditionalFormatting sqref="G47">
    <cfRule type="cellIs" dxfId="1279" priority="141" operator="between">
      <formula>2</formula>
      <formula>3</formula>
    </cfRule>
    <cfRule type="cellIs" dxfId="1278" priority="142" operator="between">
      <formula>2</formula>
      <formula>3</formula>
    </cfRule>
    <cfRule type="cellIs" dxfId="1277" priority="143" operator="equal">
      <formula>1</formula>
    </cfRule>
    <cfRule type="cellIs" dxfId="1276" priority="144" operator="equal">
      <formula>1</formula>
    </cfRule>
    <cfRule type="cellIs" dxfId="1275" priority="145" operator="equal">
      <formula>0</formula>
    </cfRule>
    <cfRule type="cellIs" dxfId="1274" priority="146" operator="equal">
      <formula>0</formula>
    </cfRule>
  </conditionalFormatting>
  <conditionalFormatting sqref="G50">
    <cfRule type="cellIs" dxfId="1273" priority="140" operator="lessThan">
      <formula>2</formula>
    </cfRule>
  </conditionalFormatting>
  <conditionalFormatting sqref="G50">
    <cfRule type="cellIs" dxfId="1272" priority="131" operator="between">
      <formula>2</formula>
      <formula>3</formula>
    </cfRule>
    <cfRule type="cellIs" dxfId="1271" priority="132" operator="between">
      <formula>2</formula>
      <formula>3</formula>
    </cfRule>
    <cfRule type="cellIs" dxfId="1270" priority="133" operator="equal">
      <formula>1</formula>
    </cfRule>
    <cfRule type="cellIs" dxfId="1269" priority="134" operator="equal">
      <formula>1</formula>
    </cfRule>
    <cfRule type="cellIs" dxfId="1268" priority="135" operator="equal">
      <formula>0</formula>
    </cfRule>
    <cfRule type="cellIs" dxfId="1267" priority="136" operator="equal">
      <formula>0</formula>
    </cfRule>
  </conditionalFormatting>
  <conditionalFormatting sqref="J50">
    <cfRule type="expression" dxfId="1266" priority="105">
      <formula>#REF!=1</formula>
    </cfRule>
    <cfRule type="expression" dxfId="1265" priority="106">
      <formula>#REF!=0</formula>
    </cfRule>
  </conditionalFormatting>
  <conditionalFormatting sqref="J23">
    <cfRule type="expression" dxfId="1264" priority="123">
      <formula>#REF!=1</formula>
    </cfRule>
    <cfRule type="expression" dxfId="1263" priority="124">
      <formula>#REF!=0</formula>
    </cfRule>
  </conditionalFormatting>
  <conditionalFormatting sqref="J26">
    <cfRule type="expression" dxfId="1262" priority="121">
      <formula>#REF!=1</formula>
    </cfRule>
    <cfRule type="expression" dxfId="1261" priority="122">
      <formula>#REF!=0</formula>
    </cfRule>
  </conditionalFormatting>
  <conditionalFormatting sqref="J30">
    <cfRule type="expression" dxfId="1260" priority="119">
      <formula>#REF!=1</formula>
    </cfRule>
    <cfRule type="expression" dxfId="1259" priority="120">
      <formula>#REF!=0</formula>
    </cfRule>
  </conditionalFormatting>
  <conditionalFormatting sqref="J33">
    <cfRule type="expression" dxfId="1258" priority="117">
      <formula>#REF!=1</formula>
    </cfRule>
    <cfRule type="expression" dxfId="1257" priority="118">
      <formula>#REF!=0</formula>
    </cfRule>
  </conditionalFormatting>
  <conditionalFormatting sqref="J10">
    <cfRule type="expression" dxfId="1256" priority="125">
      <formula>#REF!=1</formula>
    </cfRule>
    <cfRule type="expression" dxfId="1255" priority="126">
      <formula>#REF!=0</formula>
    </cfRule>
  </conditionalFormatting>
  <conditionalFormatting sqref="J16">
    <cfRule type="expression" dxfId="1254" priority="127">
      <formula>#REF!=1</formula>
    </cfRule>
    <cfRule type="expression" dxfId="1253" priority="128">
      <formula>#REF!=0</formula>
    </cfRule>
  </conditionalFormatting>
  <conditionalFormatting sqref="J18">
    <cfRule type="expression" dxfId="1252" priority="115">
      <formula>#REF!=1</formula>
    </cfRule>
    <cfRule type="expression" dxfId="1251" priority="116">
      <formula>#REF!=0</formula>
    </cfRule>
  </conditionalFormatting>
  <conditionalFormatting sqref="J35">
    <cfRule type="expression" dxfId="1250" priority="113">
      <formula>#REF!=1</formula>
    </cfRule>
    <cfRule type="expression" dxfId="1249" priority="114">
      <formula>#REF!=0</formula>
    </cfRule>
  </conditionalFormatting>
  <conditionalFormatting sqref="J39">
    <cfRule type="expression" dxfId="1248" priority="111">
      <formula>#REF!=1</formula>
    </cfRule>
    <cfRule type="expression" dxfId="1247" priority="112">
      <formula>#REF!=0</formula>
    </cfRule>
  </conditionalFormatting>
  <conditionalFormatting sqref="J43">
    <cfRule type="expression" dxfId="1246" priority="109">
      <formula>#REF!=1</formula>
    </cfRule>
    <cfRule type="expression" dxfId="1245" priority="110">
      <formula>#REF!=0</formula>
    </cfRule>
  </conditionalFormatting>
  <conditionalFormatting sqref="J46">
    <cfRule type="expression" dxfId="1244" priority="107">
      <formula>#REF!=1</formula>
    </cfRule>
    <cfRule type="expression" dxfId="1243" priority="108">
      <formula>#REF!=0</formula>
    </cfRule>
  </conditionalFormatting>
  <conditionalFormatting sqref="G12">
    <cfRule type="cellIs" dxfId="1242" priority="103" operator="lessThan">
      <formula>2</formula>
    </cfRule>
    <cfRule type="cellIs" dxfId="1241" priority="104" operator="lessThan">
      <formula>2</formula>
    </cfRule>
  </conditionalFormatting>
  <conditionalFormatting sqref="G12">
    <cfRule type="cellIs" dxfId="1240" priority="102" operator="equal">
      <formula>0</formula>
    </cfRule>
  </conditionalFormatting>
  <conditionalFormatting sqref="G12">
    <cfRule type="cellIs" dxfId="1239" priority="96" operator="between">
      <formula>2</formula>
      <formula>3</formula>
    </cfRule>
    <cfRule type="cellIs" dxfId="1238" priority="97" operator="between">
      <formula>2</formula>
      <formula>3</formula>
    </cfRule>
    <cfRule type="cellIs" dxfId="1237" priority="98" operator="equal">
      <formula>1</formula>
    </cfRule>
    <cfRule type="cellIs" dxfId="1236" priority="99" operator="equal">
      <formula>1</formula>
    </cfRule>
    <cfRule type="cellIs" dxfId="1235" priority="100" operator="equal">
      <formula>0</formula>
    </cfRule>
    <cfRule type="cellIs" dxfId="1234" priority="101" operator="equal">
      <formula>0</formula>
    </cfRule>
  </conditionalFormatting>
  <conditionalFormatting sqref="G11">
    <cfRule type="cellIs" dxfId="1233" priority="94" operator="lessThan">
      <formula>2</formula>
    </cfRule>
    <cfRule type="cellIs" dxfId="1232" priority="95" operator="lessThan">
      <formula>2</formula>
    </cfRule>
  </conditionalFormatting>
  <conditionalFormatting sqref="G11">
    <cfRule type="cellIs" dxfId="1231" priority="93" operator="equal">
      <formula>0</formula>
    </cfRule>
  </conditionalFormatting>
  <conditionalFormatting sqref="G11">
    <cfRule type="cellIs" dxfId="1230" priority="87" operator="between">
      <formula>2</formula>
      <formula>3</formula>
    </cfRule>
    <cfRule type="cellIs" dxfId="1229" priority="88" operator="between">
      <formula>2</formula>
      <formula>3</formula>
    </cfRule>
    <cfRule type="cellIs" dxfId="1228" priority="89" operator="equal">
      <formula>1</formula>
    </cfRule>
    <cfRule type="cellIs" dxfId="1227" priority="90" operator="equal">
      <formula>1</formula>
    </cfRule>
    <cfRule type="cellIs" dxfId="1226" priority="91" operator="equal">
      <formula>0</formula>
    </cfRule>
    <cfRule type="cellIs" dxfId="1225" priority="92" operator="equal">
      <formula>0</formula>
    </cfRule>
  </conditionalFormatting>
  <conditionalFormatting sqref="D15">
    <cfRule type="expression" dxfId="1224" priority="85">
      <formula>C15=1</formula>
    </cfRule>
    <cfRule type="expression" dxfId="1223" priority="86">
      <formula>C15=0</formula>
    </cfRule>
  </conditionalFormatting>
  <conditionalFormatting sqref="G15">
    <cfRule type="cellIs" dxfId="1222" priority="84" operator="lessThan">
      <formula>2</formula>
    </cfRule>
  </conditionalFormatting>
  <conditionalFormatting sqref="G15">
    <cfRule type="cellIs" dxfId="1221" priority="78" operator="between">
      <formula>2</formula>
      <formula>3</formula>
    </cfRule>
    <cfRule type="cellIs" dxfId="1220" priority="79" operator="between">
      <formula>2</formula>
      <formula>3</formula>
    </cfRule>
    <cfRule type="cellIs" dxfId="1219" priority="80" operator="equal">
      <formula>1</formula>
    </cfRule>
    <cfRule type="cellIs" dxfId="1218" priority="81" operator="equal">
      <formula>1</formula>
    </cfRule>
    <cfRule type="cellIs" dxfId="1217" priority="82" operator="equal">
      <formula>0</formula>
    </cfRule>
    <cfRule type="cellIs" dxfId="1216" priority="83" operator="equal">
      <formula>0</formula>
    </cfRule>
  </conditionalFormatting>
  <conditionalFormatting sqref="J15">
    <cfRule type="expression" dxfId="1215" priority="76">
      <formula>#REF!=1</formula>
    </cfRule>
    <cfRule type="expression" dxfId="1214" priority="77">
      <formula>#REF!=0</formula>
    </cfRule>
  </conditionalFormatting>
  <conditionalFormatting sqref="D22">
    <cfRule type="expression" dxfId="1213" priority="74">
      <formula>C22=1</formula>
    </cfRule>
    <cfRule type="expression" dxfId="1212" priority="75">
      <formula>C22=0</formula>
    </cfRule>
  </conditionalFormatting>
  <conditionalFormatting sqref="G22">
    <cfRule type="cellIs" dxfId="1211" priority="73" operator="lessThan">
      <formula>2</formula>
    </cfRule>
  </conditionalFormatting>
  <conditionalFormatting sqref="G22">
    <cfRule type="cellIs" dxfId="1210" priority="67" operator="between">
      <formula>2</formula>
      <formula>3</formula>
    </cfRule>
    <cfRule type="cellIs" dxfId="1209" priority="68" operator="between">
      <formula>2</formula>
      <formula>3</formula>
    </cfRule>
    <cfRule type="cellIs" dxfId="1208" priority="69" operator="equal">
      <formula>1</formula>
    </cfRule>
    <cfRule type="cellIs" dxfId="1207" priority="70" operator="equal">
      <formula>1</formula>
    </cfRule>
    <cfRule type="cellIs" dxfId="1206" priority="71" operator="equal">
      <formula>0</formula>
    </cfRule>
    <cfRule type="cellIs" dxfId="1205" priority="72" operator="equal">
      <formula>0</formula>
    </cfRule>
  </conditionalFormatting>
  <conditionalFormatting sqref="J22">
    <cfRule type="expression" dxfId="1204" priority="65">
      <formula>#REF!=1</formula>
    </cfRule>
    <cfRule type="expression" dxfId="1203" priority="66">
      <formula>#REF!=0</formula>
    </cfRule>
  </conditionalFormatting>
  <conditionalFormatting sqref="D25">
    <cfRule type="expression" dxfId="1202" priority="63">
      <formula>C25=1</formula>
    </cfRule>
    <cfRule type="expression" dxfId="1201" priority="64">
      <formula>C25=0</formula>
    </cfRule>
  </conditionalFormatting>
  <conditionalFormatting sqref="G25">
    <cfRule type="cellIs" dxfId="1200" priority="62" operator="lessThan">
      <formula>2</formula>
    </cfRule>
  </conditionalFormatting>
  <conditionalFormatting sqref="G25">
    <cfRule type="cellIs" dxfId="1199" priority="56" operator="between">
      <formula>2</formula>
      <formula>3</formula>
    </cfRule>
    <cfRule type="cellIs" dxfId="1198" priority="57" operator="between">
      <formula>2</formula>
      <formula>3</formula>
    </cfRule>
    <cfRule type="cellIs" dxfId="1197" priority="58" operator="equal">
      <formula>1</formula>
    </cfRule>
    <cfRule type="cellIs" dxfId="1196" priority="59" operator="equal">
      <formula>1</formula>
    </cfRule>
    <cfRule type="cellIs" dxfId="1195" priority="60" operator="equal">
      <formula>0</formula>
    </cfRule>
    <cfRule type="cellIs" dxfId="1194" priority="61" operator="equal">
      <formula>0</formula>
    </cfRule>
  </conditionalFormatting>
  <conditionalFormatting sqref="J25">
    <cfRule type="expression" dxfId="1193" priority="54">
      <formula>#REF!=1</formula>
    </cfRule>
    <cfRule type="expression" dxfId="1192" priority="55">
      <formula>#REF!=0</formula>
    </cfRule>
  </conditionalFormatting>
  <conditionalFormatting sqref="D28">
    <cfRule type="expression" dxfId="1191" priority="52">
      <formula>C28=1</formula>
    </cfRule>
    <cfRule type="expression" dxfId="1190" priority="53">
      <formula>C28=0</formula>
    </cfRule>
  </conditionalFormatting>
  <conditionalFormatting sqref="G28">
    <cfRule type="cellIs" dxfId="1189" priority="51" operator="lessThan">
      <formula>2</formula>
    </cfRule>
  </conditionalFormatting>
  <conditionalFormatting sqref="G28">
    <cfRule type="cellIs" dxfId="1188" priority="45" operator="between">
      <formula>2</formula>
      <formula>3</formula>
    </cfRule>
    <cfRule type="cellIs" dxfId="1187" priority="46" operator="between">
      <formula>2</formula>
      <formula>3</formula>
    </cfRule>
    <cfRule type="cellIs" dxfId="1186" priority="47" operator="equal">
      <formula>1</formula>
    </cfRule>
    <cfRule type="cellIs" dxfId="1185" priority="48" operator="equal">
      <formula>1</formula>
    </cfRule>
    <cfRule type="cellIs" dxfId="1184" priority="49" operator="equal">
      <formula>0</formula>
    </cfRule>
    <cfRule type="cellIs" dxfId="1183" priority="50" operator="equal">
      <formula>0</formula>
    </cfRule>
  </conditionalFormatting>
  <conditionalFormatting sqref="J28">
    <cfRule type="expression" dxfId="1182" priority="43">
      <formula>#REF!=1</formula>
    </cfRule>
    <cfRule type="expression" dxfId="1181" priority="44">
      <formula>#REF!=0</formula>
    </cfRule>
  </conditionalFormatting>
  <conditionalFormatting sqref="D32">
    <cfRule type="expression" dxfId="1180" priority="30">
      <formula>C32=1</formula>
    </cfRule>
    <cfRule type="expression" dxfId="1179" priority="31">
      <formula>C32=0</formula>
    </cfRule>
  </conditionalFormatting>
  <conditionalFormatting sqref="G29">
    <cfRule type="cellIs" dxfId="1178" priority="40" operator="lessThan">
      <formula>2</formula>
    </cfRule>
  </conditionalFormatting>
  <conditionalFormatting sqref="G29">
    <cfRule type="cellIs" dxfId="1177" priority="34" operator="between">
      <formula>2</formula>
      <formula>3</formula>
    </cfRule>
    <cfRule type="cellIs" dxfId="1176" priority="35" operator="between">
      <formula>2</formula>
      <formula>3</formula>
    </cfRule>
    <cfRule type="cellIs" dxfId="1175" priority="36" operator="equal">
      <formula>1</formula>
    </cfRule>
    <cfRule type="cellIs" dxfId="1174" priority="37" operator="equal">
      <formula>1</formula>
    </cfRule>
    <cfRule type="cellIs" dxfId="1173" priority="38" operator="equal">
      <formula>0</formula>
    </cfRule>
    <cfRule type="cellIs" dxfId="1172" priority="39" operator="equal">
      <formula>0</formula>
    </cfRule>
  </conditionalFormatting>
  <conditionalFormatting sqref="J29">
    <cfRule type="expression" dxfId="1171" priority="32">
      <formula>#REF!=1</formula>
    </cfRule>
    <cfRule type="expression" dxfId="1170" priority="33">
      <formula>#REF!=0</formula>
    </cfRule>
  </conditionalFormatting>
  <conditionalFormatting sqref="J32">
    <cfRule type="expression" dxfId="1169" priority="21">
      <formula>#REF!=1</formula>
    </cfRule>
    <cfRule type="expression" dxfId="1168" priority="22">
      <formula>#REF!=0</formula>
    </cfRule>
  </conditionalFormatting>
  <conditionalFormatting sqref="G32">
    <cfRule type="cellIs" dxfId="1167" priority="29" operator="lessThan">
      <formula>2</formula>
    </cfRule>
  </conditionalFormatting>
  <conditionalFormatting sqref="G32">
    <cfRule type="cellIs" dxfId="1166" priority="23" operator="between">
      <formula>2</formula>
      <formula>3</formula>
    </cfRule>
    <cfRule type="cellIs" dxfId="1165" priority="24" operator="between">
      <formula>2</formula>
      <formula>3</formula>
    </cfRule>
    <cfRule type="cellIs" dxfId="1164" priority="25" operator="equal">
      <formula>1</formula>
    </cfRule>
    <cfRule type="cellIs" dxfId="1163" priority="26" operator="equal">
      <formula>1</formula>
    </cfRule>
    <cfRule type="cellIs" dxfId="1162" priority="27" operator="equal">
      <formula>0</formula>
    </cfRule>
    <cfRule type="cellIs" dxfId="1161" priority="28" operator="equal">
      <formula>0</formula>
    </cfRule>
  </conditionalFormatting>
  <conditionalFormatting sqref="G36">
    <cfRule type="cellIs" dxfId="1160" priority="19" operator="lessThan">
      <formula>2</formula>
    </cfRule>
    <cfRule type="cellIs" dxfId="1159" priority="20" operator="lessThan">
      <formula>2</formula>
    </cfRule>
  </conditionalFormatting>
  <conditionalFormatting sqref="G36">
    <cfRule type="cellIs" dxfId="1158" priority="18" operator="equal">
      <formula>0</formula>
    </cfRule>
  </conditionalFormatting>
  <conditionalFormatting sqref="G36">
    <cfRule type="cellIs" dxfId="1157" priority="12" operator="between">
      <formula>2</formula>
      <formula>3</formula>
    </cfRule>
    <cfRule type="cellIs" dxfId="1156" priority="13" operator="between">
      <formula>2</formula>
      <formula>3</formula>
    </cfRule>
    <cfRule type="cellIs" dxfId="1155" priority="14" operator="equal">
      <formula>1</formula>
    </cfRule>
    <cfRule type="cellIs" dxfId="1154" priority="15" operator="equal">
      <formula>1</formula>
    </cfRule>
    <cfRule type="cellIs" dxfId="1153" priority="16" operator="equal">
      <formula>0</formula>
    </cfRule>
    <cfRule type="cellIs" dxfId="1152" priority="17" operator="equal">
      <formula>0</formula>
    </cfRule>
  </conditionalFormatting>
  <conditionalFormatting sqref="G51">
    <cfRule type="cellIs" dxfId="1151" priority="9" operator="lessThan">
      <formula>2</formula>
    </cfRule>
  </conditionalFormatting>
  <conditionalFormatting sqref="G51">
    <cfRule type="cellIs" dxfId="1150" priority="3" operator="between">
      <formula>2</formula>
      <formula>3</formula>
    </cfRule>
    <cfRule type="cellIs" dxfId="1149" priority="4" operator="between">
      <formula>2</formula>
      <formula>3</formula>
    </cfRule>
    <cfRule type="cellIs" dxfId="1148" priority="5" operator="equal">
      <formula>1</formula>
    </cfRule>
    <cfRule type="cellIs" dxfId="1147" priority="6" operator="equal">
      <formula>1</formula>
    </cfRule>
    <cfRule type="cellIs" dxfId="1146" priority="7" operator="equal">
      <formula>0</formula>
    </cfRule>
    <cfRule type="cellIs" dxfId="1145" priority="8" operator="equal">
      <formula>0</formula>
    </cfRule>
  </conditionalFormatting>
  <conditionalFormatting sqref="J51">
    <cfRule type="expression" dxfId="1144" priority="1">
      <formula>#REF!=1</formula>
    </cfRule>
    <cfRule type="expression" dxfId="1143" priority="2">
      <formula>#REF!=0</formula>
    </cfRule>
  </conditionalFormatting>
  <dataValidations count="2">
    <dataValidation allowBlank="1" showDropDown="1" showInputMessage="1" showErrorMessage="1" error="Only a Y, N or DNA is allowed" sqref="G5:G7" xr:uid="{00000000-0002-0000-0100-000000000000}"/>
    <dataValidation allowBlank="1" showDropDown="1" showErrorMessage="1" errorTitle="Do Not change this cell" error="Only a &quot;Y&quot;, &quot;N&quot; or &quot;DNA&quot;  is allowed" sqref="F18:G20 F15:G16 F35:G37 F46:G48 F43:G44 F39:G41 F28:G30 F32:G33 F10:G13 F25:G26 F22:G23 F50:G51" xr:uid="{00000000-0002-0000-0100-000001000000}"/>
  </dataValidations>
  <pageMargins left="0.74803149606299213" right="0.23622047244094491" top="0.39370078740157483" bottom="0.74803149606299213" header="0.31496062992125984" footer="0.31496062992125984"/>
  <pageSetup paperSize="9" scale="46" fitToHeight="0" orientation="landscape" horizontalDpi="4294967293" r:id="rId1"/>
  <headerFooter>
    <oddFooter>&amp;LPG 368/08   Fecha: 29/05/2019&amp;R&amp;P de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theme="8"/>
    <pageSetUpPr fitToPage="1"/>
  </sheetPr>
  <dimension ref="A1:Y4"/>
  <sheetViews>
    <sheetView tabSelected="1" zoomScale="80" zoomScaleNormal="80" zoomScaleSheetLayoutView="115" workbookViewId="0">
      <selection activeCell="AB18" sqref="AB18"/>
    </sheetView>
  </sheetViews>
  <sheetFormatPr baseColWidth="10" defaultColWidth="11.42578125" defaultRowHeight="15" x14ac:dyDescent="0.25"/>
  <cols>
    <col min="1" max="9" width="11.42578125" customWidth="1"/>
    <col min="10" max="21" width="8.42578125" customWidth="1"/>
    <col min="22" max="25" width="11.42578125" customWidth="1"/>
  </cols>
  <sheetData>
    <row r="1" spans="1:25" ht="18" customHeight="1" x14ac:dyDescent="0.25">
      <c r="A1" s="515"/>
      <c r="B1" s="516"/>
      <c r="C1" s="516"/>
      <c r="D1" s="518"/>
      <c r="E1" s="542" t="s">
        <v>124</v>
      </c>
      <c r="F1" s="543"/>
      <c r="G1" s="543"/>
      <c r="H1" s="543"/>
      <c r="I1" s="543"/>
      <c r="J1" s="543"/>
      <c r="K1" s="543"/>
      <c r="L1" s="543"/>
      <c r="M1" s="543"/>
      <c r="N1" s="543"/>
      <c r="O1" s="543"/>
      <c r="P1" s="543"/>
      <c r="Q1" s="544"/>
      <c r="R1" s="706" t="s">
        <v>1</v>
      </c>
      <c r="S1" s="707"/>
      <c r="T1" s="501"/>
      <c r="U1" s="708"/>
    </row>
    <row r="2" spans="1:25" ht="18" customHeight="1" thickBot="1" x14ac:dyDescent="0.3">
      <c r="A2" s="519"/>
      <c r="B2" s="520"/>
      <c r="C2" s="520"/>
      <c r="D2" s="522"/>
      <c r="E2" s="545"/>
      <c r="F2" s="546"/>
      <c r="G2" s="546"/>
      <c r="H2" s="546"/>
      <c r="I2" s="546"/>
      <c r="J2" s="546"/>
      <c r="K2" s="546"/>
      <c r="L2" s="546"/>
      <c r="M2" s="546"/>
      <c r="N2" s="546"/>
      <c r="O2" s="546"/>
      <c r="P2" s="546"/>
      <c r="Q2" s="547"/>
      <c r="R2" s="709" t="s">
        <v>4</v>
      </c>
      <c r="S2" s="710"/>
      <c r="T2" s="504"/>
      <c r="U2" s="711"/>
    </row>
    <row r="3" spans="1:25" ht="18" customHeight="1" x14ac:dyDescent="0.25">
      <c r="A3" s="519"/>
      <c r="B3" s="520"/>
      <c r="C3" s="520"/>
      <c r="D3" s="522"/>
      <c r="E3" s="530" t="s">
        <v>5</v>
      </c>
      <c r="F3" s="532" t="str">
        <f>'INFORME AUDIT INTERNA'!C3</f>
        <v>MARCILLA</v>
      </c>
      <c r="G3" s="532"/>
      <c r="H3" s="532"/>
      <c r="I3" s="533"/>
      <c r="J3" s="536" t="s">
        <v>7</v>
      </c>
      <c r="K3" s="538">
        <v>2026</v>
      </c>
      <c r="L3" s="538"/>
      <c r="M3" s="538"/>
      <c r="N3" s="538"/>
      <c r="O3" s="538"/>
      <c r="P3" s="538"/>
      <c r="Q3" s="712"/>
      <c r="R3" s="714">
        <v>45288</v>
      </c>
      <c r="S3" s="715"/>
      <c r="T3" s="507"/>
      <c r="U3" s="716"/>
      <c r="X3" s="1"/>
      <c r="Y3" s="1"/>
    </row>
    <row r="4" spans="1:25" ht="18" customHeight="1" thickBot="1" x14ac:dyDescent="0.3">
      <c r="A4" s="523"/>
      <c r="B4" s="524"/>
      <c r="C4" s="524"/>
      <c r="D4" s="526"/>
      <c r="E4" s="531"/>
      <c r="F4" s="534"/>
      <c r="G4" s="534"/>
      <c r="H4" s="534"/>
      <c r="I4" s="535"/>
      <c r="J4" s="537"/>
      <c r="K4" s="540"/>
      <c r="L4" s="540"/>
      <c r="M4" s="540"/>
      <c r="N4" s="540"/>
      <c r="O4" s="540"/>
      <c r="P4" s="540"/>
      <c r="Q4" s="713"/>
      <c r="R4" s="717" t="s">
        <v>125</v>
      </c>
      <c r="S4" s="718"/>
      <c r="T4" s="510"/>
      <c r="U4" s="719"/>
      <c r="X4" s="43"/>
    </row>
  </sheetData>
  <mergeCells count="10">
    <mergeCell ref="A1:D4"/>
    <mergeCell ref="E1:Q2"/>
    <mergeCell ref="R1:U1"/>
    <mergeCell ref="R2:U2"/>
    <mergeCell ref="E3:E4"/>
    <mergeCell ref="F3:I4"/>
    <mergeCell ref="J3:J4"/>
    <mergeCell ref="K3:Q4"/>
    <mergeCell ref="R3:U3"/>
    <mergeCell ref="R4:U4"/>
  </mergeCells>
  <printOptions horizontalCentered="1"/>
  <pageMargins left="0.23622047244094491" right="0.23622047244094491" top="0.35433070866141736" bottom="0.35433070866141736" header="0.31496062992125984" footer="0.31496062992125984"/>
  <pageSetup paperSize="9" scale="70" fitToHeight="0" orientation="landscape" r:id="rId1"/>
  <rowBreaks count="1" manualBreakCount="1">
    <brk id="52" max="20"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C00000"/>
    <outlinePr summaryBelow="0" summaryRight="0"/>
  </sheetPr>
  <dimension ref="A1:CL187"/>
  <sheetViews>
    <sheetView showGridLines="0" zoomScale="80" zoomScaleNormal="80" workbookViewId="0">
      <pane xSplit="12" ySplit="10" topLeftCell="M22" activePane="bottomRight" state="frozen"/>
      <selection pane="topRight"/>
      <selection pane="bottomLeft"/>
      <selection pane="bottomRight" activeCell="M12" sqref="M12"/>
    </sheetView>
  </sheetViews>
  <sheetFormatPr baseColWidth="10" defaultColWidth="13.42578125" defaultRowHeight="14.25" outlineLevelRow="1" outlineLevelCol="1" x14ac:dyDescent="0.2"/>
  <cols>
    <col min="1" max="1" width="2.7109375" style="136" customWidth="1"/>
    <col min="2" max="2" width="19.5703125" style="367" customWidth="1"/>
    <col min="3" max="3" width="9" style="136" customWidth="1"/>
    <col min="4" max="4" width="22.85546875" style="136" customWidth="1"/>
    <col min="5" max="5" width="5.5703125" style="171" customWidth="1"/>
    <col min="6" max="6" width="31.85546875" style="171" customWidth="1"/>
    <col min="7" max="7" width="6.85546875" style="170" customWidth="1" collapsed="1"/>
    <col min="8" max="8" width="13.42578125" style="136" hidden="1" customWidth="1" outlineLevel="1"/>
    <col min="9" max="9" width="45.85546875" style="136" hidden="1" customWidth="1" outlineLevel="1"/>
    <col min="10" max="10" width="20" style="136" hidden="1" customWidth="1" outlineLevel="1"/>
    <col min="11" max="11" width="18.42578125" style="136" hidden="1" customWidth="1" outlineLevel="1"/>
    <col min="12" max="12" width="30.85546875" style="136" hidden="1" customWidth="1" outlineLevel="1"/>
    <col min="13" max="13" width="8.42578125" style="170" customWidth="1" collapsed="1"/>
    <col min="14" max="15" width="13.42578125" style="136" hidden="1" customWidth="1" outlineLevel="1"/>
    <col min="16" max="16" width="17" style="136" hidden="1" customWidth="1" outlineLevel="1"/>
    <col min="17" max="18" width="13.42578125" style="136" hidden="1" customWidth="1" outlineLevel="1"/>
    <col min="19" max="19" width="9.28515625" style="170" customWidth="1" collapsed="1"/>
    <col min="20" max="21" width="13.42578125" style="136" hidden="1" customWidth="1" outlineLevel="1"/>
    <col min="22" max="22" width="19.5703125" style="136" hidden="1" customWidth="1" outlineLevel="1"/>
    <col min="23" max="24" width="13.42578125" style="136" hidden="1" customWidth="1" outlineLevel="1"/>
    <col min="25" max="25" width="8.140625" style="170" customWidth="1" collapsed="1"/>
    <col min="26" max="26" width="13.42578125" style="136" hidden="1" customWidth="1" outlineLevel="1"/>
    <col min="27" max="27" width="16.42578125" style="136" hidden="1" customWidth="1" outlineLevel="1"/>
    <col min="28" max="28" width="13.42578125" style="136" hidden="1" customWidth="1" outlineLevel="1"/>
    <col min="29" max="29" width="2.140625" style="136" hidden="1" customWidth="1" outlineLevel="1"/>
    <col min="30" max="30" width="13.42578125" style="136" hidden="1" customWidth="1" outlineLevel="1"/>
    <col min="31" max="31" width="6.85546875" style="170" customWidth="1" collapsed="1"/>
    <col min="32" max="32" width="11.5703125" style="136" hidden="1" customWidth="1" outlineLevel="1"/>
    <col min="33" max="33" width="43.85546875" style="136" hidden="1" customWidth="1" outlineLevel="1"/>
    <col min="34" max="34" width="49" style="136" hidden="1" customWidth="1" outlineLevel="1"/>
    <col min="35" max="35" width="40.7109375" style="136" hidden="1" customWidth="1" outlineLevel="1"/>
    <col min="36" max="36" width="45.28515625" style="136" hidden="1" customWidth="1" outlineLevel="1"/>
    <col min="37" max="37" width="8.7109375" style="170" customWidth="1" collapsed="1"/>
    <col min="38" max="38" width="32.140625" style="136" hidden="1" customWidth="1" outlineLevel="1"/>
    <col min="39" max="39" width="18.7109375" style="136" hidden="1" customWidth="1" outlineLevel="1"/>
    <col min="40" max="42" width="13.42578125" style="136" hidden="1" customWidth="1" outlineLevel="1"/>
    <col min="43" max="43" width="8.140625" style="170" customWidth="1" collapsed="1"/>
    <col min="44" max="44" width="8.42578125" style="136" hidden="1" customWidth="1" outlineLevel="1"/>
    <col min="45" max="45" width="17.42578125" style="136" hidden="1" customWidth="1" outlineLevel="1"/>
    <col min="46" max="46" width="23.140625" style="136" hidden="1" customWidth="1" outlineLevel="1"/>
    <col min="47" max="47" width="15.28515625" style="136" hidden="1" customWidth="1" outlineLevel="1"/>
    <col min="48" max="48" width="17.7109375" style="136" hidden="1" customWidth="1" outlineLevel="1"/>
    <col min="49" max="49" width="5.28515625" style="170" customWidth="1" collapsed="1"/>
    <col min="50" max="50" width="13.42578125" style="136" hidden="1" customWidth="1" outlineLevel="1"/>
    <col min="51" max="51" width="19.28515625" style="136" hidden="1" customWidth="1" outlineLevel="1"/>
    <col min="52" max="52" width="36.28515625" style="136" hidden="1" customWidth="1" outlineLevel="1"/>
    <col min="53" max="53" width="89.28515625" style="136" hidden="1" customWidth="1" outlineLevel="1"/>
    <col min="54" max="54" width="60.5703125" style="136" hidden="1" customWidth="1" outlineLevel="1"/>
    <col min="55" max="55" width="13.42578125" style="170"/>
    <col min="56" max="56" width="13.42578125" style="136" customWidth="1" outlineLevel="1"/>
    <col min="57" max="57" width="31.42578125" style="136" customWidth="1" outlineLevel="1"/>
    <col min="58" max="58" width="37.42578125" style="136" customWidth="1" outlineLevel="1"/>
    <col min="59" max="59" width="32.5703125" style="136" customWidth="1" outlineLevel="1"/>
    <col min="60" max="60" width="13.42578125" style="136" customWidth="1" outlineLevel="1"/>
    <col min="61" max="61" width="13.42578125" style="170"/>
    <col min="62" max="66" width="13.42578125" style="136" customWidth="1" outlineLevel="1"/>
    <col min="67" max="67" width="13.42578125" style="170" collapsed="1"/>
    <col min="68" max="68" width="13.42578125" style="136" hidden="1" customWidth="1" outlineLevel="1"/>
    <col min="69" max="69" width="15.140625" style="136" hidden="1" customWidth="1" outlineLevel="1"/>
    <col min="70" max="72" width="13.42578125" style="136" hidden="1" customWidth="1" outlineLevel="1"/>
    <col min="73" max="73" width="13.42578125" style="170" collapsed="1"/>
    <col min="74" max="74" width="13.42578125" style="136" hidden="1" customWidth="1" outlineLevel="1"/>
    <col min="75" max="75" width="16.7109375" style="136" hidden="1" customWidth="1" outlineLevel="1"/>
    <col min="76" max="78" width="13.42578125" style="136" hidden="1" customWidth="1" outlineLevel="1"/>
    <col min="79" max="79" width="13.42578125" style="170" collapsed="1"/>
    <col min="80" max="80" width="13.42578125" style="136" hidden="1" customWidth="1" outlineLevel="1"/>
    <col min="81" max="81" width="20.85546875" style="136" hidden="1" customWidth="1" outlineLevel="1"/>
    <col min="82" max="82" width="25.42578125" style="136" hidden="1" customWidth="1" outlineLevel="1"/>
    <col min="83" max="83" width="24.7109375" style="136" hidden="1" customWidth="1" outlineLevel="1"/>
    <col min="84" max="84" width="13.42578125" style="136" hidden="1" customWidth="1" outlineLevel="1"/>
    <col min="85" max="85" width="13.42578125" style="170" collapsed="1"/>
    <col min="86" max="90" width="13.42578125" style="136" hidden="1" customWidth="1" outlineLevel="1"/>
    <col min="91" max="16384" width="13.42578125" style="136"/>
  </cols>
  <sheetData>
    <row r="1" spans="2:90" ht="26.25" x14ac:dyDescent="0.2">
      <c r="B1" s="741" t="s">
        <v>126</v>
      </c>
      <c r="C1" s="741"/>
      <c r="D1" s="741"/>
      <c r="E1" s="741"/>
      <c r="F1" s="741"/>
      <c r="G1" s="132" t="s">
        <v>127</v>
      </c>
      <c r="H1" s="133" t="s">
        <v>128</v>
      </c>
      <c r="I1" s="358"/>
      <c r="J1" s="133" t="s">
        <v>129</v>
      </c>
      <c r="K1" s="357"/>
      <c r="L1" s="134"/>
      <c r="M1" s="132" t="s">
        <v>130</v>
      </c>
      <c r="N1" s="133" t="s">
        <v>128</v>
      </c>
      <c r="O1" s="358" t="s">
        <v>131</v>
      </c>
      <c r="P1" s="133" t="s">
        <v>129</v>
      </c>
      <c r="Q1" s="357" t="s">
        <v>132</v>
      </c>
      <c r="R1" s="134"/>
      <c r="S1" s="132" t="s">
        <v>133</v>
      </c>
      <c r="T1" s="133" t="s">
        <v>128</v>
      </c>
      <c r="U1" s="358">
        <v>46329</v>
      </c>
      <c r="V1" s="133" t="s">
        <v>129</v>
      </c>
      <c r="W1" s="357" t="s">
        <v>134</v>
      </c>
      <c r="X1" s="134"/>
      <c r="Y1" s="132" t="s">
        <v>135</v>
      </c>
      <c r="Z1" s="133" t="s">
        <v>128</v>
      </c>
      <c r="AA1" s="358"/>
      <c r="AB1" s="133" t="s">
        <v>129</v>
      </c>
      <c r="AC1" s="357"/>
      <c r="AD1" s="134"/>
      <c r="AE1" s="132" t="s">
        <v>136</v>
      </c>
      <c r="AF1" s="133" t="s">
        <v>128</v>
      </c>
      <c r="AG1" s="358"/>
      <c r="AH1" s="133" t="s">
        <v>129</v>
      </c>
      <c r="AI1" s="357"/>
      <c r="AJ1" s="134"/>
      <c r="AK1" s="132" t="s">
        <v>137</v>
      </c>
      <c r="AL1" s="133" t="s">
        <v>128</v>
      </c>
      <c r="AM1" s="358" t="s">
        <v>138</v>
      </c>
      <c r="AN1" s="133" t="s">
        <v>129</v>
      </c>
      <c r="AO1" s="357" t="s">
        <v>139</v>
      </c>
      <c r="AP1" s="134"/>
      <c r="AQ1" s="132" t="s">
        <v>140</v>
      </c>
      <c r="AR1" s="133" t="s">
        <v>128</v>
      </c>
      <c r="AS1" s="358">
        <v>46211</v>
      </c>
      <c r="AT1" s="133" t="s">
        <v>129</v>
      </c>
      <c r="AU1" s="357" t="s">
        <v>132</v>
      </c>
      <c r="AV1" s="134"/>
      <c r="AW1" s="132" t="s">
        <v>141</v>
      </c>
      <c r="AX1" s="133" t="s">
        <v>128</v>
      </c>
      <c r="AY1" s="358"/>
      <c r="AZ1" s="133" t="s">
        <v>129</v>
      </c>
      <c r="BA1" s="357"/>
      <c r="BB1" s="134"/>
      <c r="BC1" s="132" t="s">
        <v>142</v>
      </c>
      <c r="BD1" s="133" t="s">
        <v>128</v>
      </c>
      <c r="BE1" s="358">
        <v>46335</v>
      </c>
      <c r="BF1" s="133" t="s">
        <v>129</v>
      </c>
      <c r="BG1" s="357" t="s">
        <v>143</v>
      </c>
      <c r="BH1" s="134"/>
      <c r="BI1" s="132" t="s">
        <v>144</v>
      </c>
      <c r="BJ1" s="133" t="s">
        <v>128</v>
      </c>
      <c r="BK1" s="358"/>
      <c r="BL1" s="133" t="s">
        <v>129</v>
      </c>
      <c r="BM1" s="357"/>
      <c r="BN1" s="134"/>
      <c r="BO1" s="132" t="s">
        <v>145</v>
      </c>
      <c r="BP1" s="133" t="s">
        <v>128</v>
      </c>
      <c r="BQ1" s="358"/>
      <c r="BR1" s="133" t="s">
        <v>129</v>
      </c>
      <c r="BS1" s="357"/>
      <c r="BT1" s="134"/>
      <c r="BU1" s="132" t="s">
        <v>146</v>
      </c>
      <c r="BV1" s="133" t="s">
        <v>128</v>
      </c>
      <c r="BW1" s="358"/>
      <c r="BX1" s="133" t="s">
        <v>129</v>
      </c>
      <c r="BY1" s="357"/>
      <c r="BZ1" s="134"/>
      <c r="CA1" s="135" t="s">
        <v>147</v>
      </c>
      <c r="CB1" s="133" t="s">
        <v>128</v>
      </c>
      <c r="CC1" s="443"/>
      <c r="CD1" s="133" t="s">
        <v>129</v>
      </c>
      <c r="CE1" s="357"/>
      <c r="CF1" s="134"/>
      <c r="CG1" s="135" t="s">
        <v>148</v>
      </c>
      <c r="CH1" s="133" t="s">
        <v>128</v>
      </c>
      <c r="CI1" s="358" t="s">
        <v>149</v>
      </c>
      <c r="CJ1" s="133" t="s">
        <v>129</v>
      </c>
      <c r="CK1" s="357" t="s">
        <v>150</v>
      </c>
      <c r="CL1" s="134"/>
    </row>
    <row r="2" spans="2:90" x14ac:dyDescent="0.2">
      <c r="B2" s="366"/>
      <c r="C2" s="206"/>
      <c r="D2" s="18" t="s">
        <v>51</v>
      </c>
      <c r="E2" s="825" t="s">
        <v>52</v>
      </c>
      <c r="F2" s="826"/>
      <c r="G2" s="137"/>
      <c r="H2" s="138"/>
      <c r="I2" s="17"/>
      <c r="J2" s="16"/>
      <c r="K2" s="15"/>
      <c r="L2" s="14"/>
      <c r="M2" s="137"/>
      <c r="N2" s="138"/>
      <c r="O2" s="17"/>
      <c r="P2" s="16"/>
      <c r="Q2" s="15"/>
      <c r="R2" s="14"/>
      <c r="S2" s="137"/>
      <c r="T2" s="138"/>
      <c r="U2" s="17"/>
      <c r="V2" s="16"/>
      <c r="W2" s="15"/>
      <c r="X2" s="14"/>
      <c r="Y2" s="137"/>
      <c r="Z2" s="138"/>
      <c r="AA2" s="17"/>
      <c r="AB2" s="16"/>
      <c r="AC2" s="15">
        <v>0.01</v>
      </c>
      <c r="AD2" s="14"/>
      <c r="AE2" s="137"/>
      <c r="AF2" s="138"/>
      <c r="AG2" s="17"/>
      <c r="AH2" s="16"/>
      <c r="AI2" s="15"/>
      <c r="AJ2" s="14"/>
      <c r="AK2" s="137"/>
      <c r="AL2" s="138"/>
      <c r="AM2" s="17"/>
      <c r="AN2" s="16"/>
      <c r="AO2" s="15"/>
      <c r="AP2" s="14"/>
      <c r="AQ2" s="137"/>
      <c r="AR2" s="138"/>
      <c r="AS2" s="17"/>
      <c r="AT2" s="16"/>
      <c r="AU2" s="15"/>
      <c r="AV2" s="14"/>
      <c r="AW2" s="137"/>
      <c r="AX2" s="138"/>
      <c r="AY2" s="17"/>
      <c r="AZ2" s="16"/>
      <c r="BA2" s="15"/>
      <c r="BB2" s="14"/>
      <c r="BC2" s="137"/>
      <c r="BD2" s="138"/>
      <c r="BE2" s="17"/>
      <c r="BF2" s="16"/>
      <c r="BG2" s="15"/>
      <c r="BH2" s="14"/>
      <c r="BI2" s="137"/>
      <c r="BJ2" s="138"/>
      <c r="BK2" s="17"/>
      <c r="BL2" s="16"/>
      <c r="BM2" s="15"/>
      <c r="BN2" s="14"/>
      <c r="BO2" s="137"/>
      <c r="BP2" s="138"/>
      <c r="BQ2" s="17"/>
      <c r="BR2" s="16"/>
      <c r="BS2" s="15"/>
      <c r="BT2" s="14"/>
      <c r="BU2" s="137"/>
      <c r="BV2" s="138"/>
      <c r="BW2" s="17"/>
      <c r="BX2" s="16"/>
      <c r="BY2" s="15"/>
      <c r="BZ2" s="14"/>
      <c r="CA2" s="137"/>
      <c r="CB2" s="138"/>
      <c r="CC2" s="17"/>
      <c r="CD2" s="16"/>
      <c r="CE2" s="15"/>
      <c r="CF2" s="14"/>
      <c r="CG2" s="137"/>
      <c r="CH2" s="138"/>
      <c r="CI2" s="17"/>
      <c r="CJ2" s="16"/>
      <c r="CK2" s="15"/>
      <c r="CL2" s="14"/>
    </row>
    <row r="3" spans="2:90" ht="15" x14ac:dyDescent="0.2">
      <c r="C3" s="827"/>
      <c r="D3" s="830">
        <v>2026</v>
      </c>
      <c r="E3" s="833" t="str">
        <f>'INFORME AUDIT INTERNA'!C3</f>
        <v>MARCILLA</v>
      </c>
      <c r="F3" s="834"/>
      <c r="G3" s="139" t="s">
        <v>151</v>
      </c>
      <c r="H3" s="802" t="s">
        <v>152</v>
      </c>
      <c r="I3" s="803"/>
      <c r="J3" s="13"/>
      <c r="K3" s="13"/>
      <c r="L3" s="12"/>
      <c r="M3" s="139" t="s">
        <v>151</v>
      </c>
      <c r="N3" s="802" t="s">
        <v>152</v>
      </c>
      <c r="O3" s="803"/>
      <c r="P3" s="13"/>
      <c r="Q3" s="13"/>
      <c r="R3" s="12"/>
      <c r="S3" s="139" t="s">
        <v>151</v>
      </c>
      <c r="T3" s="802" t="s">
        <v>152</v>
      </c>
      <c r="U3" s="803"/>
      <c r="V3" s="13"/>
      <c r="W3" s="13"/>
      <c r="X3" s="12"/>
      <c r="Y3" s="139" t="s">
        <v>151</v>
      </c>
      <c r="Z3" s="802" t="s">
        <v>152</v>
      </c>
      <c r="AA3" s="803"/>
      <c r="AB3" s="13"/>
      <c r="AC3" s="13"/>
      <c r="AD3" s="12"/>
      <c r="AE3" s="139" t="s">
        <v>151</v>
      </c>
      <c r="AF3" s="802" t="s">
        <v>152</v>
      </c>
      <c r="AG3" s="803"/>
      <c r="AH3" s="13"/>
      <c r="AI3" s="13"/>
      <c r="AJ3" s="12"/>
      <c r="AK3" s="139" t="s">
        <v>151</v>
      </c>
      <c r="AL3" s="802" t="s">
        <v>152</v>
      </c>
      <c r="AM3" s="803"/>
      <c r="AN3" s="13"/>
      <c r="AO3" s="13"/>
      <c r="AP3" s="12"/>
      <c r="AQ3" s="139" t="s">
        <v>151</v>
      </c>
      <c r="AR3" s="802" t="s">
        <v>152</v>
      </c>
      <c r="AS3" s="803"/>
      <c r="AT3" s="13"/>
      <c r="AU3" s="13"/>
      <c r="AV3" s="12"/>
      <c r="AW3" s="139" t="s">
        <v>151</v>
      </c>
      <c r="AX3" s="802" t="s">
        <v>152</v>
      </c>
      <c r="AY3" s="803"/>
      <c r="AZ3" s="13"/>
      <c r="BA3" s="13"/>
      <c r="BB3" s="12"/>
      <c r="BC3" s="139" t="s">
        <v>151</v>
      </c>
      <c r="BD3" s="802" t="s">
        <v>152</v>
      </c>
      <c r="BE3" s="803"/>
      <c r="BF3" s="13"/>
      <c r="BG3" s="13"/>
      <c r="BH3" s="12"/>
      <c r="BI3" s="139" t="s">
        <v>151</v>
      </c>
      <c r="BJ3" s="802" t="s">
        <v>152</v>
      </c>
      <c r="BK3" s="803"/>
      <c r="BL3" s="13"/>
      <c r="BM3" s="13"/>
      <c r="BN3" s="12"/>
      <c r="BO3" s="139" t="s">
        <v>151</v>
      </c>
      <c r="BP3" s="802" t="s">
        <v>152</v>
      </c>
      <c r="BQ3" s="803"/>
      <c r="BR3" s="13"/>
      <c r="BS3" s="13"/>
      <c r="BT3" s="12"/>
      <c r="BU3" s="139" t="s">
        <v>151</v>
      </c>
      <c r="BV3" s="802" t="s">
        <v>152</v>
      </c>
      <c r="BW3" s="803"/>
      <c r="BX3" s="13"/>
      <c r="BY3" s="13"/>
      <c r="BZ3" s="12"/>
      <c r="CA3" s="139" t="s">
        <v>151</v>
      </c>
      <c r="CB3" s="802" t="s">
        <v>152</v>
      </c>
      <c r="CC3" s="803"/>
      <c r="CD3" s="13"/>
      <c r="CE3" s="13"/>
      <c r="CF3" s="12"/>
      <c r="CG3" s="139" t="s">
        <v>151</v>
      </c>
      <c r="CH3" s="802" t="s">
        <v>152</v>
      </c>
      <c r="CI3" s="803"/>
      <c r="CJ3" s="13"/>
      <c r="CK3" s="13"/>
      <c r="CL3" s="12"/>
    </row>
    <row r="4" spans="2:90" ht="15" x14ac:dyDescent="0.2">
      <c r="C4" s="828"/>
      <c r="D4" s="831"/>
      <c r="E4" s="835"/>
      <c r="F4" s="836"/>
      <c r="G4" s="140">
        <v>0</v>
      </c>
      <c r="H4" s="794" t="s">
        <v>153</v>
      </c>
      <c r="I4" s="796"/>
      <c r="J4" s="11" t="s">
        <v>154</v>
      </c>
      <c r="K4" s="794" t="s">
        <v>155</v>
      </c>
      <c r="L4" s="795"/>
      <c r="M4" s="140">
        <v>0</v>
      </c>
      <c r="N4" s="794" t="s">
        <v>153</v>
      </c>
      <c r="O4" s="796"/>
      <c r="P4" s="11" t="s">
        <v>154</v>
      </c>
      <c r="Q4" s="794" t="s">
        <v>155</v>
      </c>
      <c r="R4" s="795"/>
      <c r="S4" s="140">
        <v>0</v>
      </c>
      <c r="T4" s="794" t="s">
        <v>153</v>
      </c>
      <c r="U4" s="796"/>
      <c r="V4" s="11" t="s">
        <v>154</v>
      </c>
      <c r="W4" s="794" t="s">
        <v>155</v>
      </c>
      <c r="X4" s="795"/>
      <c r="Y4" s="140">
        <v>0</v>
      </c>
      <c r="Z4" s="794" t="s">
        <v>153</v>
      </c>
      <c r="AA4" s="796"/>
      <c r="AB4" s="11" t="s">
        <v>154</v>
      </c>
      <c r="AC4" s="794" t="s">
        <v>155</v>
      </c>
      <c r="AD4" s="795"/>
      <c r="AE4" s="140">
        <v>0</v>
      </c>
      <c r="AF4" s="794" t="s">
        <v>153</v>
      </c>
      <c r="AG4" s="796"/>
      <c r="AH4" s="11" t="s">
        <v>154</v>
      </c>
      <c r="AI4" s="794" t="s">
        <v>155</v>
      </c>
      <c r="AJ4" s="795"/>
      <c r="AK4" s="140">
        <v>0</v>
      </c>
      <c r="AL4" s="794" t="s">
        <v>153</v>
      </c>
      <c r="AM4" s="796"/>
      <c r="AN4" s="11" t="s">
        <v>154</v>
      </c>
      <c r="AO4" s="794" t="s">
        <v>155</v>
      </c>
      <c r="AP4" s="795"/>
      <c r="AQ4" s="140">
        <v>0</v>
      </c>
      <c r="AR4" s="794" t="s">
        <v>153</v>
      </c>
      <c r="AS4" s="796"/>
      <c r="AT4" s="11" t="s">
        <v>154</v>
      </c>
      <c r="AU4" s="794" t="s">
        <v>155</v>
      </c>
      <c r="AV4" s="795"/>
      <c r="AW4" s="140">
        <v>0</v>
      </c>
      <c r="AX4" s="794" t="s">
        <v>153</v>
      </c>
      <c r="AY4" s="796"/>
      <c r="AZ4" s="11" t="s">
        <v>154</v>
      </c>
      <c r="BA4" s="794" t="s">
        <v>155</v>
      </c>
      <c r="BB4" s="795"/>
      <c r="BC4" s="140">
        <v>0</v>
      </c>
      <c r="BD4" s="794" t="s">
        <v>153</v>
      </c>
      <c r="BE4" s="796"/>
      <c r="BF4" s="11" t="s">
        <v>154</v>
      </c>
      <c r="BG4" s="794" t="s">
        <v>155</v>
      </c>
      <c r="BH4" s="795"/>
      <c r="BI4" s="140">
        <v>0</v>
      </c>
      <c r="BJ4" s="794" t="s">
        <v>153</v>
      </c>
      <c r="BK4" s="796"/>
      <c r="BL4" s="11" t="s">
        <v>154</v>
      </c>
      <c r="BM4" s="794" t="s">
        <v>155</v>
      </c>
      <c r="BN4" s="795"/>
      <c r="BO4" s="140">
        <v>0</v>
      </c>
      <c r="BP4" s="794" t="s">
        <v>153</v>
      </c>
      <c r="BQ4" s="796"/>
      <c r="BR4" s="11" t="s">
        <v>154</v>
      </c>
      <c r="BS4" s="794" t="s">
        <v>155</v>
      </c>
      <c r="BT4" s="795"/>
      <c r="BU4" s="140">
        <v>0</v>
      </c>
      <c r="BV4" s="794" t="s">
        <v>153</v>
      </c>
      <c r="BW4" s="796"/>
      <c r="BX4" s="11" t="s">
        <v>154</v>
      </c>
      <c r="BY4" s="794" t="s">
        <v>155</v>
      </c>
      <c r="BZ4" s="795"/>
      <c r="CA4" s="140">
        <v>0</v>
      </c>
      <c r="CB4" s="794" t="s">
        <v>153</v>
      </c>
      <c r="CC4" s="796"/>
      <c r="CD4" s="11" t="s">
        <v>154</v>
      </c>
      <c r="CE4" s="794" t="s">
        <v>155</v>
      </c>
      <c r="CF4" s="795"/>
      <c r="CG4" s="140">
        <v>0</v>
      </c>
      <c r="CH4" s="794" t="s">
        <v>153</v>
      </c>
      <c r="CI4" s="796"/>
      <c r="CJ4" s="11" t="s">
        <v>154</v>
      </c>
      <c r="CK4" s="794" t="s">
        <v>155</v>
      </c>
      <c r="CL4" s="795"/>
    </row>
    <row r="5" spans="2:90" ht="15" x14ac:dyDescent="0.2">
      <c r="C5" s="828"/>
      <c r="D5" s="831"/>
      <c r="E5" s="835"/>
      <c r="F5" s="836"/>
      <c r="G5" s="141">
        <v>1</v>
      </c>
      <c r="H5" s="794" t="s">
        <v>156</v>
      </c>
      <c r="I5" s="796"/>
      <c r="J5" s="11" t="s">
        <v>157</v>
      </c>
      <c r="K5" s="794" t="s">
        <v>158</v>
      </c>
      <c r="L5" s="795"/>
      <c r="M5" s="141">
        <v>1</v>
      </c>
      <c r="N5" s="794" t="s">
        <v>156</v>
      </c>
      <c r="O5" s="796"/>
      <c r="P5" s="11" t="s">
        <v>157</v>
      </c>
      <c r="Q5" s="794" t="s">
        <v>158</v>
      </c>
      <c r="R5" s="795"/>
      <c r="S5" s="141">
        <v>1</v>
      </c>
      <c r="T5" s="794" t="s">
        <v>156</v>
      </c>
      <c r="U5" s="796"/>
      <c r="V5" s="11" t="s">
        <v>157</v>
      </c>
      <c r="W5" s="794" t="s">
        <v>158</v>
      </c>
      <c r="X5" s="795"/>
      <c r="Y5" s="141">
        <v>1</v>
      </c>
      <c r="Z5" s="794" t="s">
        <v>156</v>
      </c>
      <c r="AA5" s="796"/>
      <c r="AB5" s="11" t="s">
        <v>157</v>
      </c>
      <c r="AC5" s="794" t="s">
        <v>158</v>
      </c>
      <c r="AD5" s="795"/>
      <c r="AE5" s="141">
        <v>1</v>
      </c>
      <c r="AF5" s="794" t="s">
        <v>156</v>
      </c>
      <c r="AG5" s="796"/>
      <c r="AH5" s="11" t="s">
        <v>157</v>
      </c>
      <c r="AI5" s="794" t="s">
        <v>158</v>
      </c>
      <c r="AJ5" s="795"/>
      <c r="AK5" s="141">
        <v>1</v>
      </c>
      <c r="AL5" s="794" t="s">
        <v>156</v>
      </c>
      <c r="AM5" s="796"/>
      <c r="AN5" s="11" t="s">
        <v>157</v>
      </c>
      <c r="AO5" s="794" t="s">
        <v>158</v>
      </c>
      <c r="AP5" s="795"/>
      <c r="AQ5" s="141">
        <v>1</v>
      </c>
      <c r="AR5" s="794" t="s">
        <v>156</v>
      </c>
      <c r="AS5" s="796"/>
      <c r="AT5" s="11" t="s">
        <v>157</v>
      </c>
      <c r="AU5" s="794" t="s">
        <v>158</v>
      </c>
      <c r="AV5" s="795"/>
      <c r="AW5" s="141">
        <v>1</v>
      </c>
      <c r="AX5" s="794" t="s">
        <v>156</v>
      </c>
      <c r="AY5" s="796"/>
      <c r="AZ5" s="11" t="s">
        <v>157</v>
      </c>
      <c r="BA5" s="794" t="s">
        <v>158</v>
      </c>
      <c r="BB5" s="795"/>
      <c r="BC5" s="141">
        <v>1</v>
      </c>
      <c r="BD5" s="794" t="s">
        <v>156</v>
      </c>
      <c r="BE5" s="796"/>
      <c r="BF5" s="11" t="s">
        <v>157</v>
      </c>
      <c r="BG5" s="794" t="s">
        <v>158</v>
      </c>
      <c r="BH5" s="795"/>
      <c r="BI5" s="141">
        <v>1</v>
      </c>
      <c r="BJ5" s="794" t="s">
        <v>156</v>
      </c>
      <c r="BK5" s="796"/>
      <c r="BL5" s="11" t="s">
        <v>157</v>
      </c>
      <c r="BM5" s="794" t="s">
        <v>158</v>
      </c>
      <c r="BN5" s="795"/>
      <c r="BO5" s="141">
        <v>1</v>
      </c>
      <c r="BP5" s="794" t="s">
        <v>156</v>
      </c>
      <c r="BQ5" s="796"/>
      <c r="BR5" s="11" t="s">
        <v>157</v>
      </c>
      <c r="BS5" s="794" t="s">
        <v>158</v>
      </c>
      <c r="BT5" s="795"/>
      <c r="BU5" s="141">
        <v>1</v>
      </c>
      <c r="BV5" s="794" t="s">
        <v>156</v>
      </c>
      <c r="BW5" s="796"/>
      <c r="BX5" s="11" t="s">
        <v>157</v>
      </c>
      <c r="BY5" s="794" t="s">
        <v>158</v>
      </c>
      <c r="BZ5" s="795"/>
      <c r="CA5" s="141">
        <v>1</v>
      </c>
      <c r="CB5" s="794" t="s">
        <v>156</v>
      </c>
      <c r="CC5" s="796"/>
      <c r="CD5" s="11" t="s">
        <v>157</v>
      </c>
      <c r="CE5" s="794" t="s">
        <v>158</v>
      </c>
      <c r="CF5" s="795"/>
      <c r="CG5" s="141">
        <v>1</v>
      </c>
      <c r="CH5" s="794" t="s">
        <v>156</v>
      </c>
      <c r="CI5" s="796"/>
      <c r="CJ5" s="11" t="s">
        <v>157</v>
      </c>
      <c r="CK5" s="794" t="s">
        <v>158</v>
      </c>
      <c r="CL5" s="795"/>
    </row>
    <row r="6" spans="2:90" ht="15" hidden="1" x14ac:dyDescent="0.2">
      <c r="C6" s="829"/>
      <c r="D6" s="832"/>
      <c r="E6" s="837"/>
      <c r="F6" s="838"/>
      <c r="G6" s="142">
        <v>2</v>
      </c>
      <c r="H6" s="797" t="s">
        <v>159</v>
      </c>
      <c r="I6" s="798"/>
      <c r="J6" s="10"/>
      <c r="K6" s="10"/>
      <c r="L6" s="9"/>
      <c r="M6" s="142">
        <v>2</v>
      </c>
      <c r="N6" s="797" t="s">
        <v>159</v>
      </c>
      <c r="O6" s="798"/>
      <c r="P6" s="10"/>
      <c r="Q6" s="10"/>
      <c r="R6" s="9"/>
      <c r="S6" s="142">
        <v>2</v>
      </c>
      <c r="T6" s="797" t="s">
        <v>159</v>
      </c>
      <c r="U6" s="798"/>
      <c r="V6" s="10"/>
      <c r="W6" s="10"/>
      <c r="X6" s="9"/>
      <c r="Y6" s="142">
        <v>2</v>
      </c>
      <c r="Z6" s="797" t="s">
        <v>159</v>
      </c>
      <c r="AA6" s="798"/>
      <c r="AB6" s="10"/>
      <c r="AC6" s="10"/>
      <c r="AD6" s="9"/>
      <c r="AE6" s="142">
        <v>2</v>
      </c>
      <c r="AF6" s="797" t="s">
        <v>159</v>
      </c>
      <c r="AG6" s="798"/>
      <c r="AH6" s="10"/>
      <c r="AI6" s="10"/>
      <c r="AJ6" s="9"/>
      <c r="AK6" s="142">
        <v>2</v>
      </c>
      <c r="AL6" s="797" t="s">
        <v>159</v>
      </c>
      <c r="AM6" s="798"/>
      <c r="AN6" s="10"/>
      <c r="AO6" s="10"/>
      <c r="AP6" s="9"/>
      <c r="AQ6" s="142">
        <v>2</v>
      </c>
      <c r="AR6" s="797" t="s">
        <v>159</v>
      </c>
      <c r="AS6" s="798"/>
      <c r="AT6" s="10"/>
      <c r="AU6" s="10"/>
      <c r="AV6" s="9"/>
      <c r="AW6" s="142">
        <v>2</v>
      </c>
      <c r="AX6" s="797" t="s">
        <v>159</v>
      </c>
      <c r="AY6" s="798"/>
      <c r="AZ6" s="10"/>
      <c r="BA6" s="10"/>
      <c r="BB6" s="9"/>
      <c r="BC6" s="142">
        <v>2</v>
      </c>
      <c r="BD6" s="797" t="s">
        <v>159</v>
      </c>
      <c r="BE6" s="798"/>
      <c r="BF6" s="10"/>
      <c r="BG6" s="10"/>
      <c r="BH6" s="9"/>
      <c r="BI6" s="142">
        <v>2</v>
      </c>
      <c r="BJ6" s="797" t="s">
        <v>159</v>
      </c>
      <c r="BK6" s="798"/>
      <c r="BL6" s="10"/>
      <c r="BM6" s="10"/>
      <c r="BN6" s="9"/>
      <c r="BO6" s="142">
        <v>2</v>
      </c>
      <c r="BP6" s="797" t="s">
        <v>159</v>
      </c>
      <c r="BQ6" s="798"/>
      <c r="BR6" s="10"/>
      <c r="BS6" s="10"/>
      <c r="BT6" s="9"/>
      <c r="BU6" s="142">
        <v>2</v>
      </c>
      <c r="BV6" s="797" t="s">
        <v>159</v>
      </c>
      <c r="BW6" s="798"/>
      <c r="BX6" s="10"/>
      <c r="BY6" s="10"/>
      <c r="BZ6" s="9"/>
      <c r="CA6" s="142">
        <v>2</v>
      </c>
      <c r="CB6" s="797" t="s">
        <v>159</v>
      </c>
      <c r="CC6" s="798"/>
      <c r="CD6" s="10"/>
      <c r="CE6" s="10"/>
      <c r="CF6" s="9"/>
      <c r="CG6" s="142">
        <v>2</v>
      </c>
      <c r="CH6" s="797" t="s">
        <v>159</v>
      </c>
      <c r="CI6" s="798"/>
      <c r="CJ6" s="10"/>
      <c r="CK6" s="10"/>
      <c r="CL6" s="9"/>
    </row>
    <row r="7" spans="2:90" ht="46.5" customHeight="1" x14ac:dyDescent="0.2">
      <c r="B7" s="742" t="s">
        <v>61</v>
      </c>
      <c r="C7" s="743"/>
      <c r="D7" s="6"/>
      <c r="E7" s="817" t="s">
        <v>62</v>
      </c>
      <c r="F7" s="818"/>
      <c r="G7" s="8" t="s">
        <v>64</v>
      </c>
      <c r="H7" s="143"/>
      <c r="I7" s="7" t="s">
        <v>160</v>
      </c>
      <c r="J7" s="6" t="s">
        <v>161</v>
      </c>
      <c r="K7" s="5" t="s">
        <v>162</v>
      </c>
      <c r="L7" s="5" t="s">
        <v>163</v>
      </c>
      <c r="M7" s="8" t="s">
        <v>64</v>
      </c>
      <c r="N7" s="143"/>
      <c r="O7" s="7" t="s">
        <v>160</v>
      </c>
      <c r="P7" s="6" t="s">
        <v>161</v>
      </c>
      <c r="Q7" s="5" t="s">
        <v>162</v>
      </c>
      <c r="R7" s="5" t="s">
        <v>163</v>
      </c>
      <c r="S7" s="8" t="s">
        <v>64</v>
      </c>
      <c r="T7" s="143"/>
      <c r="U7" s="7" t="s">
        <v>160</v>
      </c>
      <c r="V7" s="6" t="s">
        <v>161</v>
      </c>
      <c r="W7" s="5" t="s">
        <v>162</v>
      </c>
      <c r="X7" s="5" t="s">
        <v>163</v>
      </c>
      <c r="Y7" s="8" t="s">
        <v>64</v>
      </c>
      <c r="Z7" s="143"/>
      <c r="AA7" s="7" t="s">
        <v>160</v>
      </c>
      <c r="AB7" s="6" t="s">
        <v>161</v>
      </c>
      <c r="AC7" s="5" t="s">
        <v>162</v>
      </c>
      <c r="AD7" s="5" t="s">
        <v>163</v>
      </c>
      <c r="AE7" s="8" t="s">
        <v>64</v>
      </c>
      <c r="AF7" s="143"/>
      <c r="AG7" s="7" t="s">
        <v>160</v>
      </c>
      <c r="AH7" s="6" t="s">
        <v>161</v>
      </c>
      <c r="AI7" s="5" t="s">
        <v>162</v>
      </c>
      <c r="AJ7" s="5" t="s">
        <v>163</v>
      </c>
      <c r="AK7" s="8" t="s">
        <v>64</v>
      </c>
      <c r="AL7" s="143"/>
      <c r="AM7" s="7" t="s">
        <v>160</v>
      </c>
      <c r="AN7" s="6" t="s">
        <v>161</v>
      </c>
      <c r="AO7" s="5" t="s">
        <v>162</v>
      </c>
      <c r="AP7" s="5" t="s">
        <v>163</v>
      </c>
      <c r="AQ7" s="8" t="s">
        <v>64</v>
      </c>
      <c r="AR7" s="143"/>
      <c r="AS7" s="7" t="s">
        <v>160</v>
      </c>
      <c r="AT7" s="6" t="s">
        <v>161</v>
      </c>
      <c r="AU7" s="5" t="s">
        <v>162</v>
      </c>
      <c r="AV7" s="5" t="s">
        <v>163</v>
      </c>
      <c r="AW7" s="8" t="s">
        <v>64</v>
      </c>
      <c r="AX7" s="143"/>
      <c r="AY7" s="7" t="s">
        <v>160</v>
      </c>
      <c r="AZ7" s="6" t="s">
        <v>161</v>
      </c>
      <c r="BA7" s="5" t="s">
        <v>162</v>
      </c>
      <c r="BB7" s="5" t="s">
        <v>163</v>
      </c>
      <c r="BC7" s="8" t="s">
        <v>64</v>
      </c>
      <c r="BD7" s="143"/>
      <c r="BE7" s="7" t="s">
        <v>160</v>
      </c>
      <c r="BF7" s="6" t="s">
        <v>161</v>
      </c>
      <c r="BG7" s="5" t="s">
        <v>162</v>
      </c>
      <c r="BH7" s="5" t="s">
        <v>163</v>
      </c>
      <c r="BI7" s="8" t="s">
        <v>64</v>
      </c>
      <c r="BJ7" s="143"/>
      <c r="BK7" s="7" t="s">
        <v>160</v>
      </c>
      <c r="BL7" s="6" t="s">
        <v>161</v>
      </c>
      <c r="BM7" s="5" t="s">
        <v>162</v>
      </c>
      <c r="BN7" s="5" t="s">
        <v>163</v>
      </c>
      <c r="BO7" s="8" t="s">
        <v>64</v>
      </c>
      <c r="BP7" s="143"/>
      <c r="BQ7" s="7" t="s">
        <v>160</v>
      </c>
      <c r="BR7" s="6" t="s">
        <v>161</v>
      </c>
      <c r="BS7" s="5" t="s">
        <v>162</v>
      </c>
      <c r="BT7" s="5" t="s">
        <v>163</v>
      </c>
      <c r="BU7" s="8" t="s">
        <v>64</v>
      </c>
      <c r="BV7" s="143"/>
      <c r="BW7" s="7" t="s">
        <v>160</v>
      </c>
      <c r="BX7" s="6" t="s">
        <v>161</v>
      </c>
      <c r="BY7" s="5" t="s">
        <v>162</v>
      </c>
      <c r="BZ7" s="5" t="s">
        <v>163</v>
      </c>
      <c r="CA7" s="8" t="s">
        <v>64</v>
      </c>
      <c r="CB7" s="143"/>
      <c r="CC7" s="7" t="s">
        <v>160</v>
      </c>
      <c r="CD7" s="6" t="s">
        <v>161</v>
      </c>
      <c r="CE7" s="5" t="s">
        <v>162</v>
      </c>
      <c r="CF7" s="5" t="s">
        <v>163</v>
      </c>
      <c r="CG7" s="8" t="s">
        <v>64</v>
      </c>
      <c r="CH7" s="143"/>
      <c r="CI7" s="7" t="s">
        <v>160</v>
      </c>
      <c r="CJ7" s="6" t="s">
        <v>161</v>
      </c>
      <c r="CK7" s="5" t="s">
        <v>162</v>
      </c>
      <c r="CL7" s="5" t="s">
        <v>163</v>
      </c>
    </row>
    <row r="8" spans="2:90" ht="46.5" hidden="1" customHeight="1" x14ac:dyDescent="0.2">
      <c r="B8" s="5"/>
      <c r="C8" s="5"/>
      <c r="D8" s="5"/>
      <c r="E8" s="5"/>
      <c r="F8" s="5"/>
      <c r="G8" s="475"/>
      <c r="H8" s="143"/>
      <c r="I8" s="5"/>
      <c r="J8" s="5"/>
      <c r="K8" s="5"/>
      <c r="L8" s="5"/>
      <c r="M8" s="475"/>
      <c r="N8" s="143"/>
      <c r="O8" s="5"/>
      <c r="P8" s="5"/>
      <c r="Q8" s="5"/>
      <c r="R8" s="5"/>
      <c r="S8" s="475"/>
      <c r="T8" s="143"/>
      <c r="U8" s="5"/>
      <c r="V8" s="5"/>
      <c r="W8" s="5"/>
      <c r="X8" s="5"/>
      <c r="Y8" s="475"/>
      <c r="Z8" s="143"/>
      <c r="AA8" s="5"/>
      <c r="AB8" s="5"/>
      <c r="AC8" s="5"/>
      <c r="AD8" s="5"/>
      <c r="AE8" s="475"/>
      <c r="AF8" s="143"/>
      <c r="AG8" s="5"/>
      <c r="AH8" s="5"/>
      <c r="AI8" s="5"/>
      <c r="AJ8" s="5"/>
      <c r="AK8" s="475"/>
      <c r="AL8" s="143"/>
      <c r="AM8" s="5"/>
      <c r="AN8" s="5"/>
      <c r="AO8" s="5"/>
      <c r="AP8" s="5"/>
      <c r="AQ8" s="475"/>
      <c r="AR8" s="143"/>
      <c r="AS8" s="5"/>
      <c r="AT8" s="5"/>
      <c r="AU8" s="5"/>
      <c r="AV8" s="5"/>
      <c r="AW8" s="475"/>
      <c r="AX8" s="143"/>
      <c r="AY8" s="5"/>
      <c r="AZ8" s="5"/>
      <c r="BA8" s="5"/>
      <c r="BB8" s="5"/>
      <c r="BC8" s="475"/>
      <c r="BD8" s="143"/>
      <c r="BE8" s="5"/>
      <c r="BF8" s="5"/>
      <c r="BG8" s="5"/>
      <c r="BH8" s="5"/>
      <c r="BI8" s="475"/>
      <c r="BJ8" s="143"/>
      <c r="BK8" s="5"/>
      <c r="BL8" s="5"/>
      <c r="BM8" s="5"/>
      <c r="BN8" s="5"/>
      <c r="BO8" s="475"/>
      <c r="BP8" s="143"/>
      <c r="BQ8" s="5"/>
      <c r="BR8" s="5"/>
      <c r="BS8" s="5"/>
      <c r="BT8" s="5"/>
      <c r="BU8" s="475"/>
      <c r="BV8" s="143"/>
      <c r="BW8" s="5"/>
      <c r="BX8" s="5"/>
      <c r="BY8" s="5"/>
      <c r="BZ8" s="5"/>
      <c r="CA8" s="475"/>
      <c r="CB8" s="143"/>
      <c r="CC8" s="5"/>
      <c r="CD8" s="5"/>
      <c r="CE8" s="5"/>
      <c r="CF8" s="5"/>
      <c r="CG8" s="8"/>
      <c r="CH8" s="143"/>
      <c r="CI8" s="5"/>
      <c r="CJ8" s="5"/>
      <c r="CK8" s="5"/>
      <c r="CL8" s="5"/>
    </row>
    <row r="9" spans="2:90" ht="46.5" hidden="1" customHeight="1" x14ac:dyDescent="0.2">
      <c r="B9" s="5"/>
      <c r="C9" s="5"/>
      <c r="D9" s="5"/>
      <c r="E9" s="5"/>
      <c r="F9" s="5"/>
      <c r="G9" s="475"/>
      <c r="H9" s="143"/>
      <c r="I9" s="5"/>
      <c r="J9" s="5"/>
      <c r="K9" s="5"/>
      <c r="L9" s="5"/>
      <c r="M9" s="475"/>
      <c r="N9" s="143"/>
      <c r="O9" s="5"/>
      <c r="P9" s="5"/>
      <c r="Q9" s="5"/>
      <c r="R9" s="5"/>
      <c r="S9" s="475"/>
      <c r="T9" s="143"/>
      <c r="U9" s="5"/>
      <c r="V9" s="5"/>
      <c r="W9" s="5"/>
      <c r="X9" s="5"/>
      <c r="Y9" s="475"/>
      <c r="Z9" s="143"/>
      <c r="AA9" s="5"/>
      <c r="AB9" s="5"/>
      <c r="AC9" s="5"/>
      <c r="AD9" s="5"/>
      <c r="AE9" s="475"/>
      <c r="AF9" s="143"/>
      <c r="AG9" s="5"/>
      <c r="AH9" s="5"/>
      <c r="AI9" s="5"/>
      <c r="AJ9" s="5"/>
      <c r="AK9" s="475"/>
      <c r="AL9" s="143"/>
      <c r="AM9" s="5"/>
      <c r="AN9" s="5"/>
      <c r="AO9" s="5"/>
      <c r="AP9" s="5"/>
      <c r="AQ9" s="475"/>
      <c r="AR9" s="143"/>
      <c r="AS9" s="5"/>
      <c r="AT9" s="5"/>
      <c r="AU9" s="5"/>
      <c r="AV9" s="5"/>
      <c r="AW9" s="475"/>
      <c r="AX9" s="143"/>
      <c r="AY9" s="5"/>
      <c r="AZ9" s="5"/>
      <c r="BA9" s="5"/>
      <c r="BB9" s="5"/>
      <c r="BC9" s="475"/>
      <c r="BD9" s="143"/>
      <c r="BE9" s="5"/>
      <c r="BF9" s="5"/>
      <c r="BG9" s="5"/>
      <c r="BH9" s="5"/>
      <c r="BI9" s="475"/>
      <c r="BJ9" s="143"/>
      <c r="BK9" s="5"/>
      <c r="BL9" s="5"/>
      <c r="BM9" s="5"/>
      <c r="BN9" s="5"/>
      <c r="BO9" s="475"/>
      <c r="BP9" s="143"/>
      <c r="BQ9" s="5"/>
      <c r="BR9" s="5"/>
      <c r="BS9" s="5"/>
      <c r="BT9" s="5"/>
      <c r="BU9" s="475"/>
      <c r="BV9" s="143"/>
      <c r="BW9" s="5"/>
      <c r="BX9" s="5"/>
      <c r="BY9" s="5"/>
      <c r="BZ9" s="5"/>
      <c r="CA9" s="475"/>
      <c r="CB9" s="143"/>
      <c r="CC9" s="5"/>
      <c r="CD9" s="5"/>
      <c r="CE9" s="5"/>
      <c r="CF9" s="5"/>
      <c r="CG9" s="8"/>
      <c r="CH9" s="143"/>
      <c r="CI9" s="5"/>
      <c r="CJ9" s="5"/>
      <c r="CK9" s="5"/>
      <c r="CL9" s="5"/>
    </row>
    <row r="10" spans="2:90" ht="13.5" customHeight="1" x14ac:dyDescent="0.2">
      <c r="B10" s="361" t="s">
        <v>164</v>
      </c>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9"/>
      <c r="CH10" s="59"/>
      <c r="CI10" s="59"/>
      <c r="CJ10" s="59"/>
      <c r="CK10" s="59"/>
      <c r="CL10" s="59"/>
    </row>
    <row r="11" spans="2:90" ht="36" customHeight="1" outlineLevel="1" x14ac:dyDescent="0.2">
      <c r="B11" s="386" t="s">
        <v>165</v>
      </c>
      <c r="C11" s="819" t="s">
        <v>166</v>
      </c>
      <c r="D11" s="221" t="s">
        <v>167</v>
      </c>
      <c r="E11" s="753" t="s">
        <v>168</v>
      </c>
      <c r="F11" s="753"/>
      <c r="G11" s="222">
        <v>1</v>
      </c>
      <c r="H11" s="720">
        <f>SUM(G11:G16)</f>
        <v>8</v>
      </c>
      <c r="I11" s="223" t="s">
        <v>169</v>
      </c>
      <c r="J11" s="223"/>
      <c r="K11" s="225"/>
      <c r="L11" s="225"/>
      <c r="M11" s="222">
        <v>1</v>
      </c>
      <c r="N11" s="720">
        <f>SUM(M11:M16)</f>
        <v>10</v>
      </c>
      <c r="O11" s="223" t="s">
        <v>170</v>
      </c>
      <c r="P11" s="226"/>
      <c r="Q11" s="226"/>
      <c r="R11" s="347"/>
      <c r="S11" s="222">
        <v>1</v>
      </c>
      <c r="T11" s="720">
        <v>9</v>
      </c>
      <c r="U11" s="223"/>
      <c r="V11" s="224" t="s">
        <v>171</v>
      </c>
      <c r="W11" s="225"/>
      <c r="X11" s="225"/>
      <c r="Y11" s="222">
        <v>2</v>
      </c>
      <c r="Z11" s="720">
        <v>7</v>
      </c>
      <c r="AA11" s="223"/>
      <c r="AB11" s="226" t="s">
        <v>172</v>
      </c>
      <c r="AC11" s="227"/>
      <c r="AD11" s="227"/>
      <c r="AE11" s="222">
        <v>2</v>
      </c>
      <c r="AF11" s="858">
        <f>SUM(AE11:AE16)</f>
        <v>9</v>
      </c>
      <c r="AG11" s="410"/>
      <c r="AH11" s="393"/>
      <c r="AI11" s="225"/>
      <c r="AJ11" s="225"/>
      <c r="AK11" s="222">
        <v>1</v>
      </c>
      <c r="AL11" s="720">
        <v>7</v>
      </c>
      <c r="AM11" s="224"/>
      <c r="AN11" s="225"/>
      <c r="AO11" s="225"/>
      <c r="AP11" s="225"/>
      <c r="AQ11" s="222">
        <v>2</v>
      </c>
      <c r="AR11" s="720">
        <f>SUM(AQ11:AQ16)</f>
        <v>11</v>
      </c>
      <c r="AS11" s="225"/>
      <c r="AT11" s="224"/>
      <c r="AU11" s="225"/>
      <c r="AV11" s="225"/>
      <c r="AW11" s="222">
        <v>1</v>
      </c>
      <c r="AX11" s="720">
        <f>SUM(AW11:AW16)</f>
        <v>9</v>
      </c>
      <c r="AY11" s="225"/>
      <c r="AZ11" s="225" t="s">
        <v>173</v>
      </c>
      <c r="BA11" s="225"/>
      <c r="BB11" s="225"/>
      <c r="BC11" s="222">
        <v>2</v>
      </c>
      <c r="BD11" s="720">
        <f>SUM(BC11:BC16)</f>
        <v>11</v>
      </c>
      <c r="BE11" s="225"/>
      <c r="BF11" s="224"/>
      <c r="BG11" s="225"/>
      <c r="BH11" s="225"/>
      <c r="BI11" s="222">
        <v>2</v>
      </c>
      <c r="BJ11" s="720">
        <f>SUM(BI11:BI16)</f>
        <v>12</v>
      </c>
      <c r="BK11" s="225"/>
      <c r="BL11" s="224"/>
      <c r="BM11" s="225"/>
      <c r="BN11" s="225"/>
      <c r="BO11" s="222"/>
      <c r="BP11" s="720">
        <v>12</v>
      </c>
      <c r="BQ11" s="225"/>
      <c r="BR11" s="224"/>
      <c r="BS11" s="225"/>
      <c r="BT11" s="225"/>
      <c r="BU11" s="222"/>
      <c r="BV11" s="720">
        <v>11</v>
      </c>
      <c r="BW11" s="225"/>
      <c r="BX11" s="224"/>
      <c r="BY11" s="225"/>
      <c r="BZ11" s="225"/>
      <c r="CA11" s="222"/>
      <c r="CB11" s="720">
        <f>SUM(CA11:CA16)</f>
        <v>0</v>
      </c>
      <c r="CC11" s="228"/>
      <c r="CD11" s="445"/>
      <c r="CE11" s="225"/>
      <c r="CF11" s="225"/>
      <c r="CG11" s="229"/>
      <c r="CH11" s="788">
        <f>SUM(CG11:CG16)</f>
        <v>0</v>
      </c>
      <c r="CI11" s="144"/>
      <c r="CJ11" s="224"/>
      <c r="CK11" s="146"/>
      <c r="CL11" s="146"/>
    </row>
    <row r="12" spans="2:90" ht="97.5" customHeight="1" outlineLevel="1" x14ac:dyDescent="0.2">
      <c r="B12" s="387" t="s">
        <v>174</v>
      </c>
      <c r="C12" s="820"/>
      <c r="D12" s="207" t="s">
        <v>175</v>
      </c>
      <c r="E12" s="782" t="s">
        <v>176</v>
      </c>
      <c r="F12" s="782"/>
      <c r="G12" s="197">
        <v>1</v>
      </c>
      <c r="H12" s="721"/>
      <c r="I12" s="149" t="s">
        <v>177</v>
      </c>
      <c r="J12" s="149"/>
      <c r="K12" s="149"/>
      <c r="L12" s="149"/>
      <c r="M12" s="197">
        <v>1</v>
      </c>
      <c r="N12" s="721"/>
      <c r="O12" s="348" t="s">
        <v>178</v>
      </c>
      <c r="P12" s="167"/>
      <c r="Q12" s="167"/>
      <c r="R12" s="348"/>
      <c r="S12" s="197">
        <v>2</v>
      </c>
      <c r="T12" s="721"/>
      <c r="U12" s="149"/>
      <c r="V12" s="148"/>
      <c r="W12" s="149"/>
      <c r="X12" s="149"/>
      <c r="Y12" s="197">
        <v>2</v>
      </c>
      <c r="Z12" s="721"/>
      <c r="AA12" s="179"/>
      <c r="AB12" s="167"/>
      <c r="AC12" s="179"/>
      <c r="AD12" s="179"/>
      <c r="AE12" s="197">
        <v>1</v>
      </c>
      <c r="AF12" s="859"/>
      <c r="AG12" s="392" t="s">
        <v>179</v>
      </c>
      <c r="AH12" s="394"/>
      <c r="AI12" s="149"/>
      <c r="AJ12" s="149"/>
      <c r="AK12" s="197">
        <v>1</v>
      </c>
      <c r="AL12" s="721"/>
      <c r="AN12" s="148"/>
      <c r="AO12" s="149"/>
      <c r="AP12" s="149"/>
      <c r="AQ12" s="197">
        <v>2</v>
      </c>
      <c r="AR12" s="721"/>
      <c r="AS12" s="149"/>
      <c r="AT12" s="148"/>
      <c r="AU12" s="149"/>
      <c r="AV12" s="149"/>
      <c r="AW12" s="197">
        <v>2</v>
      </c>
      <c r="AX12" s="721"/>
      <c r="AY12" s="149"/>
      <c r="AZ12" s="148"/>
      <c r="BA12" s="149"/>
      <c r="BB12" s="149"/>
      <c r="BC12" s="197">
        <v>2</v>
      </c>
      <c r="BD12" s="721"/>
      <c r="BE12" s="149"/>
      <c r="BF12" s="148"/>
      <c r="BG12" s="149"/>
      <c r="BH12" s="149"/>
      <c r="BI12" s="197">
        <v>2</v>
      </c>
      <c r="BJ12" s="721"/>
      <c r="BK12" s="149"/>
      <c r="BL12" s="148"/>
      <c r="BM12" s="149"/>
      <c r="BN12" s="149"/>
      <c r="BO12" s="197"/>
      <c r="BP12" s="721"/>
      <c r="BQ12" s="149"/>
      <c r="BR12" s="148"/>
      <c r="BS12" s="149"/>
      <c r="BT12" s="149"/>
      <c r="BU12" s="197"/>
      <c r="BV12" s="721"/>
      <c r="BW12" s="149"/>
      <c r="BX12" s="148"/>
      <c r="BY12" s="149"/>
      <c r="BZ12" s="149"/>
      <c r="CA12" s="197"/>
      <c r="CB12" s="721"/>
      <c r="CC12" s="199"/>
      <c r="CD12" s="148"/>
      <c r="CE12" s="149"/>
      <c r="CF12" s="149"/>
      <c r="CG12" s="230"/>
      <c r="CH12" s="789"/>
      <c r="CI12" s="147"/>
      <c r="CJ12" s="148"/>
      <c r="CK12" s="149"/>
      <c r="CL12" s="149"/>
    </row>
    <row r="13" spans="2:90" ht="33.75" customHeight="1" outlineLevel="1" x14ac:dyDescent="0.2">
      <c r="B13" s="387" t="s">
        <v>180</v>
      </c>
      <c r="C13" s="820"/>
      <c r="D13" s="207" t="s">
        <v>181</v>
      </c>
      <c r="E13" s="782" t="s">
        <v>182</v>
      </c>
      <c r="F13" s="782"/>
      <c r="G13" s="197">
        <v>2</v>
      </c>
      <c r="H13" s="721"/>
      <c r="I13" s="149"/>
      <c r="J13" s="148"/>
      <c r="K13" s="149"/>
      <c r="L13" s="149"/>
      <c r="M13" s="197">
        <v>2</v>
      </c>
      <c r="N13" s="721"/>
      <c r="O13" s="348"/>
      <c r="P13" s="167"/>
      <c r="Q13" s="167"/>
      <c r="R13" s="348"/>
      <c r="S13" s="197">
        <v>2</v>
      </c>
      <c r="T13" s="721"/>
      <c r="U13" s="149"/>
      <c r="V13" s="148"/>
      <c r="W13" s="149"/>
      <c r="X13" s="149"/>
      <c r="Y13" s="197">
        <v>2</v>
      </c>
      <c r="Z13" s="721"/>
      <c r="AA13" s="179"/>
      <c r="AB13" s="167"/>
      <c r="AC13" s="179"/>
      <c r="AD13" s="179"/>
      <c r="AE13" s="197">
        <v>2</v>
      </c>
      <c r="AF13" s="721"/>
      <c r="AG13" s="391"/>
      <c r="AH13" s="148"/>
      <c r="AI13" s="149"/>
      <c r="AJ13" s="149"/>
      <c r="AK13" s="197">
        <v>2</v>
      </c>
      <c r="AL13" s="721"/>
      <c r="AM13" s="149"/>
      <c r="AN13" s="148"/>
      <c r="AO13" s="149"/>
      <c r="AP13" s="149"/>
      <c r="AQ13" s="197">
        <v>2</v>
      </c>
      <c r="AR13" s="721"/>
      <c r="AS13" s="149"/>
      <c r="AT13" s="148"/>
      <c r="AV13" s="149"/>
      <c r="AW13" s="197">
        <v>2</v>
      </c>
      <c r="AX13" s="721"/>
      <c r="AY13" s="149"/>
      <c r="AZ13" s="148"/>
      <c r="BA13" s="149"/>
      <c r="BB13" s="149"/>
      <c r="BC13" s="197">
        <v>2</v>
      </c>
      <c r="BD13" s="721"/>
      <c r="BE13" s="149"/>
      <c r="BF13" s="148"/>
      <c r="BG13" s="149"/>
      <c r="BH13" s="149"/>
      <c r="BI13" s="197">
        <v>2</v>
      </c>
      <c r="BJ13" s="721"/>
      <c r="BK13" s="149"/>
      <c r="BL13" s="148"/>
      <c r="BM13" s="149"/>
      <c r="BN13" s="149"/>
      <c r="BO13" s="197"/>
      <c r="BP13" s="721"/>
      <c r="BQ13" s="149"/>
      <c r="BR13" s="148"/>
      <c r="BS13" s="149"/>
      <c r="BT13" s="149"/>
      <c r="BU13" s="197"/>
      <c r="BV13" s="721"/>
      <c r="BW13" s="149"/>
      <c r="BX13" s="148"/>
      <c r="BY13" s="149"/>
      <c r="BZ13" s="149"/>
      <c r="CA13" s="197"/>
      <c r="CB13" s="721"/>
      <c r="CC13" s="179"/>
      <c r="CD13" s="148"/>
      <c r="CE13" s="149"/>
      <c r="CF13" s="149"/>
      <c r="CG13" s="230"/>
      <c r="CH13" s="789"/>
      <c r="CI13" s="147"/>
      <c r="CJ13" s="148"/>
      <c r="CK13" s="149"/>
      <c r="CL13" s="149"/>
    </row>
    <row r="14" spans="2:90" ht="45.75" customHeight="1" outlineLevel="1" x14ac:dyDescent="0.2">
      <c r="B14" s="387" t="s">
        <v>183</v>
      </c>
      <c r="C14" s="820"/>
      <c r="D14" s="207" t="s">
        <v>184</v>
      </c>
      <c r="E14" s="782" t="s">
        <v>185</v>
      </c>
      <c r="F14" s="782"/>
      <c r="G14" s="197">
        <v>1</v>
      </c>
      <c r="H14" s="721"/>
      <c r="I14" s="149" t="s">
        <v>186</v>
      </c>
      <c r="J14" s="148"/>
      <c r="K14" s="149"/>
      <c r="L14" s="149"/>
      <c r="M14" s="197">
        <v>2</v>
      </c>
      <c r="N14" s="721"/>
      <c r="O14" s="167"/>
      <c r="P14" s="348"/>
      <c r="Q14" s="167"/>
      <c r="R14" s="348"/>
      <c r="S14" s="197">
        <v>2</v>
      </c>
      <c r="T14" s="721"/>
      <c r="U14" s="149"/>
      <c r="V14" s="148"/>
      <c r="W14" s="149"/>
      <c r="X14" s="149"/>
      <c r="Y14" s="197">
        <v>1</v>
      </c>
      <c r="Z14" s="721"/>
      <c r="AA14" s="179"/>
      <c r="AB14" s="167" t="s">
        <v>187</v>
      </c>
      <c r="AC14" s="179"/>
      <c r="AD14" s="179"/>
      <c r="AE14" s="197">
        <v>0</v>
      </c>
      <c r="AF14" s="721"/>
      <c r="AG14" s="149" t="s">
        <v>188</v>
      </c>
      <c r="AH14" s="148"/>
      <c r="AI14" s="149"/>
      <c r="AJ14" s="149"/>
      <c r="AK14" s="197">
        <v>1</v>
      </c>
      <c r="AL14" s="721"/>
      <c r="AM14" s="149"/>
      <c r="AN14" s="188"/>
      <c r="AO14" s="149"/>
      <c r="AP14" s="149"/>
      <c r="AQ14" s="197">
        <v>2</v>
      </c>
      <c r="AR14" s="721"/>
      <c r="AS14" s="149"/>
      <c r="AU14" s="149"/>
      <c r="AV14" s="149"/>
      <c r="AW14" s="197">
        <v>1</v>
      </c>
      <c r="AX14" s="721"/>
      <c r="AY14" s="149"/>
      <c r="AZ14" s="149" t="s">
        <v>189</v>
      </c>
      <c r="BA14" s="149"/>
      <c r="BB14" s="149"/>
      <c r="BC14" s="197">
        <v>2</v>
      </c>
      <c r="BD14" s="721"/>
      <c r="BE14" s="149"/>
      <c r="BF14" s="148"/>
      <c r="BG14" s="149"/>
      <c r="BH14" s="149"/>
      <c r="BI14" s="197">
        <v>2</v>
      </c>
      <c r="BJ14" s="721"/>
      <c r="BK14" s="149"/>
      <c r="BL14" s="148"/>
      <c r="BM14" s="149"/>
      <c r="BN14" s="149"/>
      <c r="BO14" s="197"/>
      <c r="BP14" s="721"/>
      <c r="BQ14" s="149"/>
      <c r="BR14" s="148"/>
      <c r="BS14" s="149"/>
      <c r="BT14" s="149"/>
      <c r="BU14" s="197"/>
      <c r="BV14" s="721"/>
      <c r="BW14" s="149"/>
      <c r="BX14" s="148"/>
      <c r="BY14" s="149"/>
      <c r="BZ14" s="149"/>
      <c r="CA14" s="197"/>
      <c r="CB14" s="721"/>
      <c r="CC14" s="199"/>
      <c r="CD14" s="148"/>
      <c r="CE14" s="149"/>
      <c r="CF14" s="149"/>
      <c r="CG14" s="230"/>
      <c r="CH14" s="789"/>
      <c r="CI14" s="147"/>
      <c r="CJ14" s="148"/>
      <c r="CK14" s="149"/>
      <c r="CL14" s="149"/>
    </row>
    <row r="15" spans="2:90" ht="46.5" customHeight="1" outlineLevel="1" x14ac:dyDescent="0.2">
      <c r="B15" s="387" t="s">
        <v>190</v>
      </c>
      <c r="C15" s="820"/>
      <c r="D15" s="207" t="s">
        <v>191</v>
      </c>
      <c r="E15" s="782" t="s">
        <v>192</v>
      </c>
      <c r="F15" s="782"/>
      <c r="G15" s="197">
        <v>2</v>
      </c>
      <c r="H15" s="721"/>
      <c r="I15" s="198"/>
      <c r="J15" s="148"/>
      <c r="K15" s="149"/>
      <c r="L15" s="149"/>
      <c r="M15" s="197">
        <v>2</v>
      </c>
      <c r="N15" s="721"/>
      <c r="O15" s="348"/>
      <c r="P15" s="348"/>
      <c r="Q15" s="348"/>
      <c r="R15" s="348"/>
      <c r="S15" s="197">
        <v>0</v>
      </c>
      <c r="T15" s="721"/>
      <c r="U15" s="149"/>
      <c r="V15" s="148" t="s">
        <v>193</v>
      </c>
      <c r="W15" s="149"/>
      <c r="X15" s="149"/>
      <c r="Y15" s="197">
        <v>2</v>
      </c>
      <c r="Z15" s="721"/>
      <c r="AA15" s="179"/>
      <c r="AB15" s="167"/>
      <c r="AC15" s="179"/>
      <c r="AD15" s="179"/>
      <c r="AE15" s="197">
        <v>2</v>
      </c>
      <c r="AF15" s="721"/>
      <c r="AG15" s="149"/>
      <c r="AH15" s="148"/>
      <c r="AI15" s="149"/>
      <c r="AJ15" s="149"/>
      <c r="AK15" s="197">
        <v>1</v>
      </c>
      <c r="AL15" s="721"/>
      <c r="AM15" s="149"/>
      <c r="AN15" s="148"/>
      <c r="AO15" s="149"/>
      <c r="AP15" s="149"/>
      <c r="AQ15" s="197">
        <v>1</v>
      </c>
      <c r="AR15" s="721"/>
      <c r="AS15" s="149"/>
      <c r="AT15" s="149" t="s">
        <v>194</v>
      </c>
      <c r="AU15" s="149"/>
      <c r="AV15" s="149"/>
      <c r="AW15" s="197">
        <v>1</v>
      </c>
      <c r="AX15" s="721"/>
      <c r="AY15" s="149"/>
      <c r="AZ15" s="149" t="s">
        <v>195</v>
      </c>
      <c r="BA15" s="149"/>
      <c r="BB15" s="149"/>
      <c r="BC15" s="197">
        <v>1</v>
      </c>
      <c r="BD15" s="721"/>
      <c r="BE15" s="149" t="s">
        <v>196</v>
      </c>
      <c r="BF15" s="148"/>
      <c r="BG15" s="149"/>
      <c r="BH15" s="149"/>
      <c r="BI15" s="197">
        <v>2</v>
      </c>
      <c r="BJ15" s="721"/>
      <c r="BK15" s="149"/>
      <c r="BL15" s="148"/>
      <c r="BM15" s="149"/>
      <c r="BN15" s="149"/>
      <c r="BO15" s="197"/>
      <c r="BP15" s="721"/>
      <c r="BQ15" s="149"/>
      <c r="BR15" s="148"/>
      <c r="BS15" s="149"/>
      <c r="BT15" s="149"/>
      <c r="BU15" s="197"/>
      <c r="BV15" s="721"/>
      <c r="BW15" s="149"/>
      <c r="BX15" s="148"/>
      <c r="BY15" s="149"/>
      <c r="BZ15" s="149"/>
      <c r="CA15" s="197"/>
      <c r="CB15" s="721"/>
      <c r="CC15" s="199"/>
      <c r="CD15" s="167"/>
      <c r="CE15" s="226"/>
      <c r="CF15" s="149"/>
      <c r="CG15" s="230"/>
      <c r="CH15" s="789"/>
      <c r="CI15" s="147"/>
      <c r="CJ15" s="148"/>
      <c r="CK15" s="149"/>
      <c r="CL15" s="149"/>
    </row>
    <row r="16" spans="2:90" ht="62.25" customHeight="1" outlineLevel="1" x14ac:dyDescent="0.2">
      <c r="B16" s="388" t="s">
        <v>197</v>
      </c>
      <c r="C16" s="821"/>
      <c r="D16" s="231" t="s">
        <v>198</v>
      </c>
      <c r="E16" s="783" t="s">
        <v>199</v>
      </c>
      <c r="F16" s="783"/>
      <c r="G16" s="232">
        <v>1</v>
      </c>
      <c r="H16" s="722"/>
      <c r="I16" s="233" t="s">
        <v>200</v>
      </c>
      <c r="J16" s="234"/>
      <c r="K16" s="233"/>
      <c r="L16" s="233"/>
      <c r="M16" s="232">
        <v>2</v>
      </c>
      <c r="N16" s="722"/>
      <c r="O16" s="349"/>
      <c r="P16" s="349"/>
      <c r="Q16" s="349"/>
      <c r="R16" s="349"/>
      <c r="S16" s="232">
        <v>2</v>
      </c>
      <c r="T16" s="722"/>
      <c r="U16" s="233"/>
      <c r="V16" s="234"/>
      <c r="W16" s="233"/>
      <c r="X16" s="233"/>
      <c r="Y16" s="232">
        <v>2</v>
      </c>
      <c r="Z16" s="722"/>
      <c r="AA16" s="235"/>
      <c r="AB16" s="236"/>
      <c r="AC16" s="235"/>
      <c r="AD16" s="235"/>
      <c r="AE16" s="232">
        <v>2</v>
      </c>
      <c r="AF16" s="722"/>
      <c r="AG16" s="233"/>
      <c r="AH16" s="234"/>
      <c r="AI16" s="233"/>
      <c r="AJ16" s="233"/>
      <c r="AK16" s="232">
        <v>1</v>
      </c>
      <c r="AL16" s="722"/>
      <c r="AM16" s="233"/>
      <c r="AN16" s="234"/>
      <c r="AO16" s="233"/>
      <c r="AP16" s="233"/>
      <c r="AQ16" s="232">
        <v>2</v>
      </c>
      <c r="AR16" s="722"/>
      <c r="AS16" s="233"/>
      <c r="AT16" s="234"/>
      <c r="AU16" s="233"/>
      <c r="AV16" s="233"/>
      <c r="AW16" s="232">
        <v>2</v>
      </c>
      <c r="AX16" s="722"/>
      <c r="AY16" s="233"/>
      <c r="AZ16" s="234"/>
      <c r="BA16" s="233"/>
      <c r="BB16" s="233"/>
      <c r="BC16" s="232">
        <v>2</v>
      </c>
      <c r="BD16" s="722"/>
      <c r="BE16" s="233"/>
      <c r="BF16" s="234"/>
      <c r="BG16" s="233"/>
      <c r="BH16" s="233"/>
      <c r="BI16" s="232">
        <v>2</v>
      </c>
      <c r="BJ16" s="722"/>
      <c r="BK16" s="233"/>
      <c r="BL16" s="234"/>
      <c r="BM16" s="233"/>
      <c r="BN16" s="233"/>
      <c r="BO16" s="232"/>
      <c r="BP16" s="722"/>
      <c r="BQ16" s="233"/>
      <c r="BR16" s="234"/>
      <c r="BS16" s="233"/>
      <c r="BT16" s="233"/>
      <c r="BU16" s="232"/>
      <c r="BV16" s="722"/>
      <c r="BW16" s="233"/>
      <c r="BX16" s="234"/>
      <c r="BY16" s="233"/>
      <c r="BZ16" s="233"/>
      <c r="CA16" s="232"/>
      <c r="CB16" s="722"/>
      <c r="CC16" s="237"/>
      <c r="CD16" s="234"/>
      <c r="CE16" s="233"/>
      <c r="CF16" s="233"/>
      <c r="CG16" s="238"/>
      <c r="CH16" s="790"/>
      <c r="CI16" s="147"/>
      <c r="CJ16" s="148"/>
      <c r="CK16" s="149"/>
      <c r="CL16" s="149"/>
    </row>
    <row r="17" spans="2:90" ht="41.25" customHeight="1" outlineLevel="1" x14ac:dyDescent="0.2">
      <c r="B17" s="374" t="s">
        <v>201</v>
      </c>
      <c r="C17" s="822" t="s">
        <v>202</v>
      </c>
      <c r="D17" s="239" t="s">
        <v>203</v>
      </c>
      <c r="E17" s="747" t="s">
        <v>204</v>
      </c>
      <c r="F17" s="747"/>
      <c r="G17" s="222">
        <v>2</v>
      </c>
      <c r="H17" s="720">
        <f>SUM(G17:G23)</f>
        <v>14</v>
      </c>
      <c r="I17" s="225"/>
      <c r="J17" s="225"/>
      <c r="K17" s="225"/>
      <c r="L17" s="225"/>
      <c r="M17" s="222">
        <v>2</v>
      </c>
      <c r="N17" s="720">
        <f>SUM(M17:M23)</f>
        <v>14</v>
      </c>
      <c r="O17" s="347"/>
      <c r="P17" s="347"/>
      <c r="Q17" s="347"/>
      <c r="R17" s="347"/>
      <c r="S17" s="222">
        <v>2</v>
      </c>
      <c r="T17" s="720">
        <v>13</v>
      </c>
      <c r="U17" s="149"/>
      <c r="V17" s="224"/>
      <c r="W17" s="225"/>
      <c r="X17" s="225"/>
      <c r="Y17" s="222">
        <v>2</v>
      </c>
      <c r="Z17" s="720">
        <v>12</v>
      </c>
      <c r="AA17" s="227"/>
      <c r="AB17" s="226"/>
      <c r="AC17" s="227"/>
      <c r="AD17" s="227"/>
      <c r="AE17" s="222">
        <v>2</v>
      </c>
      <c r="AF17" s="720">
        <f>SUM(AE17:AE23)</f>
        <v>13</v>
      </c>
      <c r="AG17" s="223"/>
      <c r="AH17" s="224"/>
      <c r="AI17" s="225"/>
      <c r="AJ17" s="225"/>
      <c r="AK17" s="222">
        <v>1</v>
      </c>
      <c r="AL17" s="720">
        <v>12</v>
      </c>
      <c r="AM17" s="225"/>
      <c r="AN17" s="189"/>
      <c r="AO17" s="225"/>
      <c r="AP17" s="225"/>
      <c r="AQ17" s="222">
        <v>2</v>
      </c>
      <c r="AR17" s="720">
        <f>SUM(AQ17:AQ23)</f>
        <v>14</v>
      </c>
      <c r="AS17" s="225"/>
      <c r="AT17" s="224"/>
      <c r="AU17" s="225"/>
      <c r="AV17" s="225"/>
      <c r="AW17" s="222">
        <v>2</v>
      </c>
      <c r="AX17" s="720">
        <f>SUM(AW17:AW23)</f>
        <v>14</v>
      </c>
      <c r="AY17" s="225"/>
      <c r="AZ17" s="224"/>
      <c r="BA17" s="225"/>
      <c r="BB17" s="225"/>
      <c r="BC17" s="222">
        <v>2</v>
      </c>
      <c r="BD17" s="720">
        <f>SUM(BC17:BC23)</f>
        <v>13</v>
      </c>
      <c r="BE17" s="225"/>
      <c r="BF17" s="224"/>
      <c r="BG17" s="225"/>
      <c r="BH17" s="225"/>
      <c r="BI17" s="222">
        <v>2</v>
      </c>
      <c r="BJ17" s="720">
        <f>SUM(BI17:BI23)</f>
        <v>14</v>
      </c>
      <c r="BK17" s="225"/>
      <c r="BL17" s="224"/>
      <c r="BM17" s="225"/>
      <c r="BN17" s="225"/>
      <c r="BO17" s="222"/>
      <c r="BP17" s="720">
        <v>13</v>
      </c>
      <c r="BQ17" s="225"/>
      <c r="BR17" s="224"/>
      <c r="BS17" s="225"/>
      <c r="BT17" s="225"/>
      <c r="BU17" s="222"/>
      <c r="BV17" s="720">
        <v>14</v>
      </c>
      <c r="BW17" s="225"/>
      <c r="BX17" s="224"/>
      <c r="BY17" s="225"/>
      <c r="BZ17" s="225"/>
      <c r="CA17" s="222"/>
      <c r="CB17" s="720">
        <f>SUM(CA17:CA23)</f>
        <v>0</v>
      </c>
      <c r="CC17" s="228"/>
      <c r="CD17" s="224"/>
      <c r="CE17" s="225"/>
      <c r="CF17" s="225"/>
      <c r="CG17" s="229"/>
      <c r="CH17" s="788">
        <f>SUM(CG17:CG23)</f>
        <v>0</v>
      </c>
      <c r="CI17" s="147"/>
      <c r="CJ17" s="148"/>
      <c r="CK17" s="149"/>
      <c r="CL17" s="149"/>
    </row>
    <row r="18" spans="2:90" ht="63.75" customHeight="1" outlineLevel="1" x14ac:dyDescent="0.2">
      <c r="B18" s="375" t="s">
        <v>205</v>
      </c>
      <c r="C18" s="823"/>
      <c r="D18" s="211" t="s">
        <v>206</v>
      </c>
      <c r="E18" s="748" t="s">
        <v>207</v>
      </c>
      <c r="F18" s="748"/>
      <c r="G18" s="197">
        <v>2</v>
      </c>
      <c r="H18" s="721"/>
      <c r="I18" s="149"/>
      <c r="J18" s="148"/>
      <c r="K18" s="149"/>
      <c r="L18" s="149"/>
      <c r="M18" s="197">
        <v>2</v>
      </c>
      <c r="N18" s="721"/>
      <c r="O18" s="348"/>
      <c r="P18" s="348"/>
      <c r="Q18" s="348"/>
      <c r="R18" s="348"/>
      <c r="S18" s="197">
        <v>2</v>
      </c>
      <c r="T18" s="721"/>
      <c r="U18" s="149"/>
      <c r="V18" s="148"/>
      <c r="W18" s="149"/>
      <c r="X18" s="149"/>
      <c r="Y18" s="197">
        <v>2</v>
      </c>
      <c r="Z18" s="721"/>
      <c r="AA18" s="179"/>
      <c r="AB18" s="167"/>
      <c r="AC18" s="179"/>
      <c r="AD18" s="179"/>
      <c r="AE18" s="197">
        <v>2</v>
      </c>
      <c r="AF18" s="721"/>
      <c r="AG18" s="149"/>
      <c r="AH18" s="148"/>
      <c r="AI18" s="149"/>
      <c r="AJ18" s="149"/>
      <c r="AK18" s="197">
        <v>2</v>
      </c>
      <c r="AL18" s="721"/>
      <c r="AM18" s="149"/>
      <c r="AN18" s="188"/>
      <c r="AO18" s="149"/>
      <c r="AP18" s="149"/>
      <c r="AQ18" s="197">
        <v>2</v>
      </c>
      <c r="AR18" s="721"/>
      <c r="AS18" s="149"/>
      <c r="AT18" s="148"/>
      <c r="AU18" s="149"/>
      <c r="AV18" s="149"/>
      <c r="AW18" s="197">
        <v>2</v>
      </c>
      <c r="AX18" s="721"/>
      <c r="AY18" s="149"/>
      <c r="AZ18" s="148"/>
      <c r="BA18" s="149"/>
      <c r="BB18" s="149"/>
      <c r="BC18" s="197">
        <v>2</v>
      </c>
      <c r="BD18" s="721"/>
      <c r="BE18" s="149"/>
      <c r="BF18" s="148"/>
      <c r="BG18" s="149"/>
      <c r="BH18" s="149"/>
      <c r="BI18" s="197">
        <v>2</v>
      </c>
      <c r="BJ18" s="721"/>
      <c r="BK18" s="149"/>
      <c r="BL18" s="148"/>
      <c r="BM18" s="149"/>
      <c r="BN18" s="149"/>
      <c r="BO18" s="197"/>
      <c r="BP18" s="721"/>
      <c r="BQ18" s="149"/>
      <c r="BR18" s="148"/>
      <c r="BS18" s="149"/>
      <c r="BT18" s="149"/>
      <c r="BU18" s="197"/>
      <c r="BV18" s="721"/>
      <c r="BW18" s="149"/>
      <c r="BX18" s="148"/>
      <c r="BY18" s="149"/>
      <c r="BZ18" s="149"/>
      <c r="CA18" s="197"/>
      <c r="CB18" s="721"/>
      <c r="CC18" s="199"/>
      <c r="CD18" s="167"/>
      <c r="CE18" s="149"/>
      <c r="CF18" s="149"/>
      <c r="CG18" s="230"/>
      <c r="CH18" s="789"/>
      <c r="CI18" s="147"/>
      <c r="CJ18" s="148"/>
      <c r="CK18" s="149"/>
      <c r="CL18" s="149"/>
    </row>
    <row r="19" spans="2:90" ht="36" customHeight="1" outlineLevel="1" x14ac:dyDescent="0.2">
      <c r="B19" s="375" t="s">
        <v>208</v>
      </c>
      <c r="C19" s="823"/>
      <c r="D19" s="210" t="s">
        <v>209</v>
      </c>
      <c r="E19" s="748" t="s">
        <v>210</v>
      </c>
      <c r="F19" s="748"/>
      <c r="G19" s="197">
        <v>2</v>
      </c>
      <c r="H19" s="721"/>
      <c r="I19" s="149"/>
      <c r="J19" s="148"/>
      <c r="K19" s="149"/>
      <c r="L19" s="149"/>
      <c r="M19" s="197">
        <v>2</v>
      </c>
      <c r="N19" s="721"/>
      <c r="O19" s="348"/>
      <c r="P19" s="167"/>
      <c r="Q19" s="348"/>
      <c r="R19" s="348"/>
      <c r="S19" s="197">
        <v>2</v>
      </c>
      <c r="T19" s="721"/>
      <c r="U19" s="149"/>
      <c r="V19" s="148"/>
      <c r="W19" s="149"/>
      <c r="X19" s="149"/>
      <c r="Y19" s="197">
        <v>2</v>
      </c>
      <c r="Z19" s="721"/>
      <c r="AA19" s="179"/>
      <c r="AB19" s="167"/>
      <c r="AC19" s="179"/>
      <c r="AD19" s="179"/>
      <c r="AE19" s="197">
        <v>2</v>
      </c>
      <c r="AF19" s="721"/>
      <c r="AG19" s="149"/>
      <c r="AH19" s="148"/>
      <c r="AI19" s="149"/>
      <c r="AJ19" s="149"/>
      <c r="AK19" s="197">
        <v>2</v>
      </c>
      <c r="AL19" s="721"/>
      <c r="AM19" s="148"/>
      <c r="AN19" s="148"/>
      <c r="AO19" s="149"/>
      <c r="AP19" s="149"/>
      <c r="AQ19" s="197">
        <v>2</v>
      </c>
      <c r="AR19" s="721"/>
      <c r="AS19" s="149"/>
      <c r="AT19" s="456"/>
      <c r="AU19" s="149"/>
      <c r="AV19" s="149"/>
      <c r="AW19" s="197">
        <v>2</v>
      </c>
      <c r="AX19" s="721"/>
      <c r="AY19" s="149"/>
      <c r="AZ19" s="148"/>
      <c r="BA19" s="149"/>
      <c r="BB19" s="149"/>
      <c r="BC19" s="197">
        <v>1</v>
      </c>
      <c r="BD19" s="721"/>
      <c r="BE19" s="149" t="s">
        <v>211</v>
      </c>
      <c r="BF19" s="148"/>
      <c r="BG19" s="149"/>
      <c r="BH19" s="149"/>
      <c r="BI19" s="197">
        <v>2</v>
      </c>
      <c r="BJ19" s="721"/>
      <c r="BK19" s="149"/>
      <c r="BL19" s="148"/>
      <c r="BM19" s="149"/>
      <c r="BN19" s="149"/>
      <c r="BO19" s="197"/>
      <c r="BP19" s="721"/>
      <c r="BQ19" s="149"/>
      <c r="BR19" s="148"/>
      <c r="BS19" s="149"/>
      <c r="BT19" s="149"/>
      <c r="BU19" s="197"/>
      <c r="BV19" s="721"/>
      <c r="BW19" s="149"/>
      <c r="BX19" s="148"/>
      <c r="BY19" s="149"/>
      <c r="BZ19" s="149"/>
      <c r="CA19" s="197"/>
      <c r="CB19" s="721"/>
      <c r="CC19" s="199"/>
      <c r="CD19" s="148"/>
      <c r="CE19" s="149"/>
      <c r="CF19" s="149"/>
      <c r="CG19" s="230"/>
      <c r="CH19" s="789"/>
      <c r="CI19" s="147"/>
      <c r="CJ19" s="148"/>
      <c r="CK19" s="149"/>
      <c r="CL19" s="149"/>
    </row>
    <row r="20" spans="2:90" ht="23.25" customHeight="1" outlineLevel="1" x14ac:dyDescent="0.2">
      <c r="B20" s="375" t="s">
        <v>212</v>
      </c>
      <c r="C20" s="823"/>
      <c r="D20" s="212" t="s">
        <v>213</v>
      </c>
      <c r="E20" s="748" t="s">
        <v>214</v>
      </c>
      <c r="F20" s="748"/>
      <c r="G20" s="197">
        <v>2</v>
      </c>
      <c r="H20" s="721"/>
      <c r="I20" s="149"/>
      <c r="J20" s="148"/>
      <c r="K20" s="149"/>
      <c r="L20" s="149"/>
      <c r="M20" s="197">
        <v>2</v>
      </c>
      <c r="N20" s="721"/>
      <c r="O20" s="348"/>
      <c r="P20" s="348"/>
      <c r="Q20" s="348"/>
      <c r="R20" s="348"/>
      <c r="S20" s="197">
        <v>2</v>
      </c>
      <c r="T20" s="721"/>
      <c r="U20" s="149"/>
      <c r="V20" s="148"/>
      <c r="W20" s="149"/>
      <c r="X20" s="149"/>
      <c r="Y20" s="197">
        <v>2</v>
      </c>
      <c r="Z20" s="721"/>
      <c r="AA20" s="179"/>
      <c r="AB20" s="167"/>
      <c r="AC20" s="179"/>
      <c r="AD20" s="179"/>
      <c r="AE20" s="197">
        <v>2</v>
      </c>
      <c r="AF20" s="721"/>
      <c r="AG20" s="200"/>
      <c r="AH20" s="148"/>
      <c r="AI20" s="149"/>
      <c r="AJ20" s="149"/>
      <c r="AK20" s="197">
        <v>1</v>
      </c>
      <c r="AL20" s="721"/>
      <c r="AM20" s="149"/>
      <c r="AN20" s="148"/>
      <c r="AO20" s="149"/>
      <c r="AP20" s="149"/>
      <c r="AQ20" s="197">
        <v>2</v>
      </c>
      <c r="AR20" s="721"/>
      <c r="AS20" s="149"/>
      <c r="AT20" s="148"/>
      <c r="AU20" s="149"/>
      <c r="AV20" s="149"/>
      <c r="AW20" s="197">
        <v>2</v>
      </c>
      <c r="AX20" s="721"/>
      <c r="AY20" s="149"/>
      <c r="AZ20" s="148"/>
      <c r="BA20" s="149"/>
      <c r="BB20" s="149"/>
      <c r="BC20" s="197">
        <v>2</v>
      </c>
      <c r="BD20" s="721"/>
      <c r="BE20" s="149"/>
      <c r="BF20" s="148"/>
      <c r="BG20" s="149"/>
      <c r="BH20" s="149"/>
      <c r="BI20" s="197">
        <v>2</v>
      </c>
      <c r="BJ20" s="721"/>
      <c r="BK20" s="149"/>
      <c r="BL20" s="148"/>
      <c r="BM20" s="149"/>
      <c r="BN20" s="149"/>
      <c r="BO20" s="197"/>
      <c r="BP20" s="721"/>
      <c r="BQ20" s="149"/>
      <c r="BR20" s="148"/>
      <c r="BS20" s="149"/>
      <c r="BT20" s="149"/>
      <c r="BU20" s="197"/>
      <c r="BV20" s="721"/>
      <c r="BW20" s="149"/>
      <c r="BX20" s="148"/>
      <c r="BY20" s="149"/>
      <c r="BZ20" s="149"/>
      <c r="CA20" s="197"/>
      <c r="CB20" s="721"/>
      <c r="CC20" s="179"/>
      <c r="CD20" s="148"/>
      <c r="CE20" s="149"/>
      <c r="CF20" s="149"/>
      <c r="CG20" s="230"/>
      <c r="CH20" s="789"/>
      <c r="CI20" s="147"/>
      <c r="CJ20" s="148"/>
      <c r="CK20" s="149"/>
      <c r="CL20" s="149"/>
    </row>
    <row r="21" spans="2:90" ht="50.25" customHeight="1" outlineLevel="1" x14ac:dyDescent="0.2">
      <c r="B21" s="375" t="s">
        <v>215</v>
      </c>
      <c r="C21" s="823"/>
      <c r="D21" s="213" t="s">
        <v>216</v>
      </c>
      <c r="E21" s="748" t="s">
        <v>217</v>
      </c>
      <c r="F21" s="748"/>
      <c r="G21" s="197">
        <v>2</v>
      </c>
      <c r="H21" s="721"/>
      <c r="I21" s="149"/>
      <c r="J21" s="148"/>
      <c r="K21" s="149"/>
      <c r="L21" s="149"/>
      <c r="M21" s="197">
        <v>2</v>
      </c>
      <c r="N21" s="721"/>
      <c r="O21" s="348"/>
      <c r="P21" s="348"/>
      <c r="Q21" s="348"/>
      <c r="R21" s="348"/>
      <c r="S21" s="197">
        <v>2</v>
      </c>
      <c r="T21" s="721"/>
      <c r="U21" s="149"/>
      <c r="V21" s="148"/>
      <c r="W21" s="149"/>
      <c r="X21" s="149"/>
      <c r="Y21" s="197">
        <v>2</v>
      </c>
      <c r="Z21" s="721"/>
      <c r="AA21" s="179"/>
      <c r="AB21" s="167"/>
      <c r="AC21" s="179"/>
      <c r="AD21" s="179"/>
      <c r="AE21" s="197">
        <v>1</v>
      </c>
      <c r="AF21" s="721"/>
      <c r="AG21" s="149" t="s">
        <v>218</v>
      </c>
      <c r="AH21" s="148"/>
      <c r="AI21" s="149"/>
      <c r="AJ21" s="149"/>
      <c r="AK21" s="197">
        <v>2</v>
      </c>
      <c r="AL21" s="721"/>
      <c r="AM21" s="149"/>
      <c r="AN21" s="148"/>
      <c r="AO21" s="149"/>
      <c r="AP21" s="149"/>
      <c r="AQ21" s="197">
        <v>2</v>
      </c>
      <c r="AR21" s="721"/>
      <c r="AS21" s="149"/>
      <c r="AT21" s="148"/>
      <c r="AU21" s="149"/>
      <c r="AV21" s="149"/>
      <c r="AW21" s="197">
        <v>2</v>
      </c>
      <c r="AX21" s="721"/>
      <c r="AY21" s="149"/>
      <c r="AZ21" s="148"/>
      <c r="BA21" s="149"/>
      <c r="BB21" s="149"/>
      <c r="BC21" s="197">
        <v>2</v>
      </c>
      <c r="BD21" s="721"/>
      <c r="BE21" s="149"/>
      <c r="BF21" s="148"/>
      <c r="BG21" s="149"/>
      <c r="BH21" s="149"/>
      <c r="BI21" s="197">
        <v>2</v>
      </c>
      <c r="BJ21" s="721"/>
      <c r="BK21" s="149"/>
      <c r="BL21" s="148"/>
      <c r="BM21" s="149"/>
      <c r="BN21" s="149"/>
      <c r="BO21" s="197"/>
      <c r="BP21" s="721"/>
      <c r="BQ21" s="149"/>
      <c r="BR21" s="148"/>
      <c r="BS21" s="149"/>
      <c r="BT21" s="149"/>
      <c r="BU21" s="197"/>
      <c r="BV21" s="721"/>
      <c r="BW21" s="149"/>
      <c r="BX21" s="148"/>
      <c r="BY21" s="149"/>
      <c r="BZ21" s="149"/>
      <c r="CA21" s="197"/>
      <c r="CB21" s="721"/>
      <c r="CC21" s="199"/>
      <c r="CD21" s="148"/>
      <c r="CE21" s="149"/>
      <c r="CF21" s="149"/>
      <c r="CG21" s="230"/>
      <c r="CH21" s="789"/>
      <c r="CI21" s="147"/>
      <c r="CJ21" s="148"/>
      <c r="CK21" s="149"/>
      <c r="CL21" s="149"/>
    </row>
    <row r="22" spans="2:90" ht="50.25" customHeight="1" outlineLevel="1" x14ac:dyDescent="0.2">
      <c r="B22" s="389" t="s">
        <v>219</v>
      </c>
      <c r="C22" s="823"/>
      <c r="D22" s="212" t="s">
        <v>220</v>
      </c>
      <c r="E22" s="748" t="s">
        <v>221</v>
      </c>
      <c r="F22" s="748"/>
      <c r="G22" s="197">
        <v>2</v>
      </c>
      <c r="H22" s="721"/>
      <c r="I22" s="149"/>
      <c r="J22" s="148"/>
      <c r="K22" s="149"/>
      <c r="L22" s="149"/>
      <c r="M22" s="197">
        <v>2</v>
      </c>
      <c r="N22" s="721"/>
      <c r="O22" s="348"/>
      <c r="P22" s="348"/>
      <c r="Q22" s="348"/>
      <c r="R22" s="348"/>
      <c r="S22" s="197">
        <v>2</v>
      </c>
      <c r="T22" s="721"/>
      <c r="U22" s="149"/>
      <c r="V22" s="148"/>
      <c r="W22" s="149"/>
      <c r="X22" s="149"/>
      <c r="Y22" s="197">
        <v>2</v>
      </c>
      <c r="Z22" s="721"/>
      <c r="AA22" s="179"/>
      <c r="AB22" s="167"/>
      <c r="AC22" s="179"/>
      <c r="AD22" s="179"/>
      <c r="AE22" s="197">
        <v>2</v>
      </c>
      <c r="AF22" s="721"/>
      <c r="AG22" s="198"/>
      <c r="AH22" s="148"/>
      <c r="AI22" s="149"/>
      <c r="AJ22" s="149"/>
      <c r="AK22" s="197">
        <v>2</v>
      </c>
      <c r="AL22" s="721"/>
      <c r="AM22" s="149"/>
      <c r="AN22" s="188"/>
      <c r="AO22" s="149"/>
      <c r="AP22" s="149"/>
      <c r="AQ22" s="197">
        <v>2</v>
      </c>
      <c r="AR22" s="721"/>
      <c r="AS22" s="149"/>
      <c r="AT22" s="148"/>
      <c r="AU22" s="149"/>
      <c r="AV22" s="149"/>
      <c r="AW22" s="197">
        <v>2</v>
      </c>
      <c r="AX22" s="721"/>
      <c r="AY22" s="149"/>
      <c r="AZ22" s="148"/>
      <c r="BA22" s="149"/>
      <c r="BB22" s="149"/>
      <c r="BC22" s="197">
        <v>2</v>
      </c>
      <c r="BD22" s="721"/>
      <c r="BE22" s="149"/>
      <c r="BF22" s="148"/>
      <c r="BG22" s="149"/>
      <c r="BH22" s="149"/>
      <c r="BI22" s="197">
        <v>2</v>
      </c>
      <c r="BJ22" s="721"/>
      <c r="BK22" s="149"/>
      <c r="BL22" s="148"/>
      <c r="BM22" s="149"/>
      <c r="BN22" s="149"/>
      <c r="BO22" s="197"/>
      <c r="BP22" s="721"/>
      <c r="BQ22" s="149"/>
      <c r="BR22" s="148"/>
      <c r="BS22" s="149"/>
      <c r="BT22" s="149"/>
      <c r="BU22" s="197"/>
      <c r="BV22" s="721"/>
      <c r="BW22" s="149"/>
      <c r="BX22" s="148"/>
      <c r="BY22" s="149"/>
      <c r="BZ22" s="149"/>
      <c r="CA22" s="197"/>
      <c r="CB22" s="721"/>
      <c r="CC22" s="199"/>
      <c r="CD22" s="148"/>
      <c r="CE22" s="149"/>
      <c r="CF22" s="149"/>
      <c r="CG22" s="230"/>
      <c r="CH22" s="789"/>
      <c r="CI22" s="147"/>
      <c r="CJ22" s="148"/>
      <c r="CK22" s="149"/>
      <c r="CL22" s="149"/>
    </row>
    <row r="23" spans="2:90" ht="54" customHeight="1" outlineLevel="1" x14ac:dyDescent="0.2">
      <c r="B23" s="390" t="s">
        <v>222</v>
      </c>
      <c r="C23" s="824"/>
      <c r="D23" s="240" t="s">
        <v>223</v>
      </c>
      <c r="E23" s="751" t="s">
        <v>224</v>
      </c>
      <c r="F23" s="751"/>
      <c r="G23" s="232">
        <v>2</v>
      </c>
      <c r="H23" s="722"/>
      <c r="I23" s="233"/>
      <c r="J23" s="234"/>
      <c r="K23" s="233"/>
      <c r="L23" s="233"/>
      <c r="M23" s="232">
        <v>2</v>
      </c>
      <c r="N23" s="722"/>
      <c r="O23" s="349"/>
      <c r="P23" s="349"/>
      <c r="Q23" s="349"/>
      <c r="R23" s="349"/>
      <c r="S23" s="232">
        <v>1</v>
      </c>
      <c r="T23" s="722"/>
      <c r="U23" s="233"/>
      <c r="V23" s="234" t="s">
        <v>225</v>
      </c>
      <c r="W23" s="233"/>
      <c r="X23" s="233"/>
      <c r="Y23" s="232">
        <v>2</v>
      </c>
      <c r="Z23" s="722"/>
      <c r="AA23" s="235"/>
      <c r="AB23" s="236"/>
      <c r="AC23" s="235"/>
      <c r="AD23" s="235"/>
      <c r="AE23" s="232">
        <v>2</v>
      </c>
      <c r="AF23" s="722"/>
      <c r="AG23" s="233"/>
      <c r="AH23" s="234"/>
      <c r="AI23" s="233"/>
      <c r="AJ23" s="233"/>
      <c r="AK23" s="232">
        <v>2</v>
      </c>
      <c r="AL23" s="722"/>
      <c r="AM23" s="233"/>
      <c r="AN23" s="234"/>
      <c r="AO23" s="233"/>
      <c r="AP23" s="233"/>
      <c r="AQ23" s="232">
        <v>2</v>
      </c>
      <c r="AR23" s="722"/>
      <c r="AS23" s="233"/>
      <c r="AT23" s="234"/>
      <c r="AU23" s="233"/>
      <c r="AV23" s="233"/>
      <c r="AW23" s="232">
        <v>2</v>
      </c>
      <c r="AX23" s="722"/>
      <c r="AY23" s="233"/>
      <c r="AZ23" s="234"/>
      <c r="BA23" s="233"/>
      <c r="BB23" s="233"/>
      <c r="BC23" s="232">
        <v>2</v>
      </c>
      <c r="BD23" s="722"/>
      <c r="BE23" s="233"/>
      <c r="BF23" s="234"/>
      <c r="BG23" s="233"/>
      <c r="BH23" s="233"/>
      <c r="BI23" s="232">
        <v>2</v>
      </c>
      <c r="BJ23" s="722"/>
      <c r="BK23" s="233"/>
      <c r="BL23" s="234"/>
      <c r="BM23" s="233"/>
      <c r="BN23" s="233"/>
      <c r="BO23" s="232"/>
      <c r="BP23" s="722"/>
      <c r="BQ23" s="233"/>
      <c r="BR23" s="234"/>
      <c r="BS23" s="233"/>
      <c r="BT23" s="233"/>
      <c r="BU23" s="232"/>
      <c r="BV23" s="722"/>
      <c r="BW23" s="233"/>
      <c r="BX23" s="234"/>
      <c r="BY23" s="233"/>
      <c r="BZ23" s="233"/>
      <c r="CA23" s="232"/>
      <c r="CB23" s="722"/>
      <c r="CC23" s="235"/>
      <c r="CD23" s="234"/>
      <c r="CE23" s="233"/>
      <c r="CF23" s="233"/>
      <c r="CG23" s="238"/>
      <c r="CH23" s="789"/>
      <c r="CI23" s="147"/>
      <c r="CJ23" s="148"/>
      <c r="CK23" s="149"/>
      <c r="CL23" s="149"/>
    </row>
    <row r="24" spans="2:90" ht="66" customHeight="1" outlineLevel="1" x14ac:dyDescent="0.25">
      <c r="B24" s="377" t="s">
        <v>226</v>
      </c>
      <c r="C24" s="811" t="s">
        <v>227</v>
      </c>
      <c r="D24" s="241" t="s">
        <v>166</v>
      </c>
      <c r="E24" s="815" t="s">
        <v>228</v>
      </c>
      <c r="F24" s="816"/>
      <c r="G24" s="222">
        <v>2</v>
      </c>
      <c r="H24" s="720">
        <f>SUM(G24:G30)</f>
        <v>14</v>
      </c>
      <c r="I24" s="359" t="s">
        <v>229</v>
      </c>
      <c r="J24" s="359"/>
      <c r="K24" s="225"/>
      <c r="L24" s="225"/>
      <c r="M24" s="222">
        <v>2</v>
      </c>
      <c r="N24" s="720">
        <f>SUM(M24:M30)</f>
        <v>12</v>
      </c>
      <c r="O24" s="226" t="s">
        <v>230</v>
      </c>
      <c r="P24" s="347"/>
      <c r="Q24" s="347"/>
      <c r="R24" s="347"/>
      <c r="S24" s="222">
        <v>2</v>
      </c>
      <c r="T24" s="720">
        <v>11</v>
      </c>
      <c r="U24" s="223"/>
      <c r="V24" s="224" t="s">
        <v>231</v>
      </c>
      <c r="W24" s="225"/>
      <c r="X24" s="225"/>
      <c r="Y24" s="222">
        <v>2</v>
      </c>
      <c r="Z24" s="720">
        <v>14</v>
      </c>
      <c r="AA24" s="223"/>
      <c r="AB24" s="226" t="s">
        <v>232</v>
      </c>
      <c r="AC24" s="227"/>
      <c r="AD24" s="227"/>
      <c r="AE24" s="222">
        <v>2</v>
      </c>
      <c r="AF24" s="720">
        <f>SUM(AE24:AE30)</f>
        <v>13</v>
      </c>
      <c r="AG24" s="223"/>
      <c r="AH24" s="224"/>
      <c r="AI24" s="225"/>
      <c r="AJ24" s="225"/>
      <c r="AK24" s="222">
        <v>2</v>
      </c>
      <c r="AL24" s="720">
        <v>11</v>
      </c>
      <c r="AM24" s="224"/>
      <c r="AN24" s="225"/>
      <c r="AO24" s="225"/>
      <c r="AP24" s="225"/>
      <c r="AQ24" s="222">
        <v>0</v>
      </c>
      <c r="AR24" s="720">
        <f>SUM(AQ24:AQ30)</f>
        <v>12</v>
      </c>
      <c r="AS24" s="233"/>
      <c r="AT24" t="s">
        <v>233</v>
      </c>
      <c r="AU24" s="225"/>
      <c r="AV24" s="225"/>
      <c r="AW24" s="222">
        <v>2</v>
      </c>
      <c r="AX24" s="720">
        <f>SUM(AW24:AW30)</f>
        <v>14</v>
      </c>
      <c r="AY24" s="225"/>
      <c r="AZ24" s="224"/>
      <c r="BA24" s="225"/>
      <c r="BB24" s="225"/>
      <c r="BC24" s="222">
        <v>2</v>
      </c>
      <c r="BD24" s="720">
        <f>SUM(BC24:BC30)</f>
        <v>14</v>
      </c>
      <c r="BE24" s="225"/>
      <c r="BF24" s="224"/>
      <c r="BG24" s="225"/>
      <c r="BH24" s="225"/>
      <c r="BI24" s="222">
        <v>0</v>
      </c>
      <c r="BJ24" s="720">
        <f>SUM(BI24:BI30)</f>
        <v>12</v>
      </c>
      <c r="BK24" s="225"/>
      <c r="BL24" s="224"/>
      <c r="BM24" s="225"/>
      <c r="BN24" s="225"/>
      <c r="BO24" s="222"/>
      <c r="BP24" s="720">
        <v>11</v>
      </c>
      <c r="BQ24" s="225"/>
      <c r="BR24" s="224"/>
      <c r="BS24" s="225"/>
      <c r="BT24" s="225"/>
      <c r="BU24" s="222"/>
      <c r="BV24" s="720">
        <v>12</v>
      </c>
      <c r="BW24" s="225"/>
      <c r="BX24" s="224"/>
      <c r="BY24" s="225"/>
      <c r="BZ24" s="225"/>
      <c r="CA24" s="222"/>
      <c r="CB24" s="720">
        <f>SUM(CA24:CA30)</f>
        <v>0</v>
      </c>
      <c r="CC24" s="228"/>
      <c r="CD24" s="445"/>
      <c r="CE24" s="225"/>
      <c r="CF24" s="225"/>
      <c r="CG24" s="229"/>
      <c r="CH24" s="788">
        <f>SUM(CG24:CG30)</f>
        <v>0</v>
      </c>
      <c r="CI24" s="147"/>
      <c r="CJ24" s="224"/>
      <c r="CK24" s="149"/>
      <c r="CL24" s="149"/>
    </row>
    <row r="25" spans="2:90" ht="75.75" customHeight="1" outlineLevel="1" x14ac:dyDescent="0.2">
      <c r="B25" s="378" t="s">
        <v>234</v>
      </c>
      <c r="C25" s="812"/>
      <c r="D25" s="216" t="s">
        <v>235</v>
      </c>
      <c r="E25" s="749" t="s">
        <v>236</v>
      </c>
      <c r="F25" s="749"/>
      <c r="G25" s="197">
        <v>2</v>
      </c>
      <c r="H25" s="721"/>
      <c r="I25" s="149"/>
      <c r="J25" s="149"/>
      <c r="K25" s="149"/>
      <c r="L25" s="149"/>
      <c r="M25" s="197">
        <v>2</v>
      </c>
      <c r="N25" s="721"/>
      <c r="O25" s="348"/>
      <c r="P25" s="167"/>
      <c r="Q25" s="348"/>
      <c r="R25" s="348"/>
      <c r="S25" s="197">
        <v>2</v>
      </c>
      <c r="T25" s="721"/>
      <c r="U25" s="149"/>
      <c r="V25" s="148"/>
      <c r="W25" s="149"/>
      <c r="X25" s="149"/>
      <c r="Y25" s="197">
        <v>2</v>
      </c>
      <c r="Z25" s="721"/>
      <c r="AA25" s="198"/>
      <c r="AB25" s="167"/>
      <c r="AC25" s="179"/>
      <c r="AD25" s="179"/>
      <c r="AE25" s="197">
        <v>2</v>
      </c>
      <c r="AF25" s="721"/>
      <c r="AG25" s="198"/>
      <c r="AH25" s="148"/>
      <c r="AI25" s="149"/>
      <c r="AJ25" s="149"/>
      <c r="AK25" s="197">
        <v>1</v>
      </c>
      <c r="AL25" s="721"/>
      <c r="AM25" s="149"/>
      <c r="AN25" s="148"/>
      <c r="AO25" s="149"/>
      <c r="AP25" s="149"/>
      <c r="AQ25" s="197">
        <v>2</v>
      </c>
      <c r="AR25" s="721"/>
      <c r="AS25" s="149"/>
      <c r="AT25" s="148"/>
      <c r="AU25" s="149"/>
      <c r="AV25" s="149"/>
      <c r="AW25" s="197">
        <v>2</v>
      </c>
      <c r="AX25" s="721"/>
      <c r="AY25" s="149"/>
      <c r="AZ25" s="148"/>
      <c r="BA25" s="149"/>
      <c r="BB25" s="149"/>
      <c r="BC25" s="197">
        <v>2</v>
      </c>
      <c r="BD25" s="721"/>
      <c r="BE25" s="149"/>
      <c r="BF25" s="148"/>
      <c r="BG25" s="149"/>
      <c r="BH25" s="149"/>
      <c r="BI25" s="197">
        <v>2</v>
      </c>
      <c r="BJ25" s="721"/>
      <c r="BK25" s="149"/>
      <c r="BL25" s="148"/>
      <c r="BM25" s="149"/>
      <c r="BN25" s="149"/>
      <c r="BO25" s="197"/>
      <c r="BP25" s="721"/>
      <c r="BQ25" s="149"/>
      <c r="BR25" s="148"/>
      <c r="BS25" s="149"/>
      <c r="BT25" s="149"/>
      <c r="BU25" s="197"/>
      <c r="BV25" s="721"/>
      <c r="BW25" s="149"/>
      <c r="BX25" s="148"/>
      <c r="BY25" s="149"/>
      <c r="BZ25" s="149"/>
      <c r="CA25" s="197"/>
      <c r="CB25" s="721"/>
      <c r="CC25" s="199"/>
      <c r="CD25" s="148"/>
      <c r="CE25" s="149"/>
      <c r="CF25" s="149"/>
      <c r="CG25" s="230"/>
      <c r="CH25" s="789"/>
      <c r="CI25" s="147"/>
      <c r="CJ25" s="148"/>
      <c r="CK25" s="149"/>
      <c r="CL25" s="149"/>
    </row>
    <row r="26" spans="2:90" ht="40.5" customHeight="1" outlineLevel="1" x14ac:dyDescent="0.2">
      <c r="B26" s="378" t="s">
        <v>237</v>
      </c>
      <c r="C26" s="812"/>
      <c r="D26" s="215" t="s">
        <v>238</v>
      </c>
      <c r="E26" s="749" t="s">
        <v>239</v>
      </c>
      <c r="F26" s="749"/>
      <c r="G26" s="197">
        <v>2</v>
      </c>
      <c r="H26" s="721"/>
      <c r="I26" s="149"/>
      <c r="J26" s="148"/>
      <c r="K26" s="149"/>
      <c r="L26" s="149"/>
      <c r="M26" s="197">
        <v>0</v>
      </c>
      <c r="N26" s="721"/>
      <c r="O26" s="348" t="s">
        <v>240</v>
      </c>
      <c r="P26" s="167"/>
      <c r="Q26" s="348"/>
      <c r="R26" s="348"/>
      <c r="S26" s="197">
        <v>2</v>
      </c>
      <c r="T26" s="721"/>
      <c r="U26" s="198"/>
      <c r="V26" s="148"/>
      <c r="W26" s="149"/>
      <c r="X26" s="149"/>
      <c r="Y26" s="197">
        <v>2</v>
      </c>
      <c r="Z26" s="721"/>
      <c r="AA26" s="198"/>
      <c r="AB26" s="167"/>
      <c r="AC26" s="179"/>
      <c r="AD26" s="179"/>
      <c r="AE26" s="197">
        <v>2</v>
      </c>
      <c r="AF26" s="721"/>
      <c r="AG26" s="198"/>
      <c r="AH26" s="148"/>
      <c r="AI26" s="149"/>
      <c r="AJ26" s="149"/>
      <c r="AK26" s="197">
        <v>2</v>
      </c>
      <c r="AL26" s="721"/>
      <c r="AM26" s="148"/>
      <c r="AN26" s="148"/>
      <c r="AO26" s="149"/>
      <c r="AP26" s="149"/>
      <c r="AQ26" s="197">
        <v>2</v>
      </c>
      <c r="AR26" s="721"/>
      <c r="AS26" s="149"/>
      <c r="AT26" s="455"/>
      <c r="AU26" s="149"/>
      <c r="AV26" s="149"/>
      <c r="AW26" s="197">
        <v>2</v>
      </c>
      <c r="AX26" s="721"/>
      <c r="AY26" s="149"/>
      <c r="AZ26" s="148"/>
      <c r="BA26" s="149"/>
      <c r="BB26" s="149"/>
      <c r="BC26" s="197">
        <v>2</v>
      </c>
      <c r="BD26" s="721"/>
      <c r="BE26" s="149"/>
      <c r="BF26" s="148"/>
      <c r="BG26" s="149"/>
      <c r="BH26" s="149"/>
      <c r="BI26" s="197">
        <v>2</v>
      </c>
      <c r="BJ26" s="721"/>
      <c r="BK26" s="149"/>
      <c r="BL26" s="148"/>
      <c r="BM26" s="149"/>
      <c r="BN26" s="149"/>
      <c r="BO26" s="197"/>
      <c r="BP26" s="721"/>
      <c r="BQ26" s="149"/>
      <c r="BR26" s="148"/>
      <c r="BS26" s="149"/>
      <c r="BT26" s="149"/>
      <c r="BU26" s="197"/>
      <c r="BV26" s="721"/>
      <c r="BW26" s="149"/>
      <c r="BX26" s="148"/>
      <c r="BY26" s="149"/>
      <c r="BZ26" s="149"/>
      <c r="CA26" s="197"/>
      <c r="CB26" s="721"/>
      <c r="CC26" s="179"/>
      <c r="CD26" s="448"/>
      <c r="CE26" s="149"/>
      <c r="CF26" s="149"/>
      <c r="CG26" s="230"/>
      <c r="CH26" s="789"/>
      <c r="CI26" s="147"/>
      <c r="CJ26" s="148"/>
      <c r="CK26" s="149"/>
      <c r="CL26" s="149"/>
    </row>
    <row r="27" spans="2:90" ht="45.75" customHeight="1" outlineLevel="1" x14ac:dyDescent="0.2">
      <c r="B27" s="378" t="s">
        <v>241</v>
      </c>
      <c r="C27" s="813"/>
      <c r="D27" s="215" t="s">
        <v>242</v>
      </c>
      <c r="E27" s="749" t="s">
        <v>243</v>
      </c>
      <c r="F27" s="749"/>
      <c r="G27" s="197">
        <v>2</v>
      </c>
      <c r="H27" s="721"/>
      <c r="I27" s="149"/>
      <c r="J27" s="148"/>
      <c r="K27" s="149"/>
      <c r="L27" s="149"/>
      <c r="M27" s="197">
        <v>2</v>
      </c>
      <c r="N27" s="721"/>
      <c r="O27" s="348"/>
      <c r="P27" s="167"/>
      <c r="Q27" s="348"/>
      <c r="R27" s="348"/>
      <c r="S27" s="197">
        <v>2</v>
      </c>
      <c r="T27" s="721"/>
      <c r="U27" s="149"/>
      <c r="V27" s="148"/>
      <c r="W27" s="149"/>
      <c r="X27" s="149"/>
      <c r="Y27" s="197">
        <v>2</v>
      </c>
      <c r="Z27" s="721"/>
      <c r="AA27" s="179"/>
      <c r="AB27" s="167"/>
      <c r="AC27" s="179"/>
      <c r="AD27" s="179"/>
      <c r="AE27" s="197">
        <v>2</v>
      </c>
      <c r="AF27" s="721"/>
      <c r="AG27" s="198"/>
      <c r="AH27" s="148"/>
      <c r="AI27" s="149"/>
      <c r="AJ27" s="149"/>
      <c r="AK27" s="197">
        <v>2</v>
      </c>
      <c r="AL27" s="721"/>
      <c r="AM27" s="149"/>
      <c r="AN27" s="188"/>
      <c r="AO27" s="149"/>
      <c r="AP27" s="149"/>
      <c r="AQ27" s="197">
        <v>2</v>
      </c>
      <c r="AR27" s="721"/>
      <c r="AS27" s="149"/>
      <c r="AT27" s="148"/>
      <c r="AU27" s="149"/>
      <c r="AV27" s="149"/>
      <c r="AW27" s="197">
        <v>2</v>
      </c>
      <c r="AX27" s="721"/>
      <c r="AY27" s="149"/>
      <c r="AZ27" s="148"/>
      <c r="BA27" s="149"/>
      <c r="BB27" s="149"/>
      <c r="BC27" s="197">
        <v>2</v>
      </c>
      <c r="BD27" s="721"/>
      <c r="BE27" s="149"/>
      <c r="BF27" s="148"/>
      <c r="BG27" s="149"/>
      <c r="BH27" s="149"/>
      <c r="BI27" s="197">
        <v>2</v>
      </c>
      <c r="BJ27" s="721"/>
      <c r="BK27" s="149"/>
      <c r="BL27" s="148"/>
      <c r="BM27" s="149"/>
      <c r="BN27" s="149"/>
      <c r="BO27" s="197"/>
      <c r="BP27" s="721"/>
      <c r="BQ27" s="149"/>
      <c r="BR27" s="148"/>
      <c r="BS27" s="149"/>
      <c r="BT27" s="149"/>
      <c r="BU27" s="197"/>
      <c r="BV27" s="721"/>
      <c r="BW27" s="149"/>
      <c r="BX27" s="148"/>
      <c r="BY27" s="149"/>
      <c r="BZ27" s="149"/>
      <c r="CA27" s="197"/>
      <c r="CB27" s="721"/>
      <c r="CC27" s="179"/>
      <c r="CD27" s="148"/>
      <c r="CE27" s="149"/>
      <c r="CF27" s="149"/>
      <c r="CG27" s="230"/>
      <c r="CH27" s="789"/>
      <c r="CI27" s="147"/>
      <c r="CJ27" s="148"/>
      <c r="CK27" s="149"/>
      <c r="CL27" s="149"/>
    </row>
    <row r="28" spans="2:90" ht="51.75" customHeight="1" outlineLevel="1" x14ac:dyDescent="0.2">
      <c r="B28" s="378" t="s">
        <v>244</v>
      </c>
      <c r="C28" s="813"/>
      <c r="D28" s="215" t="s">
        <v>245</v>
      </c>
      <c r="E28" s="749" t="s">
        <v>246</v>
      </c>
      <c r="F28" s="749"/>
      <c r="G28" s="197">
        <v>2</v>
      </c>
      <c r="H28" s="721"/>
      <c r="I28" s="149"/>
      <c r="J28" s="148"/>
      <c r="K28" s="149"/>
      <c r="L28" s="149"/>
      <c r="M28" s="197">
        <v>2</v>
      </c>
      <c r="N28" s="721"/>
      <c r="O28" s="348"/>
      <c r="P28" s="348"/>
      <c r="Q28" s="348"/>
      <c r="R28" s="348"/>
      <c r="S28" s="197">
        <v>1</v>
      </c>
      <c r="T28" s="721"/>
      <c r="U28" s="149"/>
      <c r="V28" s="167" t="s">
        <v>247</v>
      </c>
      <c r="W28" s="149"/>
      <c r="X28" s="149"/>
      <c r="Y28" s="197">
        <v>2</v>
      </c>
      <c r="Z28" s="721"/>
      <c r="AA28" s="179"/>
      <c r="AB28" s="167"/>
      <c r="AC28" s="179"/>
      <c r="AD28" s="179"/>
      <c r="AE28" s="197">
        <v>1</v>
      </c>
      <c r="AF28" s="721"/>
      <c r="AG28" s="198" t="s">
        <v>248</v>
      </c>
      <c r="AH28" s="148"/>
      <c r="AI28" s="149"/>
      <c r="AJ28" s="149"/>
      <c r="AK28" s="197">
        <v>1</v>
      </c>
      <c r="AL28" s="721"/>
      <c r="AM28" s="149"/>
      <c r="AN28" s="148"/>
      <c r="AO28" s="149"/>
      <c r="AP28" s="149"/>
      <c r="AQ28" s="197">
        <v>2</v>
      </c>
      <c r="AR28" s="721"/>
      <c r="AS28" s="149"/>
      <c r="AT28" s="148"/>
      <c r="AU28" s="149"/>
      <c r="AV28" s="149"/>
      <c r="AW28" s="197">
        <v>2</v>
      </c>
      <c r="AX28" s="721"/>
      <c r="AY28" s="149"/>
      <c r="AZ28" s="148"/>
      <c r="BA28" s="149"/>
      <c r="BB28" s="149"/>
      <c r="BC28" s="197">
        <v>2</v>
      </c>
      <c r="BD28" s="721"/>
      <c r="BE28" s="149"/>
      <c r="BF28" s="148"/>
      <c r="BG28" s="149"/>
      <c r="BH28" s="149"/>
      <c r="BI28" s="197">
        <v>2</v>
      </c>
      <c r="BJ28" s="721"/>
      <c r="BK28" s="149"/>
      <c r="BL28" s="148"/>
      <c r="BM28" s="149"/>
      <c r="BN28" s="149"/>
      <c r="BO28" s="197"/>
      <c r="BP28" s="721"/>
      <c r="BQ28" s="149"/>
      <c r="BR28" s="148"/>
      <c r="BS28" s="149"/>
      <c r="BT28" s="149"/>
      <c r="BU28" s="197"/>
      <c r="BV28" s="721"/>
      <c r="BW28" s="149"/>
      <c r="BX28" s="148"/>
      <c r="BY28" s="149"/>
      <c r="BZ28" s="149"/>
      <c r="CA28" s="197"/>
      <c r="CB28" s="721"/>
      <c r="CC28" s="179"/>
      <c r="CD28" s="148"/>
      <c r="CE28" s="149"/>
      <c r="CF28" s="149"/>
      <c r="CG28" s="230"/>
      <c r="CH28" s="789"/>
      <c r="CI28" s="147"/>
      <c r="CJ28" s="148"/>
      <c r="CK28" s="149"/>
      <c r="CL28" s="149"/>
    </row>
    <row r="29" spans="2:90" ht="33.75" customHeight="1" outlineLevel="1" x14ac:dyDescent="0.2">
      <c r="B29" s="378" t="s">
        <v>249</v>
      </c>
      <c r="C29" s="813"/>
      <c r="D29" s="215" t="s">
        <v>209</v>
      </c>
      <c r="E29" s="749" t="s">
        <v>250</v>
      </c>
      <c r="F29" s="749"/>
      <c r="G29" s="197">
        <v>2</v>
      </c>
      <c r="H29" s="721"/>
      <c r="I29" s="149"/>
      <c r="J29" s="339"/>
      <c r="K29" s="149"/>
      <c r="L29" s="149"/>
      <c r="M29" s="197">
        <v>2</v>
      </c>
      <c r="N29" s="721"/>
      <c r="O29" s="348"/>
      <c r="P29" s="348"/>
      <c r="Q29" s="348"/>
      <c r="R29" s="348"/>
      <c r="S29" s="197">
        <v>2</v>
      </c>
      <c r="T29" s="721"/>
      <c r="U29" s="149"/>
      <c r="V29" s="148"/>
      <c r="W29" s="149"/>
      <c r="X29" s="149"/>
      <c r="Y29" s="197">
        <v>2</v>
      </c>
      <c r="Z29" s="721"/>
      <c r="AA29" s="179"/>
      <c r="AB29" s="167"/>
      <c r="AC29" s="179"/>
      <c r="AD29" s="179"/>
      <c r="AE29" s="197">
        <v>2</v>
      </c>
      <c r="AF29" s="721"/>
      <c r="AG29" s="198"/>
      <c r="AH29" s="148"/>
      <c r="AI29" s="149"/>
      <c r="AJ29" s="149"/>
      <c r="AK29" s="197">
        <v>1</v>
      </c>
      <c r="AL29" s="721"/>
      <c r="AM29" s="148"/>
      <c r="AN29" s="148"/>
      <c r="AO29" s="149"/>
      <c r="AP29" s="149"/>
      <c r="AQ29" s="197">
        <v>2</v>
      </c>
      <c r="AR29" s="721"/>
      <c r="AS29" s="149"/>
      <c r="AU29" s="149"/>
      <c r="AV29" s="149"/>
      <c r="AW29" s="197">
        <v>2</v>
      </c>
      <c r="AX29" s="721"/>
      <c r="AY29" s="149"/>
      <c r="AZ29" s="148"/>
      <c r="BA29" s="149"/>
      <c r="BB29" s="149"/>
      <c r="BC29" s="197">
        <v>2</v>
      </c>
      <c r="BD29" s="721"/>
      <c r="BE29" s="149"/>
      <c r="BF29" s="148"/>
      <c r="BG29" s="149"/>
      <c r="BH29" s="149"/>
      <c r="BI29" s="197">
        <v>2</v>
      </c>
      <c r="BJ29" s="721"/>
      <c r="BK29" s="149"/>
      <c r="BL29" s="148"/>
      <c r="BM29" s="149"/>
      <c r="BN29" s="149"/>
      <c r="BO29" s="197"/>
      <c r="BP29" s="721"/>
      <c r="BQ29" s="149"/>
      <c r="BR29" s="148"/>
      <c r="BS29" s="149"/>
      <c r="BT29" s="149"/>
      <c r="BU29" s="197"/>
      <c r="BV29" s="721"/>
      <c r="BW29" s="149"/>
      <c r="BX29" s="148"/>
      <c r="BY29" s="149"/>
      <c r="BZ29" s="149"/>
      <c r="CA29" s="197"/>
      <c r="CB29" s="721"/>
      <c r="CC29" s="179"/>
      <c r="CD29" s="148"/>
      <c r="CE29" s="149"/>
      <c r="CF29" s="149"/>
      <c r="CG29" s="230"/>
      <c r="CH29" s="789"/>
      <c r="CI29" s="147"/>
      <c r="CJ29" s="148"/>
      <c r="CK29" s="149"/>
      <c r="CL29" s="149"/>
    </row>
    <row r="30" spans="2:90" ht="59.25" customHeight="1" outlineLevel="1" x14ac:dyDescent="0.2">
      <c r="B30" s="383" t="s">
        <v>251</v>
      </c>
      <c r="C30" s="814"/>
      <c r="D30" s="242" t="s">
        <v>220</v>
      </c>
      <c r="E30" s="750" t="s">
        <v>221</v>
      </c>
      <c r="F30" s="750"/>
      <c r="G30" s="232">
        <v>2</v>
      </c>
      <c r="H30" s="722"/>
      <c r="I30" s="233"/>
      <c r="J30" s="234"/>
      <c r="K30" s="233"/>
      <c r="L30" s="233"/>
      <c r="M30" s="232">
        <v>2</v>
      </c>
      <c r="N30" s="722"/>
      <c r="O30" s="349"/>
      <c r="P30" s="349"/>
      <c r="Q30" s="349"/>
      <c r="R30" s="349"/>
      <c r="S30" s="232">
        <v>1</v>
      </c>
      <c r="T30" s="722"/>
      <c r="U30" s="233"/>
      <c r="V30" s="234" t="s">
        <v>252</v>
      </c>
      <c r="W30" s="233"/>
      <c r="X30" s="233"/>
      <c r="Y30" s="232">
        <v>2</v>
      </c>
      <c r="Z30" s="722"/>
      <c r="AA30" s="235"/>
      <c r="AB30" s="236"/>
      <c r="AC30" s="235"/>
      <c r="AD30" s="235"/>
      <c r="AE30" s="232">
        <v>2</v>
      </c>
      <c r="AF30" s="722"/>
      <c r="AG30" s="243"/>
      <c r="AH30" s="234"/>
      <c r="AI30" s="233"/>
      <c r="AJ30" s="233"/>
      <c r="AK30" s="232">
        <v>2</v>
      </c>
      <c r="AL30" s="722"/>
      <c r="AM30" s="243"/>
      <c r="AN30" s="244"/>
      <c r="AO30" s="233"/>
      <c r="AP30" s="233"/>
      <c r="AQ30" s="232">
        <v>2</v>
      </c>
      <c r="AR30" s="722"/>
      <c r="AS30" s="233"/>
      <c r="AT30" s="234"/>
      <c r="AU30" s="233"/>
      <c r="AV30" s="233"/>
      <c r="AW30" s="232">
        <v>2</v>
      </c>
      <c r="AX30" s="722"/>
      <c r="AY30" s="233"/>
      <c r="AZ30" s="234"/>
      <c r="BA30" s="233"/>
      <c r="BB30" s="233"/>
      <c r="BC30" s="232">
        <v>2</v>
      </c>
      <c r="BD30" s="722"/>
      <c r="BE30" s="233"/>
      <c r="BF30" s="234"/>
      <c r="BG30" s="233"/>
      <c r="BH30" s="233"/>
      <c r="BI30" s="232">
        <v>2</v>
      </c>
      <c r="BJ30" s="722"/>
      <c r="BK30" s="233"/>
      <c r="BL30" s="234"/>
      <c r="BM30" s="233"/>
      <c r="BN30" s="233"/>
      <c r="BO30" s="232"/>
      <c r="BP30" s="722"/>
      <c r="BQ30" s="233"/>
      <c r="BR30" s="234"/>
      <c r="BS30" s="233"/>
      <c r="BT30" s="233"/>
      <c r="BU30" s="232"/>
      <c r="BV30" s="722"/>
      <c r="BW30" s="233"/>
      <c r="BX30" s="234"/>
      <c r="BY30" s="233"/>
      <c r="BZ30" s="233"/>
      <c r="CA30" s="232"/>
      <c r="CB30" s="722"/>
      <c r="CC30" s="235"/>
      <c r="CD30" s="234"/>
      <c r="CE30" s="233"/>
      <c r="CF30" s="233"/>
      <c r="CG30" s="238"/>
      <c r="CH30" s="789"/>
      <c r="CI30" s="147"/>
      <c r="CJ30" s="148"/>
      <c r="CK30" s="149"/>
      <c r="CL30" s="149"/>
    </row>
    <row r="31" spans="2:90" ht="39.75" customHeight="1" outlineLevel="1" x14ac:dyDescent="0.2">
      <c r="B31" s="369" t="s">
        <v>253</v>
      </c>
      <c r="C31" s="808" t="s">
        <v>254</v>
      </c>
      <c r="D31" s="249" t="s">
        <v>255</v>
      </c>
      <c r="E31" s="744" t="s">
        <v>256</v>
      </c>
      <c r="F31" s="744"/>
      <c r="G31" s="222">
        <v>2</v>
      </c>
      <c r="H31" s="720">
        <f>SUM(G31:G36)</f>
        <v>12</v>
      </c>
      <c r="I31" s="225"/>
      <c r="J31" s="224"/>
      <c r="K31" s="225"/>
      <c r="L31" s="225"/>
      <c r="M31" s="222">
        <v>2</v>
      </c>
      <c r="N31" s="720">
        <f>SUM(M31:M36)</f>
        <v>12</v>
      </c>
      <c r="O31" s="347"/>
      <c r="P31" s="226"/>
      <c r="Q31" s="347"/>
      <c r="R31" s="347"/>
      <c r="S31" s="222">
        <v>2</v>
      </c>
      <c r="T31" s="720">
        <v>12</v>
      </c>
      <c r="U31" s="225"/>
      <c r="V31" s="224"/>
      <c r="W31" s="225"/>
      <c r="X31" s="225"/>
      <c r="Y31" s="222">
        <v>2</v>
      </c>
      <c r="Z31" s="720">
        <f>SUM(Y31:Y36)</f>
        <v>12</v>
      </c>
      <c r="AA31" s="227"/>
      <c r="AB31" s="226"/>
      <c r="AC31" s="227"/>
      <c r="AD31" s="227"/>
      <c r="AE31" s="222">
        <v>2</v>
      </c>
      <c r="AF31" s="720">
        <f>SUM(AE31:AE36)</f>
        <v>12</v>
      </c>
      <c r="AG31" s="225"/>
      <c r="AH31" s="224"/>
      <c r="AI31" s="225"/>
      <c r="AJ31" s="225"/>
      <c r="AK31" s="222">
        <v>2</v>
      </c>
      <c r="AL31" s="720">
        <v>12</v>
      </c>
      <c r="AM31" s="225"/>
      <c r="AN31" s="224"/>
      <c r="AO31" s="225"/>
      <c r="AP31" s="225"/>
      <c r="AQ31" s="222">
        <v>2</v>
      </c>
      <c r="AR31" s="720">
        <f>SUM(AQ31:AQ36)</f>
        <v>12</v>
      </c>
      <c r="AS31" s="225"/>
      <c r="AT31" s="224"/>
      <c r="AU31" s="225"/>
      <c r="AV31" s="225"/>
      <c r="AW31" s="222">
        <v>2</v>
      </c>
      <c r="AX31" s="720">
        <f>SUM(AW31:AW36)</f>
        <v>12</v>
      </c>
      <c r="AY31" s="225"/>
      <c r="AZ31" s="224"/>
      <c r="BA31" s="225"/>
      <c r="BB31" s="225"/>
      <c r="BC31" s="222">
        <v>2</v>
      </c>
      <c r="BD31" s="720">
        <f>SUM(BC32:BC36)</f>
        <v>10</v>
      </c>
      <c r="BE31" s="225"/>
      <c r="BF31" s="224"/>
      <c r="BG31" s="225"/>
      <c r="BH31" s="225"/>
      <c r="BI31" s="222">
        <v>2</v>
      </c>
      <c r="BJ31" s="720">
        <f>SUM(BI31:BI36)</f>
        <v>12</v>
      </c>
      <c r="BK31" s="225"/>
      <c r="BL31" s="224"/>
      <c r="BM31" s="225"/>
      <c r="BN31" s="225"/>
      <c r="BO31" s="222"/>
      <c r="BP31" s="720">
        <v>12</v>
      </c>
      <c r="BQ31" s="225"/>
      <c r="BR31" s="224"/>
      <c r="BS31" s="225"/>
      <c r="BT31" s="225"/>
      <c r="BU31" s="222"/>
      <c r="BV31" s="720">
        <v>12</v>
      </c>
      <c r="BW31" s="225"/>
      <c r="BX31" s="224"/>
      <c r="BY31" s="225"/>
      <c r="BZ31" s="225"/>
      <c r="CA31" s="222"/>
      <c r="CB31" s="720">
        <f>SUM(CA31:CA36)</f>
        <v>0</v>
      </c>
      <c r="CC31" s="228"/>
      <c r="CD31" s="224"/>
      <c r="CE31" s="225"/>
      <c r="CF31" s="225"/>
      <c r="CG31" s="229"/>
      <c r="CH31" s="788">
        <f>SUM(CG31:CG36)</f>
        <v>0</v>
      </c>
      <c r="CI31" s="147"/>
      <c r="CJ31" s="148"/>
      <c r="CK31" s="149"/>
      <c r="CL31" s="149"/>
    </row>
    <row r="32" spans="2:90" ht="34.5" customHeight="1" outlineLevel="1" x14ac:dyDescent="0.2">
      <c r="B32" s="370" t="s">
        <v>257</v>
      </c>
      <c r="C32" s="809"/>
      <c r="D32" s="219" t="s">
        <v>258</v>
      </c>
      <c r="E32" s="745" t="s">
        <v>259</v>
      </c>
      <c r="F32" s="745"/>
      <c r="G32" s="197">
        <v>2</v>
      </c>
      <c r="H32" s="721"/>
      <c r="I32" s="149"/>
      <c r="J32" s="148"/>
      <c r="K32" s="149"/>
      <c r="L32" s="149"/>
      <c r="M32" s="197">
        <v>2</v>
      </c>
      <c r="N32" s="721"/>
      <c r="O32" s="348"/>
      <c r="P32" s="348"/>
      <c r="Q32" s="348"/>
      <c r="R32" s="348"/>
      <c r="S32" s="197">
        <v>2</v>
      </c>
      <c r="T32" s="721"/>
      <c r="U32" s="149"/>
      <c r="V32" s="148"/>
      <c r="W32" s="149"/>
      <c r="X32" s="149"/>
      <c r="Y32" s="197">
        <v>2</v>
      </c>
      <c r="Z32" s="721"/>
      <c r="AA32" s="179"/>
      <c r="AB32" s="167"/>
      <c r="AC32" s="179"/>
      <c r="AD32" s="179"/>
      <c r="AE32" s="197">
        <v>2</v>
      </c>
      <c r="AF32" s="721"/>
      <c r="AG32" s="149"/>
      <c r="AH32" s="148"/>
      <c r="AI32" s="149"/>
      <c r="AJ32" s="149"/>
      <c r="AK32" s="197">
        <v>2</v>
      </c>
      <c r="AL32" s="721"/>
      <c r="AM32" s="149"/>
      <c r="AN32" s="148"/>
      <c r="AO32" s="149"/>
      <c r="AP32" s="149"/>
      <c r="AQ32" s="197">
        <v>2</v>
      </c>
      <c r="AR32" s="721"/>
      <c r="AS32" s="149"/>
      <c r="AT32" s="148"/>
      <c r="AU32" s="149"/>
      <c r="AV32" s="149"/>
      <c r="AW32" s="197">
        <v>2</v>
      </c>
      <c r="AX32" s="721"/>
      <c r="AY32" s="149"/>
      <c r="AZ32" s="148"/>
      <c r="BA32" s="149"/>
      <c r="BB32" s="149"/>
      <c r="BC32" s="197">
        <v>2</v>
      </c>
      <c r="BD32" s="721"/>
      <c r="BE32" s="149"/>
      <c r="BF32" s="148"/>
      <c r="BG32" s="149"/>
      <c r="BH32" s="149"/>
      <c r="BI32" s="197">
        <v>2</v>
      </c>
      <c r="BJ32" s="721"/>
      <c r="BK32" s="149"/>
      <c r="BL32" s="148"/>
      <c r="BM32" s="149"/>
      <c r="BN32" s="149"/>
      <c r="BO32" s="197"/>
      <c r="BP32" s="721"/>
      <c r="BQ32" s="149"/>
      <c r="BR32" s="148"/>
      <c r="BS32" s="149"/>
      <c r="BT32" s="149"/>
      <c r="BU32" s="197"/>
      <c r="BV32" s="721"/>
      <c r="BW32" s="149"/>
      <c r="BX32" s="148"/>
      <c r="BY32" s="149"/>
      <c r="BZ32" s="149"/>
      <c r="CA32" s="197"/>
      <c r="CB32" s="721"/>
      <c r="CC32" s="179"/>
      <c r="CD32" s="148"/>
      <c r="CE32" s="149"/>
      <c r="CF32" s="149"/>
      <c r="CG32" s="230"/>
      <c r="CH32" s="789"/>
      <c r="CI32" s="147"/>
      <c r="CJ32" s="148"/>
      <c r="CK32" s="149"/>
      <c r="CL32" s="149"/>
    </row>
    <row r="33" spans="1:90" ht="39.75" customHeight="1" outlineLevel="1" x14ac:dyDescent="0.2">
      <c r="B33" s="370" t="s">
        <v>260</v>
      </c>
      <c r="C33" s="809"/>
      <c r="D33" s="219" t="s">
        <v>261</v>
      </c>
      <c r="E33" s="745" t="s">
        <v>262</v>
      </c>
      <c r="F33" s="745"/>
      <c r="G33" s="197">
        <v>2</v>
      </c>
      <c r="H33" s="721"/>
      <c r="I33" s="149"/>
      <c r="J33" s="148"/>
      <c r="K33" s="149"/>
      <c r="L33" s="149"/>
      <c r="M33" s="197">
        <v>2</v>
      </c>
      <c r="N33" s="721"/>
      <c r="O33" s="348"/>
      <c r="P33" s="348"/>
      <c r="Q33" s="348"/>
      <c r="R33" s="348"/>
      <c r="S33" s="197">
        <v>2</v>
      </c>
      <c r="T33" s="721"/>
      <c r="U33" s="149"/>
      <c r="V33" s="148"/>
      <c r="W33" s="149"/>
      <c r="X33" s="149"/>
      <c r="Y33" s="197">
        <v>2</v>
      </c>
      <c r="Z33" s="721"/>
      <c r="AA33" s="179"/>
      <c r="AB33" s="167"/>
      <c r="AC33" s="179"/>
      <c r="AD33" s="179"/>
      <c r="AE33" s="197">
        <v>2</v>
      </c>
      <c r="AF33" s="721"/>
      <c r="AG33" s="198"/>
      <c r="AH33" s="148"/>
      <c r="AI33" s="149"/>
      <c r="AJ33" s="149"/>
      <c r="AK33" s="197">
        <v>2</v>
      </c>
      <c r="AL33" s="721"/>
      <c r="AM33" s="149"/>
      <c r="AN33" s="188"/>
      <c r="AO33" s="149"/>
      <c r="AP33" s="149"/>
      <c r="AQ33" s="197">
        <v>2</v>
      </c>
      <c r="AR33" s="721"/>
      <c r="AS33" s="149"/>
      <c r="AT33" s="148"/>
      <c r="AU33" s="149"/>
      <c r="AV33" s="149"/>
      <c r="AW33" s="197">
        <v>2</v>
      </c>
      <c r="AX33" s="721"/>
      <c r="AY33" s="149"/>
      <c r="AZ33" s="148"/>
      <c r="BA33" s="149"/>
      <c r="BB33" s="149"/>
      <c r="BC33" s="197">
        <v>2</v>
      </c>
      <c r="BD33" s="721"/>
      <c r="BE33" s="149"/>
      <c r="BF33" s="148"/>
      <c r="BG33" s="149"/>
      <c r="BH33" s="149"/>
      <c r="BI33" s="197">
        <v>2</v>
      </c>
      <c r="BJ33" s="721"/>
      <c r="BK33" s="149"/>
      <c r="BL33" s="148"/>
      <c r="BM33" s="149"/>
      <c r="BN33" s="149"/>
      <c r="BO33" s="197"/>
      <c r="BP33" s="721"/>
      <c r="BQ33" s="149"/>
      <c r="BR33" s="148"/>
      <c r="BS33" s="149"/>
      <c r="BT33" s="149"/>
      <c r="BU33" s="197"/>
      <c r="BV33" s="721"/>
      <c r="BW33" s="149"/>
      <c r="BX33" s="148"/>
      <c r="BY33" s="149"/>
      <c r="BZ33" s="149"/>
      <c r="CA33" s="197"/>
      <c r="CB33" s="721"/>
      <c r="CC33" s="199"/>
      <c r="CD33" s="148"/>
      <c r="CE33" s="149"/>
      <c r="CF33" s="149"/>
      <c r="CG33" s="230"/>
      <c r="CH33" s="789"/>
      <c r="CI33" s="147"/>
      <c r="CJ33" s="148"/>
      <c r="CK33" s="149"/>
      <c r="CL33" s="149"/>
    </row>
    <row r="34" spans="1:90" ht="27" customHeight="1" outlineLevel="1" x14ac:dyDescent="0.2">
      <c r="B34" s="370" t="s">
        <v>263</v>
      </c>
      <c r="C34" s="809"/>
      <c r="D34" s="219" t="s">
        <v>264</v>
      </c>
      <c r="E34" s="745" t="s">
        <v>265</v>
      </c>
      <c r="F34" s="745"/>
      <c r="G34" s="197">
        <v>2</v>
      </c>
      <c r="H34" s="721"/>
      <c r="I34" s="149"/>
      <c r="J34" s="148"/>
      <c r="K34" s="149"/>
      <c r="L34" s="149"/>
      <c r="M34" s="197">
        <v>2</v>
      </c>
      <c r="N34" s="721"/>
      <c r="O34" s="348"/>
      <c r="P34" s="348"/>
      <c r="Q34" s="348"/>
      <c r="R34" s="348"/>
      <c r="S34" s="197">
        <v>2</v>
      </c>
      <c r="T34" s="721"/>
      <c r="U34" s="149"/>
      <c r="V34" s="148"/>
      <c r="W34" s="149"/>
      <c r="X34" s="149"/>
      <c r="Y34" s="197">
        <v>2</v>
      </c>
      <c r="Z34" s="721"/>
      <c r="AA34" s="179"/>
      <c r="AB34" s="167"/>
      <c r="AC34" s="179"/>
      <c r="AD34" s="179"/>
      <c r="AE34" s="197">
        <v>2</v>
      </c>
      <c r="AF34" s="721"/>
      <c r="AG34" s="149"/>
      <c r="AH34" s="148"/>
      <c r="AI34" s="149"/>
      <c r="AJ34" s="149"/>
      <c r="AK34" s="197">
        <v>2</v>
      </c>
      <c r="AL34" s="721"/>
      <c r="AM34" s="149"/>
      <c r="AN34" s="148"/>
      <c r="AO34" s="149"/>
      <c r="AP34" s="149"/>
      <c r="AQ34" s="197">
        <v>2</v>
      </c>
      <c r="AR34" s="721"/>
      <c r="AS34" s="149"/>
      <c r="AT34" s="148"/>
      <c r="AU34" s="149"/>
      <c r="AV34" s="149"/>
      <c r="AW34" s="197">
        <v>2</v>
      </c>
      <c r="AX34" s="721"/>
      <c r="AY34" s="149"/>
      <c r="AZ34" s="148"/>
      <c r="BA34" s="149"/>
      <c r="BB34" s="149"/>
      <c r="BC34" s="197">
        <v>2</v>
      </c>
      <c r="BD34" s="721"/>
      <c r="BE34" s="149"/>
      <c r="BF34" s="148"/>
      <c r="BG34" s="149"/>
      <c r="BH34" s="149"/>
      <c r="BI34" s="197">
        <v>2</v>
      </c>
      <c r="BJ34" s="721"/>
      <c r="BK34" s="149"/>
      <c r="BL34" s="148"/>
      <c r="BM34" s="149"/>
      <c r="BN34" s="149"/>
      <c r="BO34" s="197"/>
      <c r="BP34" s="721"/>
      <c r="BQ34" s="149"/>
      <c r="BR34" s="148"/>
      <c r="BS34" s="149"/>
      <c r="BT34" s="149"/>
      <c r="BU34" s="197"/>
      <c r="BV34" s="721"/>
      <c r="BW34" s="149"/>
      <c r="BX34" s="148"/>
      <c r="BY34" s="149"/>
      <c r="BZ34" s="149"/>
      <c r="CA34" s="197"/>
      <c r="CB34" s="721"/>
      <c r="CC34" s="179"/>
      <c r="CD34" s="148"/>
      <c r="CE34" s="149"/>
      <c r="CF34" s="149"/>
      <c r="CG34" s="230"/>
      <c r="CH34" s="789"/>
      <c r="CI34" s="147"/>
      <c r="CJ34" s="148"/>
      <c r="CK34" s="149"/>
      <c r="CL34" s="149"/>
    </row>
    <row r="35" spans="1:90" ht="36" customHeight="1" outlineLevel="1" x14ac:dyDescent="0.2">
      <c r="B35" s="370" t="s">
        <v>266</v>
      </c>
      <c r="C35" s="809"/>
      <c r="D35" s="219" t="s">
        <v>267</v>
      </c>
      <c r="E35" s="745" t="s">
        <v>268</v>
      </c>
      <c r="F35" s="745"/>
      <c r="G35" s="197">
        <v>2</v>
      </c>
      <c r="H35" s="721"/>
      <c r="I35" s="149"/>
      <c r="J35" s="148"/>
      <c r="K35" s="149"/>
      <c r="L35" s="149"/>
      <c r="M35" s="197">
        <v>2</v>
      </c>
      <c r="N35" s="721"/>
      <c r="O35" s="348"/>
      <c r="P35" s="348"/>
      <c r="Q35" s="348"/>
      <c r="R35" s="348"/>
      <c r="S35" s="197">
        <v>2</v>
      </c>
      <c r="T35" s="721"/>
      <c r="U35" s="149"/>
      <c r="V35" s="148"/>
      <c r="W35" s="149"/>
      <c r="X35" s="149"/>
      <c r="Y35" s="197">
        <v>2</v>
      </c>
      <c r="Z35" s="721"/>
      <c r="AA35" s="179"/>
      <c r="AB35" s="167"/>
      <c r="AC35" s="179"/>
      <c r="AD35" s="179"/>
      <c r="AE35" s="197">
        <v>2</v>
      </c>
      <c r="AF35" s="721"/>
      <c r="AG35" s="149"/>
      <c r="AH35" s="148"/>
      <c r="AI35" s="149"/>
      <c r="AJ35" s="149"/>
      <c r="AK35" s="197">
        <v>2</v>
      </c>
      <c r="AL35" s="721"/>
      <c r="AM35" s="149"/>
      <c r="AN35" s="148"/>
      <c r="AO35" s="149"/>
      <c r="AP35" s="149"/>
      <c r="AQ35" s="197">
        <v>2</v>
      </c>
      <c r="AR35" s="721"/>
      <c r="AS35" s="149"/>
      <c r="AT35" s="148"/>
      <c r="AU35" s="149"/>
      <c r="AV35" s="149"/>
      <c r="AW35" s="197">
        <v>2</v>
      </c>
      <c r="AX35" s="721"/>
      <c r="AY35" s="149"/>
      <c r="AZ35" s="148"/>
      <c r="BA35" s="149"/>
      <c r="BB35" s="149"/>
      <c r="BC35" s="197">
        <v>2</v>
      </c>
      <c r="BD35" s="721"/>
      <c r="BE35" s="149"/>
      <c r="BF35" s="148"/>
      <c r="BG35" s="149"/>
      <c r="BH35" s="149"/>
      <c r="BI35" s="197">
        <v>2</v>
      </c>
      <c r="BJ35" s="721"/>
      <c r="BK35" s="149"/>
      <c r="BL35" s="148"/>
      <c r="BM35" s="149"/>
      <c r="BN35" s="149"/>
      <c r="BO35" s="197"/>
      <c r="BP35" s="721"/>
      <c r="BQ35" s="149"/>
      <c r="BR35" s="148"/>
      <c r="BS35" s="149"/>
      <c r="BT35" s="149"/>
      <c r="BU35" s="197"/>
      <c r="BV35" s="721"/>
      <c r="BW35" s="149"/>
      <c r="BX35" s="148"/>
      <c r="BY35" s="149"/>
      <c r="BZ35" s="149"/>
      <c r="CA35" s="197"/>
      <c r="CB35" s="721"/>
      <c r="CC35" s="179"/>
      <c r="CD35" s="148"/>
      <c r="CE35" s="149"/>
      <c r="CF35" s="149"/>
      <c r="CG35" s="230"/>
      <c r="CH35" s="789"/>
      <c r="CI35" s="150"/>
      <c r="CJ35" s="151"/>
      <c r="CK35" s="152"/>
      <c r="CL35" s="152"/>
    </row>
    <row r="36" spans="1:90" ht="54" customHeight="1" outlineLevel="1" x14ac:dyDescent="0.2">
      <c r="B36" s="368" t="s">
        <v>269</v>
      </c>
      <c r="C36" s="810"/>
      <c r="D36" s="250" t="s">
        <v>270</v>
      </c>
      <c r="E36" s="746" t="s">
        <v>271</v>
      </c>
      <c r="F36" s="746"/>
      <c r="G36" s="232">
        <v>2</v>
      </c>
      <c r="H36" s="722"/>
      <c r="I36" s="233"/>
      <c r="J36" s="234"/>
      <c r="K36" s="233"/>
      <c r="L36" s="233"/>
      <c r="M36" s="232">
        <v>2</v>
      </c>
      <c r="N36" s="722"/>
      <c r="O36" s="349"/>
      <c r="P36" s="349"/>
      <c r="Q36" s="349"/>
      <c r="R36" s="349"/>
      <c r="S36" s="232">
        <v>2</v>
      </c>
      <c r="T36" s="722"/>
      <c r="U36" s="233"/>
      <c r="V36" s="234"/>
      <c r="W36" s="233"/>
      <c r="X36" s="233"/>
      <c r="Y36" s="232">
        <v>2</v>
      </c>
      <c r="Z36" s="722"/>
      <c r="AA36" s="235"/>
      <c r="AB36" s="236"/>
      <c r="AC36" s="235"/>
      <c r="AD36" s="235"/>
      <c r="AE36" s="232">
        <v>2</v>
      </c>
      <c r="AF36" s="722"/>
      <c r="AG36" s="233"/>
      <c r="AH36" s="234"/>
      <c r="AI36" s="233"/>
      <c r="AJ36" s="233"/>
      <c r="AK36" s="232">
        <v>2</v>
      </c>
      <c r="AL36" s="722"/>
      <c r="AM36" s="233"/>
      <c r="AN36" s="234"/>
      <c r="AO36" s="233"/>
      <c r="AP36" s="233"/>
      <c r="AQ36" s="232">
        <v>2</v>
      </c>
      <c r="AR36" s="722"/>
      <c r="AS36" s="233"/>
      <c r="AT36" s="234"/>
      <c r="AU36" s="233"/>
      <c r="AV36" s="233"/>
      <c r="AW36" s="232">
        <v>2</v>
      </c>
      <c r="AX36" s="722"/>
      <c r="AY36" s="233"/>
      <c r="AZ36" s="234"/>
      <c r="BA36" s="233"/>
      <c r="BB36" s="233"/>
      <c r="BC36" s="232">
        <v>2</v>
      </c>
      <c r="BD36" s="722"/>
      <c r="BE36" s="233"/>
      <c r="BF36" s="234"/>
      <c r="BG36" s="233"/>
      <c r="BH36" s="233"/>
      <c r="BI36" s="232">
        <v>2</v>
      </c>
      <c r="BJ36" s="722"/>
      <c r="BK36" s="233"/>
      <c r="BL36" s="234"/>
      <c r="BM36" s="233"/>
      <c r="BN36" s="233"/>
      <c r="BO36" s="232"/>
      <c r="BP36" s="722"/>
      <c r="BQ36" s="233"/>
      <c r="BR36" s="234"/>
      <c r="BS36" s="233"/>
      <c r="BT36" s="233"/>
      <c r="BU36" s="232"/>
      <c r="BV36" s="722"/>
      <c r="BW36" s="233"/>
      <c r="BX36" s="234"/>
      <c r="BY36" s="233"/>
      <c r="BZ36" s="233"/>
      <c r="CA36" s="232"/>
      <c r="CB36" s="722"/>
      <c r="CC36" s="180"/>
      <c r="CD36" s="151"/>
      <c r="CE36" s="152"/>
      <c r="CF36" s="152"/>
      <c r="CG36" s="238"/>
      <c r="CH36" s="790"/>
      <c r="CI36" s="150"/>
      <c r="CJ36" s="151"/>
      <c r="CK36" s="152"/>
      <c r="CL36" s="152"/>
    </row>
    <row r="37" spans="1:90" s="414" customFormat="1" ht="27.75" customHeight="1" outlineLevel="1" x14ac:dyDescent="0.25">
      <c r="A37" s="4"/>
      <c r="B37" s="220"/>
      <c r="C37" s="779" t="s">
        <v>272</v>
      </c>
      <c r="D37" s="245" t="s">
        <v>273</v>
      </c>
      <c r="E37" s="781" t="s">
        <v>274</v>
      </c>
      <c r="F37" s="781"/>
      <c r="G37" s="246">
        <v>2</v>
      </c>
      <c r="H37" s="732">
        <f>SUM(G37:G41)</f>
        <v>10</v>
      </c>
      <c r="I37" s="194"/>
      <c r="J37" s="193"/>
      <c r="K37" s="194"/>
      <c r="L37" s="194"/>
      <c r="M37" s="246">
        <v>2</v>
      </c>
      <c r="N37" s="732">
        <f>SUM(M37:M41)</f>
        <v>10</v>
      </c>
      <c r="O37" s="194"/>
      <c r="P37" s="193"/>
      <c r="Q37" s="194"/>
      <c r="R37" s="194"/>
      <c r="S37" s="220">
        <v>2</v>
      </c>
      <c r="T37" s="732">
        <v>10</v>
      </c>
      <c r="U37" s="194"/>
      <c r="V37" s="193"/>
      <c r="W37" s="194"/>
      <c r="X37" s="194"/>
      <c r="Y37" s="220">
        <v>2</v>
      </c>
      <c r="Z37" s="732">
        <f>SUM(Y37:Y41)</f>
        <v>10</v>
      </c>
      <c r="AA37" s="247"/>
      <c r="AB37" s="248"/>
      <c r="AC37" s="247"/>
      <c r="AD37" s="247"/>
      <c r="AE37" s="220">
        <v>2</v>
      </c>
      <c r="AF37" s="732">
        <f>SUM(AE37:AE41)</f>
        <v>10</v>
      </c>
      <c r="AG37" s="194"/>
      <c r="AH37" s="193"/>
      <c r="AI37" s="194"/>
      <c r="AJ37" s="194"/>
      <c r="AK37" s="220">
        <v>2</v>
      </c>
      <c r="AL37" s="841">
        <v>10</v>
      </c>
      <c r="AM37" s="194"/>
      <c r="AN37" s="194"/>
      <c r="AO37" s="194"/>
      <c r="AP37" s="194"/>
      <c r="AQ37" s="220">
        <v>2</v>
      </c>
      <c r="AR37" s="844">
        <f>SUM(AQ37:AQ41)</f>
        <v>10</v>
      </c>
      <c r="AS37" s="225"/>
      <c r="AT37" s="224"/>
      <c r="AU37" s="225"/>
      <c r="AV37" s="225"/>
      <c r="AW37" s="220">
        <v>2</v>
      </c>
      <c r="AX37" s="726">
        <f>SUM(AW37:AW41)</f>
        <v>10</v>
      </c>
      <c r="AY37" s="155"/>
      <c r="AZ37" s="155"/>
      <c r="BA37" s="155"/>
      <c r="BB37" s="155"/>
      <c r="BC37" s="220">
        <v>2</v>
      </c>
      <c r="BD37" s="726">
        <f>SUM(BC37:BC41)</f>
        <v>10</v>
      </c>
      <c r="BE37" s="194"/>
      <c r="BF37" s="194"/>
      <c r="BG37" s="194"/>
      <c r="BH37" s="194"/>
      <c r="BI37" s="220">
        <v>2</v>
      </c>
      <c r="BJ37" s="726">
        <f>SUM(BI37:BI41)</f>
        <v>10</v>
      </c>
      <c r="BK37" s="194"/>
      <c r="BL37" s="194"/>
      <c r="BM37" s="194"/>
      <c r="BN37" s="194"/>
      <c r="BO37" s="220"/>
      <c r="BP37" s="844">
        <v>10</v>
      </c>
      <c r="BQ37" s="194"/>
      <c r="BR37" s="194"/>
      <c r="BS37" s="194"/>
      <c r="BT37" s="194"/>
      <c r="BU37" s="220"/>
      <c r="BV37" s="726">
        <v>8</v>
      </c>
      <c r="BW37" s="194"/>
      <c r="BX37" s="194"/>
      <c r="BY37" s="194"/>
      <c r="BZ37" s="194"/>
      <c r="CA37" s="220"/>
      <c r="CB37" s="728">
        <f>SUM(CA37:CA41)</f>
        <v>0</v>
      </c>
      <c r="CC37" s="149"/>
      <c r="CD37" s="149"/>
      <c r="CE37" s="149"/>
      <c r="CF37" s="149"/>
      <c r="CG37" s="413"/>
      <c r="CH37" s="414">
        <f>SUM(CG37:CG41)</f>
        <v>0</v>
      </c>
      <c r="CI37" s="415"/>
      <c r="CJ37" s="415"/>
      <c r="CK37" s="415"/>
      <c r="CL37" s="415"/>
    </row>
    <row r="38" spans="1:90" s="414" customFormat="1" ht="34.5" customHeight="1" outlineLevel="1" x14ac:dyDescent="0.25">
      <c r="A38" s="190"/>
      <c r="B38" s="365"/>
      <c r="C38" s="780"/>
      <c r="D38" s="201" t="s">
        <v>275</v>
      </c>
      <c r="E38" s="772" t="s">
        <v>276</v>
      </c>
      <c r="F38" s="772"/>
      <c r="G38" s="202">
        <v>2</v>
      </c>
      <c r="H38" s="733"/>
      <c r="I38" s="155"/>
      <c r="J38" s="154"/>
      <c r="K38" s="155"/>
      <c r="L38" s="155"/>
      <c r="M38" s="202">
        <v>2</v>
      </c>
      <c r="N38" s="733"/>
      <c r="O38" s="155"/>
      <c r="P38" s="154"/>
      <c r="Q38" s="155"/>
      <c r="R38" s="155"/>
      <c r="S38" s="197">
        <v>2</v>
      </c>
      <c r="T38" s="733"/>
      <c r="U38" s="155"/>
      <c r="V38" s="154"/>
      <c r="W38" s="155"/>
      <c r="X38" s="155"/>
      <c r="Y38" s="197">
        <v>2</v>
      </c>
      <c r="Z38" s="733"/>
      <c r="AA38" s="182"/>
      <c r="AB38" s="181"/>
      <c r="AC38" s="182"/>
      <c r="AD38" s="182"/>
      <c r="AE38" s="197">
        <v>2</v>
      </c>
      <c r="AF38" s="733"/>
      <c r="AG38" s="155"/>
      <c r="AH38" s="154"/>
      <c r="AI38" s="155"/>
      <c r="AJ38" s="155"/>
      <c r="AK38" s="197">
        <v>2</v>
      </c>
      <c r="AL38" s="842"/>
      <c r="AM38" s="194"/>
      <c r="AN38" s="194"/>
      <c r="AO38" s="194"/>
      <c r="AP38" s="194"/>
      <c r="AQ38" s="197">
        <v>2</v>
      </c>
      <c r="AR38" s="845"/>
      <c r="AS38" s="149"/>
      <c r="AT38" s="148"/>
      <c r="AU38" s="149"/>
      <c r="AV38" s="149"/>
      <c r="AW38" s="197">
        <v>2</v>
      </c>
      <c r="AX38" s="727"/>
      <c r="AY38" s="155"/>
      <c r="AZ38" s="155"/>
      <c r="BA38" s="155"/>
      <c r="BB38" s="155"/>
      <c r="BC38" s="197">
        <v>2</v>
      </c>
      <c r="BD38" s="727"/>
      <c r="BE38" s="194"/>
      <c r="BF38" s="194"/>
      <c r="BG38" s="194"/>
      <c r="BH38" s="194"/>
      <c r="BI38" s="197">
        <v>2</v>
      </c>
      <c r="BJ38" s="727"/>
      <c r="BK38" s="194"/>
      <c r="BL38" s="194"/>
      <c r="BM38" s="194"/>
      <c r="BN38" s="194"/>
      <c r="BO38" s="197"/>
      <c r="BP38" s="845"/>
      <c r="BQ38" s="194"/>
      <c r="BR38" s="194"/>
      <c r="BS38" s="194"/>
      <c r="BT38" s="194"/>
      <c r="BU38" s="197"/>
      <c r="BV38" s="727"/>
      <c r="BW38" s="194"/>
      <c r="BX38" s="194"/>
      <c r="BY38" s="194"/>
      <c r="BZ38" s="194"/>
      <c r="CA38" s="197"/>
      <c r="CB38" s="847"/>
      <c r="CC38" s="149"/>
      <c r="CD38" s="149"/>
      <c r="CE38" s="149"/>
      <c r="CF38" s="149"/>
      <c r="CG38" s="416"/>
      <c r="CI38" s="415"/>
      <c r="CJ38" s="415"/>
      <c r="CK38" s="415"/>
      <c r="CL38" s="415"/>
    </row>
    <row r="39" spans="1:90" s="414" customFormat="1" ht="42.75" customHeight="1" outlineLevel="1" x14ac:dyDescent="0.2">
      <c r="A39" s="190"/>
      <c r="B39" s="365"/>
      <c r="C39" s="780"/>
      <c r="D39" s="201" t="s">
        <v>277</v>
      </c>
      <c r="E39" s="772" t="s">
        <v>278</v>
      </c>
      <c r="F39" s="772"/>
      <c r="G39" s="202">
        <v>2</v>
      </c>
      <c r="H39" s="733"/>
      <c r="I39" s="155"/>
      <c r="J39" s="154"/>
      <c r="K39" s="155"/>
      <c r="L39" s="155"/>
      <c r="M39" s="202">
        <v>2</v>
      </c>
      <c r="N39" s="733"/>
      <c r="O39" s="155"/>
      <c r="P39" s="154"/>
      <c r="Q39" s="155"/>
      <c r="R39" s="155"/>
      <c r="S39" s="197">
        <v>2</v>
      </c>
      <c r="T39" s="733"/>
      <c r="U39" s="155"/>
      <c r="V39" s="154"/>
      <c r="W39" s="340"/>
      <c r="X39" s="155"/>
      <c r="Y39" s="197">
        <v>2</v>
      </c>
      <c r="Z39" s="733"/>
      <c r="AA39" s="182"/>
      <c r="AB39" s="181"/>
      <c r="AC39" s="182"/>
      <c r="AD39" s="182"/>
      <c r="AE39" s="197">
        <v>2</v>
      </c>
      <c r="AF39" s="733"/>
      <c r="AG39" s="155"/>
      <c r="AH39" s="154"/>
      <c r="AI39" s="155"/>
      <c r="AJ39" s="155"/>
      <c r="AK39" s="197">
        <v>2</v>
      </c>
      <c r="AL39" s="842"/>
      <c r="AM39" s="194"/>
      <c r="AN39" s="194"/>
      <c r="AO39" s="194"/>
      <c r="AP39" s="194"/>
      <c r="AQ39" s="197">
        <v>2</v>
      </c>
      <c r="AR39" s="845"/>
      <c r="AS39" s="149"/>
      <c r="AT39" s="148"/>
      <c r="AU39" s="149"/>
      <c r="AV39" s="149"/>
      <c r="AW39" s="197">
        <v>2</v>
      </c>
      <c r="AX39" s="727"/>
      <c r="AY39" s="155"/>
      <c r="AZ39" s="155"/>
      <c r="BA39" s="155"/>
      <c r="BB39" s="155"/>
      <c r="BC39" s="197">
        <v>2</v>
      </c>
      <c r="BD39" s="727"/>
      <c r="BE39" s="194"/>
      <c r="BF39" s="194"/>
      <c r="BG39" s="194"/>
      <c r="BH39" s="194"/>
      <c r="BI39" s="197">
        <v>2</v>
      </c>
      <c r="BJ39" s="727"/>
      <c r="BK39" s="194"/>
      <c r="BL39" s="194"/>
      <c r="BM39" s="194"/>
      <c r="BN39" s="194"/>
      <c r="BO39" s="197"/>
      <c r="BP39" s="845"/>
      <c r="BQ39" s="194"/>
      <c r="BR39" s="194"/>
      <c r="BS39" s="194"/>
      <c r="BT39" s="194"/>
      <c r="BU39" s="197"/>
      <c r="BV39" s="727"/>
      <c r="BW39" s="194"/>
      <c r="BX39" s="194"/>
      <c r="BY39" s="194"/>
      <c r="BZ39" s="194"/>
      <c r="CA39" s="197"/>
      <c r="CB39" s="847"/>
      <c r="CC39" s="149"/>
      <c r="CD39" s="149"/>
      <c r="CE39" s="149"/>
      <c r="CF39" s="149"/>
      <c r="CG39" s="416"/>
      <c r="CI39" s="415"/>
      <c r="CJ39" s="415"/>
      <c r="CK39" s="415"/>
      <c r="CL39" s="415"/>
    </row>
    <row r="40" spans="1:90" s="414" customFormat="1" ht="36" customHeight="1" outlineLevel="1" x14ac:dyDescent="0.25">
      <c r="A40" s="190"/>
      <c r="B40" s="365"/>
      <c r="C40" s="780"/>
      <c r="D40" s="201" t="s">
        <v>279</v>
      </c>
      <c r="E40" s="772" t="s">
        <v>280</v>
      </c>
      <c r="F40" s="772"/>
      <c r="G40" s="202">
        <v>2</v>
      </c>
      <c r="H40" s="733"/>
      <c r="I40" s="155"/>
      <c r="J40" s="154"/>
      <c r="K40" s="155"/>
      <c r="L40" s="155"/>
      <c r="M40" s="202">
        <v>2</v>
      </c>
      <c r="N40" s="733"/>
      <c r="O40" s="155"/>
      <c r="P40" s="154"/>
      <c r="Q40" s="155"/>
      <c r="R40" s="155"/>
      <c r="S40" s="197">
        <v>2</v>
      </c>
      <c r="T40" s="733"/>
      <c r="U40" s="155"/>
      <c r="V40" s="154"/>
      <c r="W40" s="155"/>
      <c r="X40" s="155"/>
      <c r="Y40" s="197">
        <v>2</v>
      </c>
      <c r="Z40" s="733"/>
      <c r="AA40" s="182"/>
      <c r="AB40" s="181"/>
      <c r="AC40" s="182"/>
      <c r="AD40" s="182"/>
      <c r="AE40" s="197">
        <v>2</v>
      </c>
      <c r="AF40" s="733"/>
      <c r="AG40" s="155"/>
      <c r="AH40" s="154"/>
      <c r="AI40" s="155"/>
      <c r="AJ40" s="155"/>
      <c r="AK40" s="197">
        <v>2</v>
      </c>
      <c r="AL40" s="842"/>
      <c r="AM40" s="194"/>
      <c r="AN40" s="194"/>
      <c r="AO40" s="194"/>
      <c r="AP40" s="194"/>
      <c r="AQ40" s="197">
        <v>2</v>
      </c>
      <c r="AR40" s="845"/>
      <c r="AS40" s="149"/>
      <c r="AT40" s="148"/>
      <c r="AU40" s="149"/>
      <c r="AV40" s="149"/>
      <c r="AW40" s="197">
        <v>2</v>
      </c>
      <c r="AX40" s="727"/>
      <c r="AY40" s="155"/>
      <c r="AZ40" s="155"/>
      <c r="BA40" s="155"/>
      <c r="BB40" s="155"/>
      <c r="BC40" s="197">
        <v>2</v>
      </c>
      <c r="BD40" s="727"/>
      <c r="BE40" s="194"/>
      <c r="BF40" s="194"/>
      <c r="BG40" s="194"/>
      <c r="BH40" s="194"/>
      <c r="BI40" s="197">
        <v>2</v>
      </c>
      <c r="BJ40" s="727"/>
      <c r="BK40" s="194"/>
      <c r="BL40" s="194"/>
      <c r="BM40" s="194"/>
      <c r="BN40" s="194"/>
      <c r="BO40" s="197"/>
      <c r="BP40" s="845"/>
      <c r="BQ40" s="194"/>
      <c r="BR40" s="194"/>
      <c r="BS40" s="194"/>
      <c r="BT40" s="194"/>
      <c r="BU40" s="197"/>
      <c r="BV40" s="727"/>
      <c r="BW40" s="194"/>
      <c r="BX40" s="194"/>
      <c r="BY40" s="194"/>
      <c r="BZ40" s="194"/>
      <c r="CA40" s="197"/>
      <c r="CB40" s="847"/>
      <c r="CC40" s="149"/>
      <c r="CD40" s="149"/>
      <c r="CE40" s="149"/>
      <c r="CF40" s="149"/>
      <c r="CG40" s="416"/>
      <c r="CI40" s="415"/>
      <c r="CJ40" s="415"/>
      <c r="CK40" s="415"/>
      <c r="CL40" s="415"/>
    </row>
    <row r="41" spans="1:90" s="414" customFormat="1" ht="36" customHeight="1" outlineLevel="1" x14ac:dyDescent="0.2">
      <c r="A41" s="190"/>
      <c r="B41" s="365"/>
      <c r="C41" s="780"/>
      <c r="D41" s="201" t="s">
        <v>281</v>
      </c>
      <c r="E41" s="772" t="s">
        <v>282</v>
      </c>
      <c r="F41" s="772"/>
      <c r="G41" s="202">
        <v>2</v>
      </c>
      <c r="H41" s="733"/>
      <c r="I41" s="155"/>
      <c r="J41" s="154"/>
      <c r="K41" s="340"/>
      <c r="L41" s="155"/>
      <c r="M41" s="202">
        <v>2</v>
      </c>
      <c r="N41" s="733"/>
      <c r="O41" s="155"/>
      <c r="P41" s="154"/>
      <c r="Q41" s="340"/>
      <c r="R41" s="155"/>
      <c r="S41" s="197">
        <v>2</v>
      </c>
      <c r="T41" s="733"/>
      <c r="U41" s="155"/>
      <c r="V41" s="154"/>
      <c r="W41" s="155"/>
      <c r="X41" s="155"/>
      <c r="Y41" s="197">
        <v>2</v>
      </c>
      <c r="Z41" s="733"/>
      <c r="AA41" s="182"/>
      <c r="AB41" s="181"/>
      <c r="AC41" s="340"/>
      <c r="AD41" s="182"/>
      <c r="AE41" s="197">
        <v>2</v>
      </c>
      <c r="AF41" s="733"/>
      <c r="AG41" s="155"/>
      <c r="AH41" s="154"/>
      <c r="AI41" s="340"/>
      <c r="AJ41" s="155"/>
      <c r="AK41" s="197">
        <v>2</v>
      </c>
      <c r="AL41" s="843"/>
      <c r="AM41" s="194"/>
      <c r="AN41" s="194"/>
      <c r="AO41" s="194"/>
      <c r="AP41" s="194"/>
      <c r="AQ41" s="197">
        <v>2</v>
      </c>
      <c r="AR41" s="846"/>
      <c r="AS41" s="149"/>
      <c r="AT41" s="148"/>
      <c r="AU41" s="149"/>
      <c r="AV41" s="149"/>
      <c r="AW41" s="197">
        <v>2</v>
      </c>
      <c r="AX41" s="728"/>
      <c r="AY41" s="155"/>
      <c r="AZ41" s="155"/>
      <c r="BA41" s="155"/>
      <c r="BB41" s="155"/>
      <c r="BC41" s="197">
        <v>2</v>
      </c>
      <c r="BD41" s="728"/>
      <c r="BE41" s="194"/>
      <c r="BF41" s="194"/>
      <c r="BG41" s="194"/>
      <c r="BH41" s="194"/>
      <c r="BI41" s="197">
        <v>2</v>
      </c>
      <c r="BJ41" s="728"/>
      <c r="BK41" s="194"/>
      <c r="BL41" s="194"/>
      <c r="BM41" s="194"/>
      <c r="BN41" s="194"/>
      <c r="BO41" s="197"/>
      <c r="BP41" s="846"/>
      <c r="BQ41" s="194"/>
      <c r="BR41" s="194"/>
      <c r="BS41" s="194"/>
      <c r="BT41" s="194"/>
      <c r="BU41" s="197"/>
      <c r="BV41" s="728"/>
      <c r="BW41" s="194"/>
      <c r="BX41" s="194"/>
      <c r="BY41" s="194"/>
      <c r="BZ41" s="194"/>
      <c r="CA41" s="197"/>
      <c r="CB41" s="847"/>
      <c r="CC41" s="149"/>
      <c r="CD41" s="149"/>
      <c r="CE41" s="149"/>
      <c r="CF41" s="149"/>
      <c r="CG41" s="416"/>
      <c r="CI41" s="415"/>
      <c r="CJ41" s="415"/>
      <c r="CK41" s="415"/>
      <c r="CL41" s="415"/>
    </row>
    <row r="42" spans="1:90" x14ac:dyDescent="0.2">
      <c r="B42" s="251" t="s">
        <v>283</v>
      </c>
      <c r="C42" s="208"/>
      <c r="D42" s="208"/>
      <c r="E42" s="208"/>
      <c r="F42" s="208"/>
      <c r="G42" s="208"/>
      <c r="H42" s="208"/>
      <c r="I42" s="341"/>
      <c r="J42" s="341"/>
      <c r="K42" s="341"/>
      <c r="L42" s="341"/>
      <c r="M42" s="208"/>
      <c r="N42" s="208"/>
      <c r="O42" s="341"/>
      <c r="P42" s="341"/>
      <c r="Q42" s="341"/>
      <c r="R42" s="341"/>
      <c r="S42" s="208"/>
      <c r="T42" s="208"/>
      <c r="U42" s="341"/>
      <c r="V42" s="341"/>
      <c r="W42" s="341"/>
      <c r="X42" s="341"/>
      <c r="Y42" s="208"/>
      <c r="Z42" s="208"/>
      <c r="AA42" s="341"/>
      <c r="AB42" s="341"/>
      <c r="AC42" s="341"/>
      <c r="AD42" s="341"/>
      <c r="AE42" s="208"/>
      <c r="AF42" s="208"/>
      <c r="AG42" s="341"/>
      <c r="AH42" s="341"/>
      <c r="AI42" s="341"/>
      <c r="AJ42" s="341"/>
      <c r="AK42" s="208"/>
      <c r="AL42" s="208"/>
      <c r="AM42" s="341"/>
      <c r="AN42" s="341"/>
      <c r="AO42" s="341"/>
      <c r="AP42" s="341"/>
      <c r="AQ42" s="208"/>
      <c r="AR42" s="208"/>
      <c r="AS42" s="341"/>
      <c r="AT42" s="341"/>
      <c r="AU42" s="341"/>
      <c r="AV42" s="341"/>
      <c r="AW42" s="208"/>
      <c r="AX42" s="208"/>
      <c r="AY42" s="341"/>
      <c r="AZ42" s="341"/>
      <c r="BA42" s="341"/>
      <c r="BB42" s="341"/>
      <c r="BC42" s="208"/>
      <c r="BD42" s="208"/>
      <c r="BE42" s="341"/>
      <c r="BF42" s="341"/>
      <c r="BG42" s="341"/>
      <c r="BH42" s="341"/>
      <c r="BI42" s="208"/>
      <c r="BJ42" s="208"/>
      <c r="BK42" s="341"/>
      <c r="BL42" s="341"/>
      <c r="BM42" s="341"/>
      <c r="BN42" s="341"/>
      <c r="BO42" s="208"/>
      <c r="BP42" s="208"/>
      <c r="BQ42" s="341"/>
      <c r="BR42" s="341"/>
      <c r="BS42" s="341"/>
      <c r="BT42" s="341"/>
      <c r="BU42" s="208"/>
      <c r="BV42" s="208"/>
      <c r="BW42" s="341"/>
      <c r="BX42" s="341"/>
      <c r="BY42" s="341"/>
      <c r="BZ42" s="341"/>
      <c r="CA42" s="208"/>
      <c r="CB42" s="208"/>
      <c r="CC42" s="405"/>
      <c r="CD42" s="405"/>
      <c r="CE42" s="405"/>
      <c r="CF42" s="405"/>
      <c r="CG42" s="209"/>
      <c r="CH42" s="59"/>
      <c r="CI42" s="355"/>
      <c r="CJ42" s="355"/>
      <c r="CK42" s="355"/>
      <c r="CL42" s="355"/>
    </row>
    <row r="43" spans="1:90" x14ac:dyDescent="0.2">
      <c r="B43" s="431"/>
      <c r="C43" s="432"/>
      <c r="D43" s="432"/>
      <c r="E43" s="432"/>
      <c r="F43" s="432"/>
      <c r="G43" s="432"/>
      <c r="H43" s="432"/>
      <c r="I43" s="432"/>
      <c r="J43" s="432"/>
      <c r="K43" s="432"/>
      <c r="L43" s="432"/>
      <c r="M43" s="432"/>
      <c r="N43" s="432"/>
      <c r="O43" s="432"/>
      <c r="P43" s="432"/>
      <c r="Q43" s="432"/>
      <c r="R43" s="432"/>
      <c r="S43" s="432"/>
      <c r="T43" s="432"/>
      <c r="U43" s="432"/>
      <c r="V43" s="432"/>
      <c r="W43" s="432"/>
      <c r="X43" s="432"/>
      <c r="Y43" s="432"/>
      <c r="Z43" s="432"/>
      <c r="AA43" s="432"/>
      <c r="AB43" s="432"/>
      <c r="AC43" s="432"/>
      <c r="AD43" s="432"/>
      <c r="AE43" s="432"/>
      <c r="AF43" s="432"/>
      <c r="AG43" s="432"/>
      <c r="AH43" s="432"/>
      <c r="AI43" s="432"/>
      <c r="AJ43" s="432"/>
      <c r="AK43" s="432"/>
      <c r="AL43" s="432"/>
      <c r="AM43" s="432"/>
      <c r="AN43" s="432"/>
      <c r="AO43" s="432"/>
      <c r="AP43" s="432"/>
      <c r="AQ43" s="432"/>
      <c r="AR43" s="432"/>
      <c r="AS43" s="432"/>
      <c r="AT43" s="432"/>
      <c r="AU43" s="432"/>
      <c r="AV43" s="432"/>
      <c r="AW43" s="432"/>
      <c r="AX43" s="432"/>
      <c r="AY43" s="432"/>
      <c r="AZ43" s="432"/>
      <c r="BA43" s="432"/>
      <c r="BB43" s="432"/>
      <c r="BC43" s="432"/>
      <c r="BD43" s="432"/>
      <c r="BE43" s="432"/>
      <c r="BF43" s="432"/>
      <c r="BG43" s="432"/>
      <c r="BH43" s="432"/>
      <c r="BI43" s="432"/>
      <c r="BJ43" s="432"/>
      <c r="BK43" s="432"/>
      <c r="BL43" s="432"/>
      <c r="BM43" s="432"/>
      <c r="BN43" s="432"/>
      <c r="BO43" s="432"/>
      <c r="BP43" s="432"/>
      <c r="BQ43" s="432"/>
      <c r="BR43" s="432"/>
      <c r="BS43" s="432"/>
      <c r="BT43" s="432"/>
      <c r="BU43" s="432"/>
      <c r="BV43" s="432"/>
      <c r="BW43" s="432"/>
      <c r="BX43" s="432"/>
      <c r="BY43" s="432"/>
      <c r="BZ43" s="432"/>
      <c r="CA43" s="432"/>
      <c r="CB43" s="432"/>
      <c r="CC43" s="432"/>
      <c r="CD43" s="432"/>
      <c r="CE43" s="432"/>
      <c r="CF43" s="432"/>
      <c r="CG43" s="432"/>
      <c r="CH43" s="59"/>
      <c r="CI43" s="59"/>
      <c r="CJ43" s="59"/>
      <c r="CK43" s="59"/>
      <c r="CL43" s="59"/>
    </row>
    <row r="44" spans="1:90" ht="108" customHeight="1" outlineLevel="1" x14ac:dyDescent="0.2">
      <c r="B44" s="371" t="s">
        <v>284</v>
      </c>
      <c r="C44" s="760" t="s">
        <v>166</v>
      </c>
      <c r="D44" s="221" t="s">
        <v>167</v>
      </c>
      <c r="E44" s="753" t="s">
        <v>285</v>
      </c>
      <c r="F44" s="753"/>
      <c r="G44" s="222">
        <v>1</v>
      </c>
      <c r="H44" s="720">
        <f>SUM(G44:G48)</f>
        <v>8</v>
      </c>
      <c r="I44" s="223"/>
      <c r="J44" s="224"/>
      <c r="K44" s="252"/>
      <c r="L44" s="252"/>
      <c r="M44" s="222">
        <v>2</v>
      </c>
      <c r="N44" s="720">
        <f>SUM(M44:M48)</f>
        <v>9</v>
      </c>
      <c r="O44" s="203"/>
      <c r="P44" s="226"/>
      <c r="Q44" s="252"/>
      <c r="R44" s="252"/>
      <c r="S44" s="222">
        <v>0</v>
      </c>
      <c r="T44" s="720">
        <v>6</v>
      </c>
      <c r="U44" s="223"/>
      <c r="V44" s="470" t="s">
        <v>286</v>
      </c>
      <c r="W44" s="252"/>
      <c r="X44" s="252"/>
      <c r="Y44" s="222">
        <v>2</v>
      </c>
      <c r="Z44" s="720">
        <f>SUM(Y44:Y48)</f>
        <v>10</v>
      </c>
      <c r="AA44" s="223"/>
      <c r="AB44" s="226"/>
      <c r="AC44" s="253"/>
      <c r="AD44" s="253"/>
      <c r="AE44" s="222">
        <v>0</v>
      </c>
      <c r="AF44" s="720">
        <f>SUM(AE44:AE48)</f>
        <v>6</v>
      </c>
      <c r="AG44" s="223" t="s">
        <v>287</v>
      </c>
      <c r="AH44" s="224"/>
      <c r="AI44" s="252"/>
      <c r="AJ44" s="252"/>
      <c r="AK44" s="222">
        <v>2</v>
      </c>
      <c r="AL44" s="720">
        <v>9</v>
      </c>
      <c r="AM44" s="225"/>
      <c r="AN44" s="189"/>
      <c r="AO44" s="252"/>
      <c r="AP44" s="252"/>
      <c r="AQ44" s="222">
        <v>2</v>
      </c>
      <c r="AR44" s="720">
        <f>SUM(AQ44:AQ48)</f>
        <v>10</v>
      </c>
      <c r="AS44" s="225"/>
      <c r="AT44" s="224"/>
      <c r="AU44" s="252"/>
      <c r="AV44" s="252"/>
      <c r="AW44" s="222">
        <v>2</v>
      </c>
      <c r="AX44" s="720">
        <f>SUM(AW44:AW48)</f>
        <v>7</v>
      </c>
      <c r="AY44" s="225"/>
      <c r="AZ44" s="224"/>
      <c r="BA44" s="252"/>
      <c r="BB44" s="252"/>
      <c r="BC44" s="222">
        <v>2</v>
      </c>
      <c r="BD44" s="720">
        <f>SUM(BC44:BC48)</f>
        <v>9</v>
      </c>
      <c r="BF44" s="224"/>
      <c r="BG44" s="252"/>
      <c r="BH44" s="252"/>
      <c r="BI44" s="222">
        <v>2</v>
      </c>
      <c r="BJ44" s="720">
        <f>SUM(BI44:BI48)</f>
        <v>10</v>
      </c>
      <c r="BL44" s="224"/>
      <c r="BM44" s="252"/>
      <c r="BN44" s="252"/>
      <c r="BO44" s="222"/>
      <c r="BP44" s="720">
        <v>8</v>
      </c>
      <c r="BQ44" s="225"/>
      <c r="BR44" s="224"/>
      <c r="BS44" s="252"/>
      <c r="BT44" s="252"/>
      <c r="BU44" s="222"/>
      <c r="BV44" s="720">
        <v>9</v>
      </c>
      <c r="BW44" s="225"/>
      <c r="BX44" s="224"/>
      <c r="BY44" s="252"/>
      <c r="BZ44" s="252"/>
      <c r="CA44" s="222"/>
      <c r="CB44" s="720">
        <f>SUM(CA44:CA48)</f>
        <v>0</v>
      </c>
      <c r="CC44" s="228"/>
      <c r="CD44" s="449"/>
      <c r="CE44" s="252"/>
      <c r="CF44" s="252"/>
      <c r="CG44" s="229"/>
      <c r="CH44" s="788">
        <f>SUM(CG44:CG48)</f>
        <v>0</v>
      </c>
      <c r="CI44" s="160"/>
      <c r="CJ44" s="437"/>
      <c r="CK44" s="161"/>
      <c r="CL44" s="162"/>
    </row>
    <row r="45" spans="1:90" ht="81.75" customHeight="1" outlineLevel="1" x14ac:dyDescent="0.2">
      <c r="B45" s="372" t="s">
        <v>288</v>
      </c>
      <c r="C45" s="761"/>
      <c r="D45" s="207" t="s">
        <v>175</v>
      </c>
      <c r="E45" s="782" t="s">
        <v>176</v>
      </c>
      <c r="F45" s="782"/>
      <c r="G45" s="197">
        <v>2</v>
      </c>
      <c r="H45" s="721"/>
      <c r="I45" s="198" t="s">
        <v>289</v>
      </c>
      <c r="J45" s="342"/>
      <c r="K45" s="161"/>
      <c r="L45" s="161"/>
      <c r="M45" s="197">
        <v>1</v>
      </c>
      <c r="N45" s="721"/>
      <c r="O45" s="203" t="s">
        <v>290</v>
      </c>
      <c r="P45" s="167"/>
      <c r="Q45" s="161"/>
      <c r="R45" s="161"/>
      <c r="S45" s="197">
        <v>1</v>
      </c>
      <c r="T45" s="721"/>
      <c r="U45" s="198"/>
      <c r="V45" s="470" t="s">
        <v>291</v>
      </c>
      <c r="W45" s="161"/>
      <c r="X45" s="161"/>
      <c r="Y45" s="197">
        <v>2</v>
      </c>
      <c r="Z45" s="721"/>
      <c r="AA45" s="198"/>
      <c r="AB45" s="167"/>
      <c r="AC45" s="183"/>
      <c r="AD45" s="183"/>
      <c r="AE45" s="197">
        <v>1</v>
      </c>
      <c r="AF45" s="721"/>
      <c r="AG45" s="198" t="s">
        <v>292</v>
      </c>
      <c r="AH45" s="148"/>
      <c r="AI45" s="161"/>
      <c r="AJ45" s="161"/>
      <c r="AK45" s="197">
        <v>1</v>
      </c>
      <c r="AL45" s="721"/>
      <c r="AM45" s="198" t="s">
        <v>293</v>
      </c>
      <c r="AN45" s="187"/>
      <c r="AO45" s="161"/>
      <c r="AP45" s="161"/>
      <c r="AQ45" s="197">
        <v>2</v>
      </c>
      <c r="AR45" s="721"/>
      <c r="AS45" s="149"/>
      <c r="AT45" s="148"/>
      <c r="AU45" s="161"/>
      <c r="AV45" s="161"/>
      <c r="AW45" s="197">
        <v>1</v>
      </c>
      <c r="AX45" s="721"/>
      <c r="AY45" s="149"/>
      <c r="AZ45" s="149" t="s">
        <v>294</v>
      </c>
      <c r="BA45" s="161"/>
      <c r="BB45" s="161"/>
      <c r="BC45" s="197">
        <v>1</v>
      </c>
      <c r="BD45" s="721"/>
      <c r="BE45" s="149" t="s">
        <v>295</v>
      </c>
      <c r="BF45" s="148"/>
      <c r="BG45" s="161"/>
      <c r="BH45" s="161"/>
      <c r="BI45" s="197">
        <v>2</v>
      </c>
      <c r="BJ45" s="721"/>
      <c r="BK45" s="149"/>
      <c r="BL45" s="148"/>
      <c r="BM45" s="161"/>
      <c r="BN45" s="161"/>
      <c r="BO45" s="197"/>
      <c r="BP45" s="721"/>
      <c r="BQ45" s="149"/>
      <c r="BR45" s="148"/>
      <c r="BS45" s="161"/>
      <c r="BT45" s="161"/>
      <c r="BU45" s="197"/>
      <c r="BV45" s="721"/>
      <c r="BW45" s="149"/>
      <c r="BY45" s="161"/>
      <c r="BZ45" s="161"/>
      <c r="CA45" s="197"/>
      <c r="CB45" s="721"/>
      <c r="CC45" s="199"/>
      <c r="CD45" s="449"/>
      <c r="CE45" s="161"/>
      <c r="CF45" s="161"/>
      <c r="CG45" s="230"/>
      <c r="CH45" s="789"/>
      <c r="CI45" s="147"/>
      <c r="CJ45" s="437"/>
      <c r="CK45" s="161"/>
      <c r="CL45" s="162"/>
    </row>
    <row r="46" spans="1:90" ht="40.5" customHeight="1" outlineLevel="1" x14ac:dyDescent="0.2">
      <c r="B46" s="372" t="s">
        <v>296</v>
      </c>
      <c r="C46" s="761"/>
      <c r="D46" s="207" t="s">
        <v>181</v>
      </c>
      <c r="E46" s="782" t="s">
        <v>182</v>
      </c>
      <c r="F46" s="782"/>
      <c r="G46" s="197">
        <v>1</v>
      </c>
      <c r="H46" s="721"/>
      <c r="I46" s="198" t="s">
        <v>297</v>
      </c>
      <c r="J46" s="148"/>
      <c r="K46" s="161"/>
      <c r="L46" s="161"/>
      <c r="M46" s="197">
        <v>2</v>
      </c>
      <c r="N46" s="721"/>
      <c r="O46" s="198"/>
      <c r="P46" s="167"/>
      <c r="Q46" s="161"/>
      <c r="R46" s="161"/>
      <c r="S46" s="197">
        <v>1</v>
      </c>
      <c r="T46" s="721"/>
      <c r="U46" s="198"/>
      <c r="V46" s="148" t="s">
        <v>298</v>
      </c>
      <c r="W46" s="161"/>
      <c r="X46" s="161"/>
      <c r="Y46" s="197">
        <v>2</v>
      </c>
      <c r="Z46" s="721"/>
      <c r="AA46" s="198"/>
      <c r="AB46" s="167"/>
      <c r="AC46" s="183"/>
      <c r="AD46" s="183"/>
      <c r="AE46" s="197">
        <v>2</v>
      </c>
      <c r="AF46" s="721"/>
      <c r="AG46" s="198"/>
      <c r="AH46" s="148"/>
      <c r="AI46" s="161"/>
      <c r="AJ46" s="161"/>
      <c r="AK46" s="197">
        <v>2</v>
      </c>
      <c r="AL46" s="721"/>
      <c r="AM46" s="149"/>
      <c r="AN46" s="188"/>
      <c r="AO46" s="161"/>
      <c r="AP46" s="161"/>
      <c r="AQ46" s="197">
        <v>2</v>
      </c>
      <c r="AR46" s="721"/>
      <c r="AS46" s="149"/>
      <c r="AT46" s="148"/>
      <c r="AU46" s="161"/>
      <c r="AV46" s="161"/>
      <c r="AW46" s="197">
        <v>1</v>
      </c>
      <c r="AX46" s="721"/>
      <c r="AY46" s="149"/>
      <c r="AZ46" s="149" t="s">
        <v>299</v>
      </c>
      <c r="BA46" s="161"/>
      <c r="BB46" s="161"/>
      <c r="BC46" s="197">
        <v>2</v>
      </c>
      <c r="BD46" s="721"/>
      <c r="BE46" s="149"/>
      <c r="BF46" s="148"/>
      <c r="BG46" s="161"/>
      <c r="BH46" s="161"/>
      <c r="BI46" s="197">
        <v>2</v>
      </c>
      <c r="BJ46" s="721"/>
      <c r="BK46" s="149"/>
      <c r="BL46" s="148"/>
      <c r="BM46" s="161"/>
      <c r="BN46" s="161"/>
      <c r="BO46" s="197"/>
      <c r="BP46" s="721"/>
      <c r="BQ46" s="149"/>
      <c r="BR46" s="148"/>
      <c r="BS46" s="161"/>
      <c r="BT46" s="161"/>
      <c r="BU46" s="197"/>
      <c r="BV46" s="721"/>
      <c r="BW46" s="149"/>
      <c r="BX46" s="148"/>
      <c r="BY46" s="161"/>
      <c r="BZ46" s="161"/>
      <c r="CA46" s="197"/>
      <c r="CB46" s="721"/>
      <c r="CC46" s="179"/>
      <c r="CD46" s="448"/>
      <c r="CE46" s="161"/>
      <c r="CF46" s="161"/>
      <c r="CG46" s="230"/>
      <c r="CH46" s="789"/>
      <c r="CI46" s="147"/>
      <c r="CJ46" s="148"/>
      <c r="CK46" s="161"/>
      <c r="CL46" s="162"/>
    </row>
    <row r="47" spans="1:90" ht="25.5" outlineLevel="1" x14ac:dyDescent="0.2">
      <c r="B47" s="372" t="s">
        <v>300</v>
      </c>
      <c r="C47" s="761"/>
      <c r="D47" s="207" t="s">
        <v>301</v>
      </c>
      <c r="E47" s="782" t="s">
        <v>302</v>
      </c>
      <c r="F47" s="782"/>
      <c r="G47" s="197">
        <v>2</v>
      </c>
      <c r="H47" s="721"/>
      <c r="I47" s="198"/>
      <c r="J47" s="148"/>
      <c r="K47" s="161"/>
      <c r="L47" s="161"/>
      <c r="M47" s="197">
        <v>2</v>
      </c>
      <c r="N47" s="721"/>
      <c r="O47" s="198"/>
      <c r="P47" s="167"/>
      <c r="Q47" s="161"/>
      <c r="R47" s="161"/>
      <c r="S47" s="197">
        <v>2</v>
      </c>
      <c r="T47" s="721"/>
      <c r="U47" s="198"/>
      <c r="V47" s="148"/>
      <c r="W47" s="161"/>
      <c r="X47" s="161"/>
      <c r="Y47" s="197">
        <v>2</v>
      </c>
      <c r="Z47" s="721"/>
      <c r="AA47" s="198"/>
      <c r="AB47" s="167"/>
      <c r="AC47" s="183"/>
      <c r="AD47" s="183"/>
      <c r="AE47" s="197">
        <v>2</v>
      </c>
      <c r="AF47" s="721"/>
      <c r="AG47" s="198"/>
      <c r="AH47" s="148"/>
      <c r="AI47" s="161"/>
      <c r="AJ47" s="161"/>
      <c r="AK47" s="197">
        <v>2</v>
      </c>
      <c r="AL47" s="721"/>
      <c r="AM47" s="149"/>
      <c r="AN47" s="188"/>
      <c r="AO47" s="161"/>
      <c r="AP47" s="161"/>
      <c r="AQ47" s="197">
        <v>2</v>
      </c>
      <c r="AR47" s="721"/>
      <c r="AS47" s="149"/>
      <c r="AT47" s="148"/>
      <c r="AU47" s="161"/>
      <c r="AV47" s="161"/>
      <c r="AW47" s="197">
        <v>2</v>
      </c>
      <c r="AX47" s="721"/>
      <c r="AY47" s="149"/>
      <c r="AZ47" s="148"/>
      <c r="BA47" s="161"/>
      <c r="BB47" s="161"/>
      <c r="BC47" s="197">
        <v>2</v>
      </c>
      <c r="BD47" s="721"/>
      <c r="BE47" s="149"/>
      <c r="BF47" s="148"/>
      <c r="BG47" s="161"/>
      <c r="BH47" s="161"/>
      <c r="BI47" s="197">
        <v>2</v>
      </c>
      <c r="BJ47" s="721"/>
      <c r="BK47" s="149"/>
      <c r="BL47" s="148"/>
      <c r="BM47" s="161"/>
      <c r="BN47" s="161"/>
      <c r="BO47" s="197"/>
      <c r="BP47" s="721"/>
      <c r="BQ47" s="149"/>
      <c r="BR47" s="148"/>
      <c r="BS47" s="161"/>
      <c r="BT47" s="161"/>
      <c r="BU47" s="197"/>
      <c r="BV47" s="721"/>
      <c r="BW47" s="149"/>
      <c r="BX47" s="148"/>
      <c r="BY47" s="161"/>
      <c r="BZ47" s="161"/>
      <c r="CA47" s="197"/>
      <c r="CB47" s="721"/>
      <c r="CC47" s="179"/>
      <c r="CD47" s="148"/>
      <c r="CE47" s="161"/>
      <c r="CF47" s="161"/>
      <c r="CG47" s="230"/>
      <c r="CH47" s="789"/>
      <c r="CI47" s="147"/>
      <c r="CJ47" s="148"/>
      <c r="CK47" s="161"/>
      <c r="CL47" s="162"/>
    </row>
    <row r="48" spans="1:90" ht="52.5" customHeight="1" outlineLevel="1" x14ac:dyDescent="0.2">
      <c r="B48" s="373" t="s">
        <v>303</v>
      </c>
      <c r="C48" s="762"/>
      <c r="D48" s="254" t="s">
        <v>198</v>
      </c>
      <c r="E48" s="783" t="s">
        <v>304</v>
      </c>
      <c r="F48" s="783"/>
      <c r="G48" s="232">
        <v>2</v>
      </c>
      <c r="H48" s="722"/>
      <c r="I48" s="243"/>
      <c r="J48" s="234"/>
      <c r="K48" s="255"/>
      <c r="L48" s="255"/>
      <c r="M48" s="232">
        <v>2</v>
      </c>
      <c r="N48" s="722"/>
      <c r="O48" s="243"/>
      <c r="P48" s="236"/>
      <c r="Q48" s="255"/>
      <c r="R48" s="255"/>
      <c r="S48" s="232">
        <v>2</v>
      </c>
      <c r="T48" s="722"/>
      <c r="U48" s="243"/>
      <c r="V48" s="234"/>
      <c r="W48" s="255"/>
      <c r="X48" s="255"/>
      <c r="Y48" s="232">
        <v>2</v>
      </c>
      <c r="Z48" s="722"/>
      <c r="AA48" s="243"/>
      <c r="AB48" s="236"/>
      <c r="AC48" s="256"/>
      <c r="AD48" s="256"/>
      <c r="AE48" s="232">
        <v>1</v>
      </c>
      <c r="AF48" s="722"/>
      <c r="AG48" s="243" t="s">
        <v>305</v>
      </c>
      <c r="AH48" s="234"/>
      <c r="AI48" s="255"/>
      <c r="AJ48" s="255"/>
      <c r="AK48" s="232">
        <v>2</v>
      </c>
      <c r="AL48" s="722"/>
      <c r="AM48" s="233"/>
      <c r="AN48" s="234"/>
      <c r="AO48" s="255"/>
      <c r="AP48" s="255"/>
      <c r="AQ48" s="232">
        <v>2</v>
      </c>
      <c r="AR48" s="722"/>
      <c r="AS48" s="233"/>
      <c r="AT48" s="234"/>
      <c r="AU48" s="255"/>
      <c r="AV48" s="255"/>
      <c r="AW48" s="232">
        <v>1</v>
      </c>
      <c r="AX48" s="722"/>
      <c r="AY48" s="233"/>
      <c r="AZ48" s="233" t="s">
        <v>306</v>
      </c>
      <c r="BA48" s="255"/>
      <c r="BB48" s="255"/>
      <c r="BC48" s="232">
        <v>2</v>
      </c>
      <c r="BD48" s="722"/>
      <c r="BE48" s="233"/>
      <c r="BF48" s="234"/>
      <c r="BG48" s="255"/>
      <c r="BH48" s="255"/>
      <c r="BI48" s="232">
        <v>2</v>
      </c>
      <c r="BJ48" s="722"/>
      <c r="BK48" s="233"/>
      <c r="BL48" s="234"/>
      <c r="BM48" s="255"/>
      <c r="BN48" s="255"/>
      <c r="BO48" s="232"/>
      <c r="BP48" s="722"/>
      <c r="BQ48" s="233"/>
      <c r="BR48" s="234"/>
      <c r="BS48" s="255"/>
      <c r="BT48" s="255"/>
      <c r="BU48" s="232"/>
      <c r="BV48" s="722"/>
      <c r="BW48" s="233"/>
      <c r="BX48" s="234"/>
      <c r="BY48" s="255"/>
      <c r="BZ48" s="255"/>
      <c r="CA48" s="232"/>
      <c r="CB48" s="722"/>
      <c r="CC48" s="237"/>
      <c r="CD48" s="234"/>
      <c r="CE48" s="255"/>
      <c r="CF48" s="255"/>
      <c r="CG48" s="238"/>
      <c r="CH48" s="789"/>
      <c r="CI48" s="147"/>
      <c r="CJ48" s="148"/>
      <c r="CK48" s="161"/>
      <c r="CL48" s="162"/>
    </row>
    <row r="49" spans="1:90" ht="39.75" customHeight="1" outlineLevel="1" x14ac:dyDescent="0.2">
      <c r="B49" s="374" t="s">
        <v>307</v>
      </c>
      <c r="C49" s="769" t="s">
        <v>202</v>
      </c>
      <c r="D49" s="239" t="s">
        <v>203</v>
      </c>
      <c r="E49" s="747" t="s">
        <v>308</v>
      </c>
      <c r="F49" s="747"/>
      <c r="G49" s="222">
        <v>2</v>
      </c>
      <c r="H49" s="720">
        <f>SUM(G49:G54)</f>
        <v>9</v>
      </c>
      <c r="I49" s="225"/>
      <c r="J49" s="224"/>
      <c r="K49" s="252"/>
      <c r="L49" s="252"/>
      <c r="M49" s="222">
        <v>2</v>
      </c>
      <c r="N49" s="720">
        <f>SUM(M49:M54)</f>
        <v>12</v>
      </c>
      <c r="O49" s="257"/>
      <c r="P49" s="224"/>
      <c r="Q49" s="252"/>
      <c r="R49" s="252"/>
      <c r="S49" s="222">
        <v>2</v>
      </c>
      <c r="T49" s="720">
        <v>10</v>
      </c>
      <c r="U49" s="225"/>
      <c r="V49" s="224"/>
      <c r="W49" s="252"/>
      <c r="X49" s="252"/>
      <c r="Y49" s="222">
        <v>2</v>
      </c>
      <c r="Z49" s="720">
        <f>SUM(Y49:Y54)</f>
        <v>12</v>
      </c>
      <c r="AA49" s="227"/>
      <c r="AB49" s="226"/>
      <c r="AC49" s="253"/>
      <c r="AD49" s="253"/>
      <c r="AE49" s="222">
        <v>2</v>
      </c>
      <c r="AF49" s="720">
        <f>SUM(AE49:AE53)</f>
        <v>8</v>
      </c>
      <c r="AG49" s="225"/>
      <c r="AH49" s="224"/>
      <c r="AI49" s="252"/>
      <c r="AJ49" s="252"/>
      <c r="AK49" s="222">
        <v>2</v>
      </c>
      <c r="AL49" s="720">
        <v>11</v>
      </c>
      <c r="AM49" s="225"/>
      <c r="AN49" s="224"/>
      <c r="AO49" s="252"/>
      <c r="AP49" s="252"/>
      <c r="AQ49" s="222">
        <v>2</v>
      </c>
      <c r="AR49" s="720">
        <f>SUM(AQ49:AQ54)</f>
        <v>12</v>
      </c>
      <c r="AS49" s="225"/>
      <c r="AT49" s="224"/>
      <c r="AU49" s="252"/>
      <c r="AV49" s="252"/>
      <c r="AW49" s="222">
        <v>2</v>
      </c>
      <c r="AX49" s="720">
        <f>SUM(AW49:AW54)</f>
        <v>11</v>
      </c>
      <c r="AY49" s="225"/>
      <c r="AZ49" s="224"/>
      <c r="BA49" s="252"/>
      <c r="BB49" s="252"/>
      <c r="BC49" s="222">
        <v>2</v>
      </c>
      <c r="BD49" s="720">
        <v>11</v>
      </c>
      <c r="BE49" s="225"/>
      <c r="BF49" s="224"/>
      <c r="BG49" s="252"/>
      <c r="BH49" s="252"/>
      <c r="BI49" s="222">
        <v>2</v>
      </c>
      <c r="BJ49" s="720">
        <f>SUM(BI49:BI54)</f>
        <v>11</v>
      </c>
      <c r="BK49" s="225"/>
      <c r="BL49" s="224"/>
      <c r="BM49" s="252"/>
      <c r="BN49" s="252"/>
      <c r="BO49" s="222"/>
      <c r="BP49" s="720">
        <v>9</v>
      </c>
      <c r="BQ49" s="225"/>
      <c r="BR49" s="224"/>
      <c r="BS49" s="252"/>
      <c r="BT49" s="252"/>
      <c r="BU49" s="222"/>
      <c r="BV49" s="720">
        <v>11</v>
      </c>
      <c r="BW49" s="225"/>
      <c r="BX49" s="224"/>
      <c r="BY49" s="252"/>
      <c r="BZ49" s="252"/>
      <c r="CA49" s="222"/>
      <c r="CB49" s="720">
        <f>SUM(CA49:CA54)</f>
        <v>0</v>
      </c>
      <c r="CC49" s="228"/>
      <c r="CD49" s="224"/>
      <c r="CE49" s="252"/>
      <c r="CF49" s="252"/>
      <c r="CG49" s="229"/>
      <c r="CH49" s="788">
        <f>SUM(CG49:CG54)</f>
        <v>0</v>
      </c>
      <c r="CI49" s="147"/>
      <c r="CJ49" s="148"/>
      <c r="CK49" s="161"/>
      <c r="CL49" s="162"/>
    </row>
    <row r="50" spans="1:90" ht="65.25" customHeight="1" outlineLevel="1" x14ac:dyDescent="0.2">
      <c r="B50" s="375" t="s">
        <v>309</v>
      </c>
      <c r="C50" s="770"/>
      <c r="D50" s="211" t="s">
        <v>310</v>
      </c>
      <c r="E50" s="748" t="s">
        <v>311</v>
      </c>
      <c r="F50" s="748"/>
      <c r="G50" s="197">
        <v>1</v>
      </c>
      <c r="H50" s="721"/>
      <c r="I50" s="149" t="s">
        <v>312</v>
      </c>
      <c r="J50" s="148"/>
      <c r="K50" s="161"/>
      <c r="L50" s="161"/>
      <c r="M50" s="197">
        <v>2</v>
      </c>
      <c r="N50" s="721"/>
      <c r="O50" s="203"/>
      <c r="P50" s="167"/>
      <c r="Q50" s="161"/>
      <c r="R50" s="161"/>
      <c r="S50" s="197">
        <v>1</v>
      </c>
      <c r="T50" s="721"/>
      <c r="U50" s="149"/>
      <c r="V50" s="470" t="s">
        <v>313</v>
      </c>
      <c r="W50" s="161"/>
      <c r="X50" s="161"/>
      <c r="Y50" s="197">
        <v>2</v>
      </c>
      <c r="Z50" s="721"/>
      <c r="AA50" s="179"/>
      <c r="AB50" s="167"/>
      <c r="AC50" s="183"/>
      <c r="AD50" s="183"/>
      <c r="AE50" s="197">
        <v>2</v>
      </c>
      <c r="AF50" s="721"/>
      <c r="AG50" s="149"/>
      <c r="AH50" s="148"/>
      <c r="AI50" s="161"/>
      <c r="AJ50" s="161"/>
      <c r="AK50" s="197">
        <v>2</v>
      </c>
      <c r="AL50" s="721"/>
      <c r="AM50" s="149"/>
      <c r="AN50" s="148"/>
      <c r="AO50" s="161"/>
      <c r="AP50" s="161"/>
      <c r="AQ50" s="197">
        <v>2</v>
      </c>
      <c r="AR50" s="721"/>
      <c r="AS50" s="149"/>
      <c r="AT50" s="148"/>
      <c r="AU50" s="161"/>
      <c r="AV50" s="161"/>
      <c r="AW50" s="197">
        <v>2</v>
      </c>
      <c r="AX50" s="721"/>
      <c r="AY50" s="149"/>
      <c r="AZ50" s="148"/>
      <c r="BA50" s="161"/>
      <c r="BB50" s="161"/>
      <c r="BC50" s="197">
        <v>2</v>
      </c>
      <c r="BD50" s="721"/>
      <c r="BE50" s="149"/>
      <c r="BF50" s="148"/>
      <c r="BG50" s="161"/>
      <c r="BH50" s="161"/>
      <c r="BI50" s="197">
        <v>2</v>
      </c>
      <c r="BJ50" s="721"/>
      <c r="BK50" s="149"/>
      <c r="BL50" s="148"/>
      <c r="BM50" s="161"/>
      <c r="BN50" s="161"/>
      <c r="BO50" s="197"/>
      <c r="BP50" s="721"/>
      <c r="BQ50" s="149"/>
      <c r="BR50" s="148"/>
      <c r="BS50" s="161"/>
      <c r="BT50" s="161"/>
      <c r="BU50" s="197"/>
      <c r="BV50" s="721"/>
      <c r="BW50" s="149"/>
      <c r="BX50" s="148"/>
      <c r="BY50" s="161"/>
      <c r="BZ50" s="161"/>
      <c r="CA50" s="197"/>
      <c r="CB50" s="721"/>
      <c r="CC50" s="199"/>
      <c r="CD50" s="448"/>
      <c r="CE50" s="161"/>
      <c r="CF50" s="161"/>
      <c r="CG50" s="230"/>
      <c r="CH50" s="789"/>
      <c r="CI50" s="147"/>
      <c r="CJ50" s="437"/>
      <c r="CK50" s="161"/>
      <c r="CL50" s="162"/>
    </row>
    <row r="51" spans="1:90" ht="61.5" customHeight="1" outlineLevel="1" x14ac:dyDescent="0.2">
      <c r="B51" s="375" t="s">
        <v>314</v>
      </c>
      <c r="C51" s="770"/>
      <c r="D51" s="210" t="s">
        <v>209</v>
      </c>
      <c r="E51" s="748" t="s">
        <v>315</v>
      </c>
      <c r="F51" s="748"/>
      <c r="G51" s="197">
        <v>1</v>
      </c>
      <c r="H51" s="721"/>
      <c r="I51" s="149" t="s">
        <v>316</v>
      </c>
      <c r="J51" s="148"/>
      <c r="K51" s="161"/>
      <c r="L51" s="161"/>
      <c r="M51" s="197">
        <v>2</v>
      </c>
      <c r="N51" s="721"/>
      <c r="O51" s="203"/>
      <c r="P51" s="167"/>
      <c r="Q51" s="148"/>
      <c r="R51" s="161"/>
      <c r="S51" s="197">
        <v>2</v>
      </c>
      <c r="T51" s="721"/>
      <c r="U51" s="149"/>
      <c r="V51" s="470" t="s">
        <v>317</v>
      </c>
      <c r="W51" s="161"/>
      <c r="X51" s="161"/>
      <c r="Y51" s="197">
        <v>2</v>
      </c>
      <c r="Z51" s="721"/>
      <c r="AA51" s="179"/>
      <c r="AB51" s="167"/>
      <c r="AC51" s="183"/>
      <c r="AD51" s="183"/>
      <c r="AE51" s="197">
        <v>2</v>
      </c>
      <c r="AF51" s="721"/>
      <c r="AG51" s="149"/>
      <c r="AH51" s="148"/>
      <c r="AI51" s="161"/>
      <c r="AJ51" s="161"/>
      <c r="AK51" s="197">
        <v>1</v>
      </c>
      <c r="AL51" s="721"/>
      <c r="AM51" s="149" t="s">
        <v>318</v>
      </c>
      <c r="AN51" s="148"/>
      <c r="AO51" s="161"/>
      <c r="AP51" s="161"/>
      <c r="AQ51" s="197">
        <v>2</v>
      </c>
      <c r="AR51" s="721"/>
      <c r="AS51" s="149"/>
      <c r="AU51" s="161"/>
      <c r="AV51" s="161"/>
      <c r="AW51" s="197">
        <v>2</v>
      </c>
      <c r="AX51" s="721"/>
      <c r="AY51" s="149"/>
      <c r="AZ51" s="148"/>
      <c r="BA51" s="161"/>
      <c r="BB51" s="161"/>
      <c r="BC51" s="197">
        <v>1</v>
      </c>
      <c r="BD51" s="721"/>
      <c r="BE51" s="149" t="s">
        <v>319</v>
      </c>
      <c r="BF51" s="148"/>
      <c r="BG51" s="161"/>
      <c r="BH51" s="161"/>
      <c r="BI51" s="197">
        <v>1</v>
      </c>
      <c r="BJ51" s="721"/>
      <c r="BK51" s="149"/>
      <c r="BL51" s="148"/>
      <c r="BM51" s="161"/>
      <c r="BN51" s="161"/>
      <c r="BO51" s="197"/>
      <c r="BP51" s="721"/>
      <c r="BQ51" s="149"/>
      <c r="BR51" s="148"/>
      <c r="BS51" s="161"/>
      <c r="BT51" s="161"/>
      <c r="BU51" s="197"/>
      <c r="BV51" s="721"/>
      <c r="BW51" s="149"/>
      <c r="BX51" s="148"/>
      <c r="BY51" s="161"/>
      <c r="BZ51" s="161"/>
      <c r="CA51" s="197"/>
      <c r="CB51" s="721"/>
      <c r="CC51" s="199"/>
      <c r="CD51" s="448"/>
      <c r="CE51" s="161"/>
      <c r="CF51" s="161"/>
      <c r="CG51" s="230"/>
      <c r="CH51" s="789"/>
      <c r="CI51" s="147"/>
      <c r="CJ51" s="437"/>
      <c r="CK51" s="161"/>
      <c r="CL51" s="162"/>
    </row>
    <row r="52" spans="1:90" ht="42" customHeight="1" outlineLevel="1" x14ac:dyDescent="0.2">
      <c r="B52" s="375" t="s">
        <v>320</v>
      </c>
      <c r="C52" s="770"/>
      <c r="D52" s="212" t="s">
        <v>213</v>
      </c>
      <c r="E52" s="748" t="s">
        <v>321</v>
      </c>
      <c r="F52" s="748"/>
      <c r="G52" s="197">
        <v>2</v>
      </c>
      <c r="H52" s="721"/>
      <c r="I52" s="149"/>
      <c r="J52" s="148"/>
      <c r="K52" s="161"/>
      <c r="L52" s="161"/>
      <c r="M52" s="197">
        <v>2</v>
      </c>
      <c r="N52" s="721"/>
      <c r="O52" s="203"/>
      <c r="P52" s="148"/>
      <c r="Q52" s="161"/>
      <c r="R52" s="161"/>
      <c r="S52" s="197">
        <v>2</v>
      </c>
      <c r="T52" s="721"/>
      <c r="U52" s="149"/>
      <c r="V52" s="148"/>
      <c r="W52" s="161"/>
      <c r="X52" s="161"/>
      <c r="Y52" s="197">
        <v>2</v>
      </c>
      <c r="Z52" s="721"/>
      <c r="AA52" s="200"/>
      <c r="AB52" s="167"/>
      <c r="AC52" s="183"/>
      <c r="AD52" s="183"/>
      <c r="AE52" s="197">
        <v>0</v>
      </c>
      <c r="AF52" s="721"/>
      <c r="AG52" s="149" t="s">
        <v>322</v>
      </c>
      <c r="AH52" s="148"/>
      <c r="AI52" s="161"/>
      <c r="AJ52" s="161"/>
      <c r="AK52" s="197">
        <v>2</v>
      </c>
      <c r="AL52" s="721"/>
      <c r="AM52" s="198"/>
      <c r="AN52" s="188"/>
      <c r="AO52" s="161"/>
      <c r="AP52" s="161"/>
      <c r="AQ52" s="197">
        <v>2</v>
      </c>
      <c r="AR52" s="721"/>
      <c r="AS52" s="149"/>
      <c r="AT52" s="148"/>
      <c r="AU52" s="161"/>
      <c r="AV52" s="161"/>
      <c r="AW52" s="197">
        <v>1</v>
      </c>
      <c r="AX52" s="721"/>
      <c r="AY52" s="149"/>
      <c r="AZ52" s="149" t="s">
        <v>323</v>
      </c>
      <c r="BA52" s="161"/>
      <c r="BB52" s="161"/>
      <c r="BC52" s="197">
        <v>2</v>
      </c>
      <c r="BD52" s="721"/>
      <c r="BE52" s="149"/>
      <c r="BF52" s="148"/>
      <c r="BG52" s="161"/>
      <c r="BH52" s="161"/>
      <c r="BI52" s="197">
        <v>2</v>
      </c>
      <c r="BJ52" s="721"/>
      <c r="BL52" s="148"/>
      <c r="BM52" s="161"/>
      <c r="BN52" s="161"/>
      <c r="BO52" s="197"/>
      <c r="BP52" s="721"/>
      <c r="BQ52" s="149"/>
      <c r="BR52" s="148"/>
      <c r="BS52" s="161"/>
      <c r="BT52" s="161"/>
      <c r="BU52" s="197"/>
      <c r="BV52" s="721"/>
      <c r="BW52" s="149"/>
      <c r="BX52" s="148"/>
      <c r="BY52" s="161"/>
      <c r="BZ52" s="161"/>
      <c r="CA52" s="197"/>
      <c r="CB52" s="721"/>
      <c r="CC52" s="199"/>
      <c r="CD52" s="448"/>
      <c r="CE52" s="161"/>
      <c r="CF52" s="161"/>
      <c r="CG52" s="230"/>
      <c r="CH52" s="789"/>
      <c r="CI52" s="147"/>
      <c r="CJ52" s="148"/>
      <c r="CK52" s="161"/>
      <c r="CL52" s="162"/>
    </row>
    <row r="53" spans="1:90" ht="57" customHeight="1" outlineLevel="1" x14ac:dyDescent="0.2">
      <c r="B53" s="375" t="s">
        <v>324</v>
      </c>
      <c r="C53" s="770"/>
      <c r="D53" s="213" t="s">
        <v>325</v>
      </c>
      <c r="E53" s="748" t="s">
        <v>326</v>
      </c>
      <c r="F53" s="748"/>
      <c r="G53" s="197">
        <v>2</v>
      </c>
      <c r="H53" s="721"/>
      <c r="I53" s="149"/>
      <c r="J53" s="148"/>
      <c r="K53" s="161"/>
      <c r="L53" s="161"/>
      <c r="M53" s="197">
        <v>2</v>
      </c>
      <c r="N53" s="721"/>
      <c r="O53" s="203"/>
      <c r="P53" s="167"/>
      <c r="Q53" s="161"/>
      <c r="R53" s="161"/>
      <c r="S53" s="197">
        <v>1</v>
      </c>
      <c r="T53" s="721"/>
      <c r="U53" s="149"/>
      <c r="V53" s="148" t="s">
        <v>327</v>
      </c>
      <c r="W53" s="161"/>
      <c r="X53" s="161"/>
      <c r="Y53" s="197">
        <v>2</v>
      </c>
      <c r="Z53" s="721"/>
      <c r="AA53" s="179"/>
      <c r="AB53" s="167"/>
      <c r="AC53" s="183"/>
      <c r="AD53" s="183"/>
      <c r="AE53" s="197">
        <v>2</v>
      </c>
      <c r="AF53" s="721"/>
      <c r="AG53" s="149"/>
      <c r="AH53" s="148"/>
      <c r="AI53" s="161"/>
      <c r="AJ53" s="161"/>
      <c r="AK53" s="197">
        <v>2</v>
      </c>
      <c r="AL53" s="721"/>
      <c r="AM53" s="149"/>
      <c r="AN53" s="148"/>
      <c r="AO53" s="161"/>
      <c r="AP53" s="161"/>
      <c r="AQ53" s="197">
        <v>2</v>
      </c>
      <c r="AR53" s="721"/>
      <c r="AS53" s="149"/>
      <c r="AT53" s="148"/>
      <c r="AU53" s="161"/>
      <c r="AV53" s="161"/>
      <c r="AW53" s="197">
        <v>2</v>
      </c>
      <c r="AX53" s="721"/>
      <c r="AY53" s="149"/>
      <c r="AZ53" s="148"/>
      <c r="BA53" s="161"/>
      <c r="BB53" s="161"/>
      <c r="BC53" s="197">
        <v>2</v>
      </c>
      <c r="BD53" s="721"/>
      <c r="BE53" s="149"/>
      <c r="BF53" s="148"/>
      <c r="BG53" s="161"/>
      <c r="BH53" s="161"/>
      <c r="BI53" s="197">
        <v>2</v>
      </c>
      <c r="BJ53" s="721"/>
      <c r="BK53" s="149"/>
      <c r="BL53" s="148"/>
      <c r="BM53" s="161"/>
      <c r="BN53" s="161"/>
      <c r="BO53" s="197"/>
      <c r="BP53" s="721"/>
      <c r="BQ53" s="149"/>
      <c r="BR53" s="148"/>
      <c r="BS53" s="161"/>
      <c r="BT53" s="161"/>
      <c r="BU53" s="197"/>
      <c r="BV53" s="721"/>
      <c r="BW53" s="149"/>
      <c r="BX53" s="148"/>
      <c r="BY53" s="161"/>
      <c r="BZ53" s="161"/>
      <c r="CA53" s="197"/>
      <c r="CB53" s="721"/>
      <c r="CC53" s="199"/>
      <c r="CD53" s="148"/>
      <c r="CE53" s="161"/>
      <c r="CF53" s="161"/>
      <c r="CG53" s="230"/>
      <c r="CH53" s="789"/>
      <c r="CI53" s="147"/>
      <c r="CJ53" s="148"/>
      <c r="CK53" s="161"/>
      <c r="CL53" s="162"/>
    </row>
    <row r="54" spans="1:90" ht="46.5" customHeight="1" outlineLevel="1" x14ac:dyDescent="0.2">
      <c r="B54" s="376" t="s">
        <v>328</v>
      </c>
      <c r="C54" s="771"/>
      <c r="D54" s="240" t="s">
        <v>220</v>
      </c>
      <c r="E54" s="751" t="s">
        <v>221</v>
      </c>
      <c r="F54" s="751"/>
      <c r="G54" s="232">
        <v>1</v>
      </c>
      <c r="H54" s="722"/>
      <c r="I54" s="243" t="s">
        <v>329</v>
      </c>
      <c r="J54" s="234"/>
      <c r="K54" s="255"/>
      <c r="L54" s="255"/>
      <c r="M54" s="232">
        <v>2</v>
      </c>
      <c r="N54" s="722"/>
      <c r="O54" s="243"/>
      <c r="P54" s="349"/>
      <c r="Q54" s="255"/>
      <c r="R54" s="255"/>
      <c r="S54" s="232">
        <v>2</v>
      </c>
      <c r="T54" s="722"/>
      <c r="U54" s="233"/>
      <c r="V54" s="234" t="s">
        <v>330</v>
      </c>
      <c r="W54" s="255"/>
      <c r="X54" s="255"/>
      <c r="Y54" s="232">
        <v>2</v>
      </c>
      <c r="Z54" s="722"/>
      <c r="AA54" s="243"/>
      <c r="AB54" s="236"/>
      <c r="AC54" s="256"/>
      <c r="AD54" s="256"/>
      <c r="AE54" s="232">
        <v>1</v>
      </c>
      <c r="AF54" s="722"/>
      <c r="AG54" s="258" t="s">
        <v>331</v>
      </c>
      <c r="AH54" s="234"/>
      <c r="AI54" s="255"/>
      <c r="AJ54" s="255"/>
      <c r="AK54" s="232">
        <v>2</v>
      </c>
      <c r="AL54" s="722"/>
      <c r="AM54" s="233"/>
      <c r="AN54" s="234"/>
      <c r="AO54" s="255"/>
      <c r="AP54" s="255"/>
      <c r="AQ54" s="232">
        <v>2</v>
      </c>
      <c r="AR54" s="722"/>
      <c r="AS54" s="233"/>
      <c r="AT54" s="234"/>
      <c r="AU54" s="255"/>
      <c r="AV54" s="255"/>
      <c r="AW54" s="232">
        <v>2</v>
      </c>
      <c r="AX54" s="722"/>
      <c r="AY54" s="233"/>
      <c r="AZ54" s="234"/>
      <c r="BA54" s="255"/>
      <c r="BB54" s="255"/>
      <c r="BC54" s="232">
        <v>2</v>
      </c>
      <c r="BD54" s="722"/>
      <c r="BE54" s="233"/>
      <c r="BF54" s="234"/>
      <c r="BG54" s="255"/>
      <c r="BH54" s="255"/>
      <c r="BI54" s="232">
        <v>2</v>
      </c>
      <c r="BJ54" s="722"/>
      <c r="BK54" s="233"/>
      <c r="BL54" s="234"/>
      <c r="BM54" s="255"/>
      <c r="BN54" s="255"/>
      <c r="BO54" s="232"/>
      <c r="BP54" s="722"/>
      <c r="BQ54" s="233"/>
      <c r="BR54" s="234"/>
      <c r="BS54" s="255"/>
      <c r="BT54" s="255"/>
      <c r="BU54" s="232"/>
      <c r="BV54" s="722"/>
      <c r="BW54" s="233"/>
      <c r="BX54" s="234"/>
      <c r="BY54" s="255"/>
      <c r="BZ54" s="255"/>
      <c r="CA54" s="232"/>
      <c r="CB54" s="722"/>
      <c r="CC54" s="237"/>
      <c r="CD54" s="234"/>
      <c r="CE54" s="255"/>
      <c r="CF54" s="255"/>
      <c r="CG54" s="238"/>
      <c r="CH54" s="804"/>
      <c r="CI54" s="147"/>
      <c r="CJ54" s="148"/>
      <c r="CK54" s="161"/>
      <c r="CL54" s="162"/>
    </row>
    <row r="55" spans="1:90" ht="66.75" customHeight="1" outlineLevel="1" x14ac:dyDescent="0.25">
      <c r="B55" s="377" t="s">
        <v>332</v>
      </c>
      <c r="C55" s="754" t="s">
        <v>227</v>
      </c>
      <c r="D55" s="241" t="s">
        <v>166</v>
      </c>
      <c r="E55" s="752" t="s">
        <v>228</v>
      </c>
      <c r="F55" s="752"/>
      <c r="G55" s="222">
        <v>2</v>
      </c>
      <c r="H55" s="720">
        <f>SUM(G55:G61)</f>
        <v>12</v>
      </c>
      <c r="I55" s="359"/>
      <c r="J55" s="188"/>
      <c r="K55" s="224"/>
      <c r="L55" s="252"/>
      <c r="M55" s="222">
        <v>2</v>
      </c>
      <c r="N55" s="720">
        <f>SUM(M55:M61)</f>
        <v>13</v>
      </c>
      <c r="O55" s="257"/>
      <c r="P55" s="226"/>
      <c r="Q55" s="224"/>
      <c r="R55" s="252"/>
      <c r="S55" s="222">
        <v>0</v>
      </c>
      <c r="T55" s="720">
        <v>10</v>
      </c>
      <c r="U55" s="223"/>
      <c r="V55" s="470" t="s">
        <v>333</v>
      </c>
      <c r="W55" s="224"/>
      <c r="X55" s="252"/>
      <c r="Y55" s="222">
        <v>2</v>
      </c>
      <c r="Z55" s="720">
        <f>SUM(Y55:Y61)</f>
        <v>14</v>
      </c>
      <c r="AA55" s="411"/>
      <c r="AB55" s="343"/>
      <c r="AC55" s="226"/>
      <c r="AD55" s="253"/>
      <c r="AE55" s="222">
        <v>2</v>
      </c>
      <c r="AF55" s="720">
        <f ca="1">SUM(AE55:AF61)</f>
        <v>0</v>
      </c>
      <c r="AG55" s="223"/>
      <c r="AH55" s="343"/>
      <c r="AI55" s="224"/>
      <c r="AJ55" s="252"/>
      <c r="AK55" s="222">
        <v>1</v>
      </c>
      <c r="AL55" s="720">
        <v>13</v>
      </c>
      <c r="AM55" s="225" t="s">
        <v>334</v>
      </c>
      <c r="AN55" s="189"/>
      <c r="AO55" s="224"/>
      <c r="AP55" s="252"/>
      <c r="AQ55" s="222">
        <v>0</v>
      </c>
      <c r="AR55" s="720">
        <f>SUM(AQ55:AQ60,AQ61)</f>
        <v>10</v>
      </c>
      <c r="AS55" s="225"/>
      <c r="AT55" s="346" t="s">
        <v>335</v>
      </c>
      <c r="AU55" s="224" t="s">
        <v>336</v>
      </c>
      <c r="AV55" s="252"/>
      <c r="AW55" s="222">
        <v>2</v>
      </c>
      <c r="AX55" s="720">
        <f>SUM(AW55:AW61)</f>
        <v>14</v>
      </c>
      <c r="AY55" s="225"/>
      <c r="AZ55" s="343"/>
      <c r="BA55" s="224"/>
      <c r="BB55" s="252"/>
      <c r="BC55" s="222">
        <v>1</v>
      </c>
      <c r="BD55" s="720">
        <f>SUM(BC55:BC61)</f>
        <v>12</v>
      </c>
      <c r="BE55" s="225" t="s">
        <v>337</v>
      </c>
      <c r="BF55" s="343"/>
      <c r="BG55" s="224"/>
      <c r="BH55" s="252"/>
      <c r="BI55" s="222">
        <v>2</v>
      </c>
      <c r="BJ55" s="720">
        <f>SUM(BI55:BI61)</f>
        <v>13</v>
      </c>
      <c r="BK55" s="225"/>
      <c r="BL55" s="343"/>
      <c r="BM55" s="224"/>
      <c r="BN55" s="252"/>
      <c r="BO55" s="222"/>
      <c r="BP55" s="720">
        <v>12</v>
      </c>
      <c r="BQ55" s="225"/>
      <c r="BR55" s="148"/>
      <c r="BS55" s="224"/>
      <c r="BT55" s="252"/>
      <c r="BU55" s="222"/>
      <c r="BV55" s="720">
        <v>13</v>
      </c>
      <c r="BW55" s="225"/>
      <c r="BX55" s="343"/>
      <c r="BY55" s="224"/>
      <c r="BZ55" s="252"/>
      <c r="CA55" s="222"/>
      <c r="CB55" s="720">
        <f>SUM(CA55:CA61)</f>
        <v>0</v>
      </c>
      <c r="CC55" s="228"/>
      <c r="CD55" s="444"/>
      <c r="CE55" s="224"/>
      <c r="CF55" s="252"/>
      <c r="CG55" s="229"/>
      <c r="CH55" s="805">
        <f>SUM(CG55:CG61)</f>
        <v>0</v>
      </c>
      <c r="CI55" s="147"/>
      <c r="CJ55" s="437"/>
      <c r="CK55" s="148"/>
      <c r="CL55" s="162"/>
    </row>
    <row r="56" spans="1:90" ht="67.5" customHeight="1" outlineLevel="1" x14ac:dyDescent="0.25">
      <c r="B56" s="378" t="s">
        <v>338</v>
      </c>
      <c r="C56" s="755"/>
      <c r="D56" s="216" t="s">
        <v>235</v>
      </c>
      <c r="E56" s="749" t="s">
        <v>339</v>
      </c>
      <c r="F56" s="749"/>
      <c r="G56" s="197">
        <v>1</v>
      </c>
      <c r="H56" s="721"/>
      <c r="I56" s="464" t="s">
        <v>340</v>
      </c>
      <c r="J56" s="148"/>
      <c r="K56" s="161"/>
      <c r="L56" s="161"/>
      <c r="M56" s="197">
        <v>1</v>
      </c>
      <c r="N56" s="721"/>
      <c r="O56" s="203" t="s">
        <v>341</v>
      </c>
      <c r="P56" s="167"/>
      <c r="Q56" s="161"/>
      <c r="R56" s="161"/>
      <c r="S56" s="197">
        <v>2</v>
      </c>
      <c r="T56" s="721"/>
      <c r="U56" s="350"/>
      <c r="V56" s="148"/>
      <c r="W56" s="161"/>
      <c r="X56" s="161"/>
      <c r="Y56" s="197">
        <v>2</v>
      </c>
      <c r="Z56" s="721"/>
      <c r="AA56" s="350"/>
      <c r="AB56" s="167"/>
      <c r="AC56" s="183"/>
      <c r="AD56" s="183"/>
      <c r="AE56" s="197">
        <v>2</v>
      </c>
      <c r="AF56" s="721"/>
      <c r="AG56" s="350"/>
      <c r="AH56" s="148"/>
      <c r="AI56" s="161"/>
      <c r="AJ56" s="161"/>
      <c r="AK56" s="197">
        <v>2</v>
      </c>
      <c r="AL56" s="721"/>
      <c r="AM56" s="149"/>
      <c r="AN56" s="148"/>
      <c r="AO56" s="161"/>
      <c r="AP56" s="161"/>
      <c r="AQ56" s="197">
        <v>0</v>
      </c>
      <c r="AR56" s="721"/>
      <c r="AS56" s="149"/>
      <c r="AT56" s="148"/>
      <c r="AU56" t="s">
        <v>342</v>
      </c>
      <c r="AV56" s="161"/>
      <c r="AW56" s="197">
        <v>2</v>
      </c>
      <c r="AX56" s="721"/>
      <c r="AY56" s="149"/>
      <c r="AZ56" s="148"/>
      <c r="BA56" s="161"/>
      <c r="BB56" s="161"/>
      <c r="BC56" s="197">
        <v>2</v>
      </c>
      <c r="BD56" s="721"/>
      <c r="BE56" s="149"/>
      <c r="BF56" s="148"/>
      <c r="BG56" s="161"/>
      <c r="BH56" s="161"/>
      <c r="BI56" s="197">
        <v>2</v>
      </c>
      <c r="BJ56" s="721"/>
      <c r="BK56" s="149"/>
      <c r="BL56" s="148"/>
      <c r="BM56" s="161"/>
      <c r="BN56" s="161"/>
      <c r="BO56" s="197"/>
      <c r="BP56" s="721"/>
      <c r="BQ56" s="149"/>
      <c r="BR56" s="148"/>
      <c r="BS56" s="161"/>
      <c r="BT56" s="161"/>
      <c r="BU56" s="197"/>
      <c r="BV56" s="721"/>
      <c r="BW56" s="149"/>
      <c r="BX56" s="148"/>
      <c r="BY56" s="161"/>
      <c r="BZ56" s="161"/>
      <c r="CA56" s="197"/>
      <c r="CB56" s="721"/>
      <c r="CC56" s="199"/>
      <c r="CD56" s="448"/>
      <c r="CE56" s="161"/>
      <c r="CF56" s="161"/>
      <c r="CG56" s="230"/>
      <c r="CH56" s="789"/>
      <c r="CI56" s="147"/>
      <c r="CJ56" s="148"/>
      <c r="CK56" s="161"/>
      <c r="CL56" s="162"/>
    </row>
    <row r="57" spans="1:90" ht="31.5" customHeight="1" outlineLevel="1" x14ac:dyDescent="0.2">
      <c r="B57" s="378" t="s">
        <v>343</v>
      </c>
      <c r="C57" s="755"/>
      <c r="D57" s="215" t="s">
        <v>238</v>
      </c>
      <c r="E57" s="749" t="s">
        <v>344</v>
      </c>
      <c r="F57" s="749"/>
      <c r="G57" s="197">
        <v>2</v>
      </c>
      <c r="H57" s="721"/>
      <c r="I57" s="198"/>
      <c r="J57" s="148"/>
      <c r="K57" s="161"/>
      <c r="L57" s="161"/>
      <c r="M57" s="197">
        <v>2</v>
      </c>
      <c r="N57" s="721"/>
      <c r="P57" s="148"/>
      <c r="Q57" s="161"/>
      <c r="R57" s="161"/>
      <c r="S57" s="197">
        <v>2</v>
      </c>
      <c r="T57" s="721"/>
      <c r="U57" s="198"/>
      <c r="V57" s="148"/>
      <c r="W57" s="161"/>
      <c r="X57" s="161"/>
      <c r="Y57" s="197">
        <v>2</v>
      </c>
      <c r="Z57" s="721"/>
      <c r="AA57" s="198"/>
      <c r="AB57" s="167"/>
      <c r="AC57" s="183"/>
      <c r="AD57" s="183"/>
      <c r="AE57" s="197">
        <v>2</v>
      </c>
      <c r="AF57" s="721"/>
      <c r="AG57" s="198"/>
      <c r="AH57" s="148"/>
      <c r="AI57" s="161"/>
      <c r="AJ57" s="161"/>
      <c r="AK57" s="197">
        <v>2</v>
      </c>
      <c r="AL57" s="721"/>
      <c r="AM57" s="149"/>
      <c r="AN57" s="148"/>
      <c r="AO57" s="161"/>
      <c r="AP57" s="161"/>
      <c r="AQ57" s="197">
        <v>2</v>
      </c>
      <c r="AR57" s="721"/>
      <c r="AS57" s="149"/>
      <c r="AT57" s="148"/>
      <c r="AU57" s="161"/>
      <c r="AV57" s="161"/>
      <c r="AW57" s="197">
        <v>2</v>
      </c>
      <c r="AX57" s="721"/>
      <c r="AY57" s="149"/>
      <c r="AZ57" s="148"/>
      <c r="BA57" s="161"/>
      <c r="BB57" s="161"/>
      <c r="BC57" s="197">
        <v>2</v>
      </c>
      <c r="BD57" s="721"/>
      <c r="BE57" s="149"/>
      <c r="BF57" s="148"/>
      <c r="BG57" s="161"/>
      <c r="BH57" s="161"/>
      <c r="BI57" s="197">
        <v>2</v>
      </c>
      <c r="BJ57" s="721"/>
      <c r="BK57" s="149"/>
      <c r="BL57" s="148"/>
      <c r="BM57" s="161"/>
      <c r="BN57" s="161"/>
      <c r="BO57" s="197"/>
      <c r="BP57" s="721"/>
      <c r="BQ57" s="149"/>
      <c r="BR57" s="148"/>
      <c r="BS57" s="161"/>
      <c r="BT57" s="161"/>
      <c r="BU57" s="197"/>
      <c r="BV57" s="721"/>
      <c r="BW57" s="149"/>
      <c r="BX57" s="148"/>
      <c r="BY57" s="161"/>
      <c r="BZ57" s="161"/>
      <c r="CA57" s="197"/>
      <c r="CB57" s="721"/>
      <c r="CC57" s="199"/>
      <c r="CD57" s="448"/>
      <c r="CE57" s="161"/>
      <c r="CF57" s="161"/>
      <c r="CG57" s="230"/>
      <c r="CH57" s="789"/>
      <c r="CI57" s="147"/>
      <c r="CJ57" s="148"/>
      <c r="CK57" s="161"/>
      <c r="CL57" s="162"/>
    </row>
    <row r="58" spans="1:90" ht="38.25" customHeight="1" outlineLevel="1" x14ac:dyDescent="0.2">
      <c r="B58" s="378" t="s">
        <v>345</v>
      </c>
      <c r="C58" s="755"/>
      <c r="D58" s="215" t="s">
        <v>242</v>
      </c>
      <c r="E58" s="749" t="s">
        <v>243</v>
      </c>
      <c r="F58" s="749"/>
      <c r="G58" s="197">
        <v>1</v>
      </c>
      <c r="H58" s="721"/>
      <c r="I58" s="149" t="s">
        <v>346</v>
      </c>
      <c r="J58" s="148"/>
      <c r="K58" s="161"/>
      <c r="L58" s="161"/>
      <c r="M58" s="197">
        <v>2</v>
      </c>
      <c r="N58" s="721"/>
      <c r="O58" s="200"/>
      <c r="P58" s="167"/>
      <c r="Q58" s="161"/>
      <c r="R58" s="161"/>
      <c r="S58" s="197">
        <v>1</v>
      </c>
      <c r="T58" s="721"/>
      <c r="U58" s="179"/>
      <c r="V58" s="470" t="s">
        <v>347</v>
      </c>
      <c r="W58" s="161"/>
      <c r="X58" s="161"/>
      <c r="Y58" s="197">
        <v>2</v>
      </c>
      <c r="Z58" s="721"/>
      <c r="AA58" s="179"/>
      <c r="AB58" s="167"/>
      <c r="AC58" s="183"/>
      <c r="AD58" s="183"/>
      <c r="AE58" s="197">
        <v>2</v>
      </c>
      <c r="AF58" s="721"/>
      <c r="AG58" s="149"/>
      <c r="AH58" s="148"/>
      <c r="AI58" s="161"/>
      <c r="AJ58" s="161"/>
      <c r="AK58" s="197">
        <v>2</v>
      </c>
      <c r="AL58" s="721"/>
      <c r="AM58" s="149"/>
      <c r="AN58" s="148"/>
      <c r="AO58" s="161"/>
      <c r="AP58" s="161"/>
      <c r="AQ58" s="197">
        <v>2</v>
      </c>
      <c r="AR58" s="721"/>
      <c r="AS58" s="149"/>
      <c r="AT58" s="148"/>
      <c r="AU58" s="161"/>
      <c r="AV58" s="161"/>
      <c r="AW58" s="197">
        <v>2</v>
      </c>
      <c r="AX58" s="721"/>
      <c r="AY58" s="149"/>
      <c r="AZ58" s="148"/>
      <c r="BA58" s="161"/>
      <c r="BB58" s="161"/>
      <c r="BC58" s="197">
        <v>1</v>
      </c>
      <c r="BD58" s="721"/>
      <c r="BE58" s="149" t="s">
        <v>348</v>
      </c>
      <c r="BF58" s="148"/>
      <c r="BG58" s="161"/>
      <c r="BH58" s="161"/>
      <c r="BI58" s="197">
        <v>1</v>
      </c>
      <c r="BJ58" s="721"/>
      <c r="BK58" s="149"/>
      <c r="BL58" s="148"/>
      <c r="BM58" s="161"/>
      <c r="BN58" s="161"/>
      <c r="BO58" s="197"/>
      <c r="BP58" s="721"/>
      <c r="BQ58" s="149"/>
      <c r="BR58" s="148"/>
      <c r="BS58" s="161"/>
      <c r="BT58" s="161"/>
      <c r="BU58" s="197"/>
      <c r="BV58" s="721"/>
      <c r="BW58" s="149"/>
      <c r="BX58" s="148"/>
      <c r="BY58" s="161"/>
      <c r="BZ58" s="161"/>
      <c r="CA58" s="197"/>
      <c r="CB58" s="721"/>
      <c r="CC58" s="199"/>
      <c r="CD58" s="148"/>
      <c r="CE58" s="161"/>
      <c r="CF58" s="161"/>
      <c r="CG58" s="230"/>
      <c r="CH58" s="789"/>
      <c r="CI58" s="147"/>
      <c r="CJ58" s="437"/>
      <c r="CK58" s="161"/>
      <c r="CL58" s="162"/>
    </row>
    <row r="59" spans="1:90" ht="58.5" customHeight="1" outlineLevel="1" x14ac:dyDescent="0.2">
      <c r="B59" s="378" t="s">
        <v>349</v>
      </c>
      <c r="C59" s="755"/>
      <c r="D59" s="215" t="s">
        <v>209</v>
      </c>
      <c r="E59" s="749" t="s">
        <v>350</v>
      </c>
      <c r="F59" s="749"/>
      <c r="G59" s="197">
        <v>2</v>
      </c>
      <c r="H59" s="721"/>
      <c r="I59" s="149"/>
      <c r="J59" s="148"/>
      <c r="K59" s="161"/>
      <c r="L59" s="161"/>
      <c r="M59" s="197">
        <v>2</v>
      </c>
      <c r="N59" s="721"/>
      <c r="O59" s="203"/>
      <c r="P59" s="167"/>
      <c r="Q59" s="161"/>
      <c r="R59" s="161"/>
      <c r="S59" s="197">
        <v>2</v>
      </c>
      <c r="T59" s="721"/>
      <c r="U59" s="149"/>
      <c r="V59" s="437"/>
      <c r="W59" s="161"/>
      <c r="X59" s="161"/>
      <c r="Y59" s="197">
        <v>2</v>
      </c>
      <c r="Z59" s="721"/>
      <c r="AA59" s="179"/>
      <c r="AB59" s="167"/>
      <c r="AC59" s="183"/>
      <c r="AD59" s="183"/>
      <c r="AE59" s="197">
        <v>2</v>
      </c>
      <c r="AF59" s="721"/>
      <c r="AG59" s="149"/>
      <c r="AH59" s="148"/>
      <c r="AI59" s="161"/>
      <c r="AJ59" s="161"/>
      <c r="AK59" s="197">
        <v>2</v>
      </c>
      <c r="AL59" s="721"/>
      <c r="AM59" s="149"/>
      <c r="AN59" s="148"/>
      <c r="AO59" s="161"/>
      <c r="AP59" s="161"/>
      <c r="AQ59" s="197">
        <v>2</v>
      </c>
      <c r="AR59" s="721"/>
      <c r="AS59" s="149"/>
      <c r="AT59" s="148"/>
      <c r="AU59" s="161"/>
      <c r="AV59" s="161"/>
      <c r="AW59" s="197">
        <v>2</v>
      </c>
      <c r="AX59" s="721"/>
      <c r="AY59" s="149"/>
      <c r="AZ59" s="148"/>
      <c r="BA59" s="161"/>
      <c r="BB59" s="161"/>
      <c r="BC59" s="197">
        <v>2</v>
      </c>
      <c r="BD59" s="721"/>
      <c r="BE59" s="149"/>
      <c r="BF59" s="148"/>
      <c r="BG59" s="161"/>
      <c r="BH59" s="161"/>
      <c r="BI59" s="197">
        <v>2</v>
      </c>
      <c r="BJ59" s="721"/>
      <c r="BK59" s="149"/>
      <c r="BL59" s="148"/>
      <c r="BM59" s="161"/>
      <c r="BN59" s="161"/>
      <c r="BO59" s="197"/>
      <c r="BP59" s="721"/>
      <c r="BQ59" s="149"/>
      <c r="BR59" s="148"/>
      <c r="BS59" s="161"/>
      <c r="BT59" s="161"/>
      <c r="BU59" s="436"/>
      <c r="BV59" s="721"/>
      <c r="BW59" s="149"/>
      <c r="BX59" s="148"/>
      <c r="BY59" s="161"/>
      <c r="BZ59" s="161"/>
      <c r="CA59" s="197"/>
      <c r="CB59" s="721"/>
      <c r="CC59" s="179"/>
      <c r="CD59" s="148"/>
      <c r="CE59" s="161"/>
      <c r="CF59" s="161"/>
      <c r="CG59" s="230"/>
      <c r="CH59" s="789"/>
      <c r="CI59" s="147"/>
      <c r="CJ59" s="437"/>
      <c r="CK59" s="161"/>
      <c r="CL59" s="162"/>
    </row>
    <row r="60" spans="1:90" ht="43.5" customHeight="1" outlineLevel="1" x14ac:dyDescent="0.2">
      <c r="B60" s="378" t="s">
        <v>351</v>
      </c>
      <c r="C60" s="755"/>
      <c r="D60" s="215" t="s">
        <v>245</v>
      </c>
      <c r="E60" s="749" t="s">
        <v>352</v>
      </c>
      <c r="F60" s="749"/>
      <c r="G60" s="197">
        <v>2</v>
      </c>
      <c r="H60" s="721"/>
      <c r="I60" s="149"/>
      <c r="J60" s="148"/>
      <c r="K60" s="161"/>
      <c r="L60" s="161"/>
      <c r="M60" s="197">
        <v>2</v>
      </c>
      <c r="N60" s="721"/>
      <c r="O60" s="203"/>
      <c r="P60" s="167"/>
      <c r="Q60" s="161"/>
      <c r="R60" s="161"/>
      <c r="S60" s="197">
        <v>2</v>
      </c>
      <c r="T60" s="721"/>
      <c r="U60" s="149"/>
      <c r="V60" s="148"/>
      <c r="W60" s="161"/>
      <c r="X60" s="161"/>
      <c r="Y60" s="197">
        <v>2</v>
      </c>
      <c r="Z60" s="721"/>
      <c r="AA60" s="179"/>
      <c r="AB60" s="167"/>
      <c r="AC60" s="183"/>
      <c r="AD60" s="183"/>
      <c r="AE60" s="197">
        <v>2</v>
      </c>
      <c r="AF60" s="721"/>
      <c r="AG60" s="149"/>
      <c r="AH60" s="148"/>
      <c r="AI60" s="161"/>
      <c r="AJ60" s="161"/>
      <c r="AK60" s="197">
        <v>2</v>
      </c>
      <c r="AL60" s="721"/>
      <c r="AM60" s="149"/>
      <c r="AN60" s="148"/>
      <c r="AO60" s="161"/>
      <c r="AP60" s="161"/>
      <c r="AQ60" s="197">
        <v>2</v>
      </c>
      <c r="AR60" s="721"/>
      <c r="AS60" s="149"/>
      <c r="AT60" s="148"/>
      <c r="AU60" s="161"/>
      <c r="AV60" s="161"/>
      <c r="AW60" s="197">
        <v>2</v>
      </c>
      <c r="AX60" s="721"/>
      <c r="AY60" s="149"/>
      <c r="AZ60" s="148"/>
      <c r="BA60" s="161"/>
      <c r="BB60" s="161"/>
      <c r="BC60" s="197">
        <v>2</v>
      </c>
      <c r="BD60" s="721"/>
      <c r="BE60" s="149"/>
      <c r="BF60" s="148"/>
      <c r="BG60" s="161"/>
      <c r="BH60" s="161"/>
      <c r="BI60" s="197">
        <v>2</v>
      </c>
      <c r="BJ60" s="721"/>
      <c r="BK60" s="149"/>
      <c r="BL60" s="148"/>
      <c r="BM60" s="161"/>
      <c r="BN60" s="161"/>
      <c r="BO60" s="197"/>
      <c r="BP60" s="721"/>
      <c r="BQ60" s="149"/>
      <c r="BR60" s="148"/>
      <c r="BS60" s="161"/>
      <c r="BT60" s="161"/>
      <c r="BU60" s="197"/>
      <c r="BV60" s="721"/>
      <c r="BW60" s="149"/>
      <c r="BX60" s="148"/>
      <c r="BY60" s="161"/>
      <c r="BZ60" s="161"/>
      <c r="CA60" s="197"/>
      <c r="CB60" s="721"/>
      <c r="CC60" s="199"/>
      <c r="CD60" s="448"/>
      <c r="CE60" s="161"/>
      <c r="CF60" s="161"/>
      <c r="CG60" s="230"/>
      <c r="CH60" s="789"/>
      <c r="CI60" s="147"/>
      <c r="CJ60" s="148"/>
      <c r="CK60" s="161"/>
      <c r="CL60" s="162"/>
    </row>
    <row r="61" spans="1:90" ht="44.25" customHeight="1" outlineLevel="1" x14ac:dyDescent="0.2">
      <c r="B61" s="379" t="s">
        <v>353</v>
      </c>
      <c r="C61" s="806"/>
      <c r="D61" s="260" t="s">
        <v>220</v>
      </c>
      <c r="E61" s="807" t="s">
        <v>221</v>
      </c>
      <c r="F61" s="807"/>
      <c r="G61" s="261">
        <v>2</v>
      </c>
      <c r="H61" s="737"/>
      <c r="I61" s="152"/>
      <c r="J61" s="151"/>
      <c r="K61" s="163"/>
      <c r="L61" s="163"/>
      <c r="M61" s="261">
        <v>2</v>
      </c>
      <c r="N61" s="737"/>
      <c r="O61" s="262"/>
      <c r="P61" s="169"/>
      <c r="Q61" s="163"/>
      <c r="R61" s="163"/>
      <c r="S61" s="261">
        <v>1</v>
      </c>
      <c r="T61" s="737"/>
      <c r="U61" s="152"/>
      <c r="V61" s="151" t="s">
        <v>354</v>
      </c>
      <c r="W61" s="163"/>
      <c r="X61" s="163"/>
      <c r="Y61" s="261">
        <v>2</v>
      </c>
      <c r="Z61" s="737"/>
      <c r="AA61" s="180"/>
      <c r="AB61" s="169"/>
      <c r="AC61" s="184"/>
      <c r="AD61" s="184"/>
      <c r="AE61" s="261">
        <v>2</v>
      </c>
      <c r="AF61" s="737"/>
      <c r="AG61" s="152"/>
      <c r="AH61" s="151"/>
      <c r="AI61" s="163"/>
      <c r="AJ61" s="163"/>
      <c r="AK61" s="261">
        <v>2</v>
      </c>
      <c r="AL61" s="737"/>
      <c r="AM61" s="152"/>
      <c r="AN61" s="151"/>
      <c r="AO61" s="163"/>
      <c r="AP61" s="163"/>
      <c r="AQ61" s="261">
        <v>2</v>
      </c>
      <c r="AR61" s="737"/>
      <c r="AS61" s="152"/>
      <c r="AT61" s="151"/>
      <c r="AU61" s="163"/>
      <c r="AV61" s="163"/>
      <c r="AW61" s="261">
        <v>2</v>
      </c>
      <c r="AX61" s="737"/>
      <c r="AY61" s="152"/>
      <c r="AZ61" s="151"/>
      <c r="BA61" s="163"/>
      <c r="BB61" s="163"/>
      <c r="BC61" s="261">
        <v>2</v>
      </c>
      <c r="BD61" s="737"/>
      <c r="BE61" s="152"/>
      <c r="BF61" s="151"/>
      <c r="BG61" s="163"/>
      <c r="BH61" s="163"/>
      <c r="BI61" s="261">
        <v>2</v>
      </c>
      <c r="BJ61" s="737"/>
      <c r="BK61" s="152"/>
      <c r="BL61" s="151"/>
      <c r="BM61" s="163"/>
      <c r="BN61" s="163"/>
      <c r="BO61" s="261"/>
      <c r="BP61" s="737"/>
      <c r="BQ61" s="152"/>
      <c r="BR61" s="151"/>
      <c r="BS61" s="163"/>
      <c r="BT61" s="163"/>
      <c r="BU61" s="261"/>
      <c r="BV61" s="737"/>
      <c r="BW61" s="152"/>
      <c r="BX61" s="151"/>
      <c r="BY61" s="163"/>
      <c r="BZ61" s="163"/>
      <c r="CA61" s="261"/>
      <c r="CB61" s="737"/>
      <c r="CC61" s="180"/>
      <c r="CD61" s="151"/>
      <c r="CE61" s="163"/>
      <c r="CF61" s="163"/>
      <c r="CG61" s="263"/>
      <c r="CH61" s="789"/>
      <c r="CI61" s="150"/>
      <c r="CJ61" s="151"/>
      <c r="CK61" s="163"/>
      <c r="CL61" s="164"/>
    </row>
    <row r="62" spans="1:90" s="266" customFormat="1" ht="40.5" customHeight="1" outlineLevel="1" x14ac:dyDescent="0.2">
      <c r="A62" s="136"/>
      <c r="B62" s="369" t="s">
        <v>355</v>
      </c>
      <c r="C62" s="757" t="s">
        <v>254</v>
      </c>
      <c r="D62" s="249" t="s">
        <v>255</v>
      </c>
      <c r="E62" s="744" t="s">
        <v>356</v>
      </c>
      <c r="F62" s="744"/>
      <c r="G62" s="222">
        <v>2</v>
      </c>
      <c r="H62" s="720">
        <f>SUM(G62:G65)</f>
        <v>8</v>
      </c>
      <c r="I62" s="225"/>
      <c r="J62" s="224"/>
      <c r="K62" s="252"/>
      <c r="L62" s="252"/>
      <c r="M62" s="222">
        <v>2</v>
      </c>
      <c r="N62" s="720">
        <f>SUM(M62:M65)</f>
        <v>8</v>
      </c>
      <c r="O62" s="257"/>
      <c r="P62" s="224"/>
      <c r="Q62" s="252"/>
      <c r="R62" s="252"/>
      <c r="S62" s="222">
        <v>2</v>
      </c>
      <c r="T62" s="720">
        <v>8</v>
      </c>
      <c r="U62" s="225"/>
      <c r="V62" s="224"/>
      <c r="W62" s="252"/>
      <c r="X62" s="252"/>
      <c r="Y62" s="222">
        <v>2</v>
      </c>
      <c r="Z62" s="799">
        <f>SUM(Y62:Y65)</f>
        <v>8</v>
      </c>
      <c r="AA62" s="227"/>
      <c r="AB62" s="226"/>
      <c r="AC62" s="253"/>
      <c r="AD62" s="253"/>
      <c r="AE62" s="222">
        <v>2</v>
      </c>
      <c r="AF62" s="720">
        <f>SUM(AE62:AE65)</f>
        <v>8</v>
      </c>
      <c r="AG62" s="225"/>
      <c r="AH62" s="224"/>
      <c r="AI62" s="252"/>
      <c r="AJ62" s="252"/>
      <c r="AK62" s="222">
        <v>2</v>
      </c>
      <c r="AL62" s="720">
        <v>8</v>
      </c>
      <c r="AM62" s="225"/>
      <c r="AN62" s="224"/>
      <c r="AO62" s="252"/>
      <c r="AP62" s="252"/>
      <c r="AQ62" s="222">
        <v>2</v>
      </c>
      <c r="AR62" s="720">
        <v>10</v>
      </c>
      <c r="AS62" s="225"/>
      <c r="AT62" s="224"/>
      <c r="AU62" s="252"/>
      <c r="AV62" s="252"/>
      <c r="AW62" s="222">
        <v>2</v>
      </c>
      <c r="AX62" s="720">
        <f>SUM(AW62:AW65)</f>
        <v>8</v>
      </c>
      <c r="AY62" s="225"/>
      <c r="AZ62" s="224"/>
      <c r="BA62" s="252"/>
      <c r="BB62" s="252"/>
      <c r="BC62" s="222">
        <v>2</v>
      </c>
      <c r="BD62" s="720">
        <f>SUM(BC62:BC65)</f>
        <v>8</v>
      </c>
      <c r="BE62" s="225"/>
      <c r="BF62" s="224"/>
      <c r="BG62" s="252"/>
      <c r="BH62" s="252"/>
      <c r="BI62" s="222">
        <v>2</v>
      </c>
      <c r="BJ62" s="720">
        <f>SUM(BC62:BC65)</f>
        <v>8</v>
      </c>
      <c r="BK62" s="225"/>
      <c r="BL62" s="224"/>
      <c r="BM62" s="252"/>
      <c r="BN62" s="252"/>
      <c r="BO62" s="222"/>
      <c r="BP62" s="720">
        <v>8</v>
      </c>
      <c r="BQ62" s="225"/>
      <c r="BR62" s="224"/>
      <c r="BS62" s="252"/>
      <c r="BT62" s="252"/>
      <c r="BU62" s="222"/>
      <c r="BV62" s="720">
        <v>8</v>
      </c>
      <c r="BW62" s="225"/>
      <c r="BX62" s="224"/>
      <c r="BY62" s="252"/>
      <c r="BZ62" s="252"/>
      <c r="CA62" s="222"/>
      <c r="CB62" s="720">
        <f>SUM(CA62:CA65)</f>
        <v>0</v>
      </c>
      <c r="CC62" s="227"/>
      <c r="CD62" s="224"/>
      <c r="CE62" s="252"/>
      <c r="CF62" s="252"/>
      <c r="CG62" s="222"/>
      <c r="CH62" s="788">
        <f>SUM(CG62:CG65)</f>
        <v>0</v>
      </c>
      <c r="CI62" s="160"/>
      <c r="CJ62" s="224"/>
      <c r="CK62" s="252"/>
      <c r="CL62" s="265"/>
    </row>
    <row r="63" spans="1:90" ht="40.5" customHeight="1" outlineLevel="1" x14ac:dyDescent="0.2">
      <c r="B63" s="370" t="s">
        <v>357</v>
      </c>
      <c r="C63" s="758"/>
      <c r="D63" s="219" t="s">
        <v>258</v>
      </c>
      <c r="E63" s="745" t="s">
        <v>259</v>
      </c>
      <c r="F63" s="745"/>
      <c r="G63" s="197">
        <v>2</v>
      </c>
      <c r="H63" s="721"/>
      <c r="I63" s="149"/>
      <c r="J63" s="148"/>
      <c r="K63" s="161"/>
      <c r="L63" s="161"/>
      <c r="M63" s="197">
        <v>2</v>
      </c>
      <c r="N63" s="721"/>
      <c r="O63" s="203"/>
      <c r="P63" s="148"/>
      <c r="Q63" s="161"/>
      <c r="R63" s="161"/>
      <c r="S63" s="197">
        <v>2</v>
      </c>
      <c r="T63" s="721"/>
      <c r="U63" s="149"/>
      <c r="V63" s="148"/>
      <c r="W63" s="161"/>
      <c r="X63" s="161"/>
      <c r="Y63" s="197">
        <v>2</v>
      </c>
      <c r="Z63" s="800"/>
      <c r="AA63" s="179"/>
      <c r="AB63" s="167"/>
      <c r="AC63" s="183"/>
      <c r="AD63" s="183"/>
      <c r="AE63" s="197">
        <v>2</v>
      </c>
      <c r="AF63" s="721"/>
      <c r="AG63" s="149"/>
      <c r="AH63" s="148"/>
      <c r="AI63" s="161"/>
      <c r="AJ63" s="161"/>
      <c r="AK63" s="197">
        <v>2</v>
      </c>
      <c r="AL63" s="721"/>
      <c r="AM63" s="149"/>
      <c r="AN63" s="148"/>
      <c r="AO63" s="161"/>
      <c r="AP63" s="161"/>
      <c r="AQ63" s="197">
        <v>2</v>
      </c>
      <c r="AR63" s="721"/>
      <c r="AS63" s="149"/>
      <c r="AT63" s="148"/>
      <c r="AU63" s="161"/>
      <c r="AV63" s="161"/>
      <c r="AW63" s="197">
        <v>2</v>
      </c>
      <c r="AX63" s="721"/>
      <c r="AY63" s="149"/>
      <c r="AZ63" s="148"/>
      <c r="BA63" s="161"/>
      <c r="BB63" s="161"/>
      <c r="BC63" s="197">
        <v>2</v>
      </c>
      <c r="BD63" s="721"/>
      <c r="BE63" s="149"/>
      <c r="BF63" s="148"/>
      <c r="BG63" s="161"/>
      <c r="BH63" s="161"/>
      <c r="BI63" s="197">
        <v>2</v>
      </c>
      <c r="BJ63" s="721"/>
      <c r="BK63" s="149"/>
      <c r="BL63" s="148"/>
      <c r="BM63" s="161"/>
      <c r="BN63" s="161"/>
      <c r="BO63" s="197"/>
      <c r="BP63" s="721"/>
      <c r="BQ63" s="149"/>
      <c r="BR63" s="148"/>
      <c r="BS63" s="161"/>
      <c r="BT63" s="161"/>
      <c r="BU63" s="197"/>
      <c r="BV63" s="721"/>
      <c r="BW63" s="149"/>
      <c r="BX63" s="148"/>
      <c r="BY63" s="161"/>
      <c r="BZ63" s="161"/>
      <c r="CA63" s="197"/>
      <c r="CB63" s="721"/>
      <c r="CC63" s="179"/>
      <c r="CD63" s="444"/>
      <c r="CE63" s="161"/>
      <c r="CF63" s="161"/>
      <c r="CG63" s="197"/>
      <c r="CH63" s="789"/>
      <c r="CI63" s="147"/>
      <c r="CJ63" s="148"/>
      <c r="CK63" s="161"/>
      <c r="CL63" s="162"/>
    </row>
    <row r="64" spans="1:90" ht="25.5" customHeight="1" outlineLevel="1" x14ac:dyDescent="0.2">
      <c r="B64" s="370" t="s">
        <v>358</v>
      </c>
      <c r="C64" s="758"/>
      <c r="D64" s="219" t="s">
        <v>264</v>
      </c>
      <c r="E64" s="745" t="s">
        <v>265</v>
      </c>
      <c r="F64" s="745"/>
      <c r="G64" s="197">
        <v>2</v>
      </c>
      <c r="H64" s="721"/>
      <c r="I64" s="149"/>
      <c r="J64" s="148"/>
      <c r="K64" s="161"/>
      <c r="L64" s="161"/>
      <c r="M64" s="197">
        <v>2</v>
      </c>
      <c r="N64" s="721"/>
      <c r="O64" s="203"/>
      <c r="P64" s="148"/>
      <c r="Q64" s="161"/>
      <c r="R64" s="161"/>
      <c r="S64" s="197">
        <v>2</v>
      </c>
      <c r="T64" s="721"/>
      <c r="U64" s="149"/>
      <c r="V64" s="148"/>
      <c r="W64" s="161"/>
      <c r="X64" s="161"/>
      <c r="Y64" s="197">
        <v>2</v>
      </c>
      <c r="Z64" s="800"/>
      <c r="AA64" s="179"/>
      <c r="AB64" s="167"/>
      <c r="AC64" s="183"/>
      <c r="AD64" s="183"/>
      <c r="AE64" s="197">
        <v>2</v>
      </c>
      <c r="AF64" s="721"/>
      <c r="AG64" s="149"/>
      <c r="AH64" s="148"/>
      <c r="AI64" s="161"/>
      <c r="AJ64" s="161"/>
      <c r="AK64" s="197">
        <v>2</v>
      </c>
      <c r="AL64" s="721"/>
      <c r="AM64" s="149"/>
      <c r="AN64" s="148"/>
      <c r="AO64" s="161"/>
      <c r="AP64" s="161"/>
      <c r="AQ64" s="197">
        <v>2</v>
      </c>
      <c r="AR64" s="721"/>
      <c r="AS64" s="149"/>
      <c r="AT64" s="148"/>
      <c r="AU64" s="161"/>
      <c r="AV64" s="161"/>
      <c r="AW64" s="197">
        <v>2</v>
      </c>
      <c r="AX64" s="721"/>
      <c r="AY64" s="149"/>
      <c r="AZ64" s="148"/>
      <c r="BA64" s="161"/>
      <c r="BB64" s="161"/>
      <c r="BC64" s="197">
        <v>2</v>
      </c>
      <c r="BD64" s="721"/>
      <c r="BE64" s="149"/>
      <c r="BF64" s="148"/>
      <c r="BG64" s="161"/>
      <c r="BH64" s="161"/>
      <c r="BI64" s="197">
        <v>2</v>
      </c>
      <c r="BJ64" s="721"/>
      <c r="BK64" s="149"/>
      <c r="BL64" s="148"/>
      <c r="BM64" s="161"/>
      <c r="BN64" s="161"/>
      <c r="BO64" s="197"/>
      <c r="BP64" s="721"/>
      <c r="BQ64" s="149"/>
      <c r="BR64" s="148"/>
      <c r="BS64" s="161"/>
      <c r="BT64" s="161"/>
      <c r="BU64" s="197"/>
      <c r="BV64" s="721"/>
      <c r="BW64" s="149"/>
      <c r="BX64" s="148"/>
      <c r="BY64" s="161"/>
      <c r="BZ64" s="161"/>
      <c r="CA64" s="197"/>
      <c r="CB64" s="721"/>
      <c r="CC64" s="179"/>
      <c r="CD64" s="148"/>
      <c r="CE64" s="161"/>
      <c r="CF64" s="161"/>
      <c r="CG64" s="197"/>
      <c r="CH64" s="789"/>
      <c r="CI64" s="147"/>
      <c r="CJ64" s="148"/>
      <c r="CK64" s="161"/>
      <c r="CL64" s="162"/>
    </row>
    <row r="65" spans="1:90" s="269" customFormat="1" ht="49.5" customHeight="1" outlineLevel="1" x14ac:dyDescent="0.2">
      <c r="A65" s="136"/>
      <c r="B65" s="368" t="s">
        <v>359</v>
      </c>
      <c r="C65" s="759"/>
      <c r="D65" s="250" t="s">
        <v>270</v>
      </c>
      <c r="E65" s="746" t="s">
        <v>360</v>
      </c>
      <c r="F65" s="746"/>
      <c r="G65" s="232">
        <v>2</v>
      </c>
      <c r="H65" s="722"/>
      <c r="I65" s="233"/>
      <c r="J65" s="234"/>
      <c r="K65" s="255"/>
      <c r="L65" s="255"/>
      <c r="M65" s="232">
        <v>2</v>
      </c>
      <c r="N65" s="722"/>
      <c r="O65" s="259"/>
      <c r="P65" s="234"/>
      <c r="Q65" s="256"/>
      <c r="R65" s="255"/>
      <c r="S65" s="232">
        <v>2</v>
      </c>
      <c r="T65" s="722"/>
      <c r="U65" s="233"/>
      <c r="V65" s="234"/>
      <c r="W65" s="255"/>
      <c r="X65" s="255"/>
      <c r="Y65" s="232">
        <v>2</v>
      </c>
      <c r="Z65" s="801"/>
      <c r="AA65" s="235"/>
      <c r="AB65" s="236"/>
      <c r="AC65" s="256"/>
      <c r="AD65" s="256"/>
      <c r="AE65" s="232">
        <v>2</v>
      </c>
      <c r="AF65" s="722"/>
      <c r="AG65" s="233"/>
      <c r="AH65" s="234"/>
      <c r="AI65" s="255"/>
      <c r="AJ65" s="255"/>
      <c r="AK65" s="232">
        <v>2</v>
      </c>
      <c r="AL65" s="722"/>
      <c r="AM65" s="233"/>
      <c r="AN65" s="234"/>
      <c r="AO65" s="255"/>
      <c r="AP65" s="255"/>
      <c r="AQ65" s="232">
        <v>2</v>
      </c>
      <c r="AR65" s="722"/>
      <c r="AS65" s="233"/>
      <c r="AT65" s="234"/>
      <c r="AU65" s="255"/>
      <c r="AV65" s="255"/>
      <c r="AW65" s="232">
        <v>2</v>
      </c>
      <c r="AX65" s="722"/>
      <c r="AY65" s="233"/>
      <c r="AZ65" s="234"/>
      <c r="BA65" s="255"/>
      <c r="BB65" s="255"/>
      <c r="BC65" s="232">
        <v>2</v>
      </c>
      <c r="BD65" s="722"/>
      <c r="BE65" s="233"/>
      <c r="BF65" s="234"/>
      <c r="BG65" s="255"/>
      <c r="BH65" s="255"/>
      <c r="BI65" s="232">
        <v>2</v>
      </c>
      <c r="BJ65" s="722"/>
      <c r="BK65" s="233"/>
      <c r="BL65" s="234"/>
      <c r="BM65" s="255"/>
      <c r="BN65" s="255"/>
      <c r="BO65" s="232"/>
      <c r="BP65" s="722"/>
      <c r="BQ65" s="233"/>
      <c r="BR65" s="234"/>
      <c r="BS65" s="255"/>
      <c r="BT65" s="255"/>
      <c r="BU65" s="232"/>
      <c r="BV65" s="722"/>
      <c r="BW65" s="233"/>
      <c r="BX65" s="234"/>
      <c r="BY65" s="255"/>
      <c r="BZ65" s="255"/>
      <c r="CA65" s="232"/>
      <c r="CB65" s="722"/>
      <c r="CC65" s="237"/>
      <c r="CD65" s="450"/>
      <c r="CE65" s="255"/>
      <c r="CF65" s="255"/>
      <c r="CG65" s="232"/>
      <c r="CH65" s="790"/>
      <c r="CI65" s="267"/>
      <c r="CJ65" s="234"/>
      <c r="CK65" s="255"/>
      <c r="CL65" s="268"/>
    </row>
    <row r="66" spans="1:90" ht="30.75" customHeight="1" outlineLevel="1" x14ac:dyDescent="0.2">
      <c r="B66" s="380"/>
      <c r="C66" s="779" t="s">
        <v>272</v>
      </c>
      <c r="D66" s="264" t="s">
        <v>273</v>
      </c>
      <c r="E66" s="781" t="s">
        <v>274</v>
      </c>
      <c r="F66" s="781"/>
      <c r="G66" s="246">
        <v>2</v>
      </c>
      <c r="H66" s="732">
        <f>SUM(G66:G69)</f>
        <v>8</v>
      </c>
      <c r="I66" s="194"/>
      <c r="J66" s="193"/>
      <c r="K66" s="194"/>
      <c r="L66" s="194"/>
      <c r="M66" s="246">
        <v>2</v>
      </c>
      <c r="N66" s="732">
        <f>SUM(M66:M69)</f>
        <v>8</v>
      </c>
      <c r="O66" s="194"/>
      <c r="P66" s="193"/>
      <c r="Q66" s="194"/>
      <c r="R66" s="194"/>
      <c r="S66" s="220">
        <v>2</v>
      </c>
      <c r="T66" s="732">
        <v>8</v>
      </c>
      <c r="U66" s="194"/>
      <c r="V66" s="193"/>
      <c r="W66" s="194"/>
      <c r="X66" s="194"/>
      <c r="Y66" s="220">
        <v>2</v>
      </c>
      <c r="Z66" s="734">
        <f>SUM(Y66:Y69)</f>
        <v>8</v>
      </c>
      <c r="AA66" s="264"/>
      <c r="AB66" s="264"/>
      <c r="AC66" s="264"/>
      <c r="AD66" s="264"/>
      <c r="AE66" s="220">
        <v>2</v>
      </c>
      <c r="AF66" s="732">
        <f>SUM(AE66:AE69)</f>
        <v>8</v>
      </c>
      <c r="AG66" s="194"/>
      <c r="AH66" s="193"/>
      <c r="AI66" s="194"/>
      <c r="AJ66" s="194"/>
      <c r="AK66" s="220">
        <v>2</v>
      </c>
      <c r="AL66" s="726">
        <v>8</v>
      </c>
      <c r="AM66" s="194"/>
      <c r="AN66" s="194"/>
      <c r="AO66" s="194"/>
      <c r="AP66" s="194"/>
      <c r="AQ66" s="220">
        <v>2</v>
      </c>
      <c r="AR66" s="726">
        <v>8</v>
      </c>
      <c r="AS66" s="194"/>
      <c r="AT66" s="194"/>
      <c r="AU66" s="194"/>
      <c r="AV66" s="194"/>
      <c r="AW66" s="220">
        <v>2</v>
      </c>
      <c r="AX66" s="726">
        <f>SUM(AW66:AW69)</f>
        <v>8</v>
      </c>
      <c r="AY66" s="155"/>
      <c r="AZ66" s="155"/>
      <c r="BA66" s="155"/>
      <c r="BB66" s="155"/>
      <c r="BC66" s="220">
        <v>2</v>
      </c>
      <c r="BD66" s="726">
        <f>SUM(BC66:BC69)</f>
        <v>8</v>
      </c>
      <c r="BE66" s="194"/>
      <c r="BF66" s="194"/>
      <c r="BG66" s="194"/>
      <c r="BH66" s="194"/>
      <c r="BI66" s="220">
        <v>2</v>
      </c>
      <c r="BJ66" s="726">
        <f>SUM(BI66:BI69)</f>
        <v>8</v>
      </c>
      <c r="BK66" s="194"/>
      <c r="BL66" s="194"/>
      <c r="BM66" s="194"/>
      <c r="BN66" s="194"/>
      <c r="BO66" s="220"/>
      <c r="BP66" s="844">
        <v>8</v>
      </c>
      <c r="BQ66" s="194"/>
      <c r="BR66" s="194"/>
      <c r="BS66" s="194"/>
      <c r="BT66" s="194"/>
      <c r="BU66" s="220"/>
      <c r="BV66" s="726">
        <v>7</v>
      </c>
      <c r="BW66" s="194"/>
      <c r="BX66" s="194"/>
      <c r="BY66" s="194"/>
      <c r="BZ66" s="194"/>
      <c r="CA66" s="220"/>
      <c r="CB66" s="726">
        <f>SUM(CA66:CA69)</f>
        <v>0</v>
      </c>
      <c r="CC66" s="353"/>
      <c r="CD66" s="167"/>
      <c r="CE66" s="351"/>
      <c r="CF66" s="351"/>
      <c r="CG66" s="220"/>
      <c r="CH66" s="774">
        <f>SUM(CG66:CG69)</f>
        <v>0</v>
      </c>
      <c r="CI66" s="192"/>
      <c r="CJ66" s="193"/>
      <c r="CK66" s="194"/>
      <c r="CL66" s="194"/>
    </row>
    <row r="67" spans="1:90" ht="39" customHeight="1" outlineLevel="1" x14ac:dyDescent="0.2">
      <c r="B67" s="381"/>
      <c r="C67" s="780"/>
      <c r="D67" s="204" t="s">
        <v>275</v>
      </c>
      <c r="E67" s="772" t="s">
        <v>276</v>
      </c>
      <c r="F67" s="772"/>
      <c r="G67" s="202">
        <v>2</v>
      </c>
      <c r="H67" s="733"/>
      <c r="I67" s="155"/>
      <c r="J67" s="154"/>
      <c r="K67" s="155"/>
      <c r="L67" s="155"/>
      <c r="M67" s="202">
        <v>2</v>
      </c>
      <c r="N67" s="733"/>
      <c r="O67" s="155"/>
      <c r="P67" s="154"/>
      <c r="Q67" s="155"/>
      <c r="R67" s="155"/>
      <c r="S67" s="197">
        <v>2</v>
      </c>
      <c r="T67" s="733"/>
      <c r="U67" s="155"/>
      <c r="V67" s="154"/>
      <c r="W67" s="155"/>
      <c r="X67" s="155"/>
      <c r="Y67" s="197">
        <v>2</v>
      </c>
      <c r="Z67" s="735"/>
      <c r="AA67" s="264"/>
      <c r="AB67" s="264"/>
      <c r="AC67" s="264"/>
      <c r="AD67" s="264"/>
      <c r="AE67" s="197">
        <v>2</v>
      </c>
      <c r="AF67" s="733"/>
      <c r="AG67" s="155"/>
      <c r="AH67" s="154"/>
      <c r="AI67" s="155"/>
      <c r="AJ67" s="155"/>
      <c r="AK67" s="197">
        <v>2</v>
      </c>
      <c r="AL67" s="727"/>
      <c r="AM67" s="194"/>
      <c r="AN67" s="194"/>
      <c r="AO67" s="194"/>
      <c r="AP67" s="194"/>
      <c r="AQ67" s="197">
        <v>2</v>
      </c>
      <c r="AR67" s="727"/>
      <c r="AS67" s="194"/>
      <c r="AT67" s="194"/>
      <c r="AU67" s="194"/>
      <c r="AV67" s="194"/>
      <c r="AW67" s="197">
        <v>2</v>
      </c>
      <c r="AX67" s="727"/>
      <c r="AY67" s="155"/>
      <c r="AZ67" s="155"/>
      <c r="BA67" s="155"/>
      <c r="BB67" s="155"/>
      <c r="BC67" s="197">
        <v>2</v>
      </c>
      <c r="BD67" s="727"/>
      <c r="BE67" s="194"/>
      <c r="BF67" s="194"/>
      <c r="BG67" s="194"/>
      <c r="BH67" s="194"/>
      <c r="BI67" s="197">
        <v>2</v>
      </c>
      <c r="BJ67" s="727"/>
      <c r="BK67" s="194"/>
      <c r="BL67" s="194"/>
      <c r="BM67" s="194"/>
      <c r="BN67" s="194"/>
      <c r="BO67" s="197"/>
      <c r="BP67" s="845"/>
      <c r="BQ67" s="194"/>
      <c r="BR67" s="194"/>
      <c r="BS67" s="194"/>
      <c r="BT67" s="194"/>
      <c r="BU67" s="197"/>
      <c r="BV67" s="727"/>
      <c r="BW67" s="194"/>
      <c r="BX67" s="148"/>
      <c r="BY67" s="194"/>
      <c r="BZ67" s="194"/>
      <c r="CA67" s="197"/>
      <c r="CB67" s="727"/>
      <c r="CC67" s="354"/>
      <c r="CD67" s="167"/>
      <c r="CE67" s="352"/>
      <c r="CF67" s="352"/>
      <c r="CG67" s="197"/>
      <c r="CH67" s="774"/>
      <c r="CI67" s="153"/>
      <c r="CJ67" s="154"/>
      <c r="CK67" s="155"/>
      <c r="CL67" s="155"/>
    </row>
    <row r="68" spans="1:90" ht="34.5" customHeight="1" outlineLevel="1" x14ac:dyDescent="0.2">
      <c r="B68" s="381"/>
      <c r="C68" s="780"/>
      <c r="D68" s="201" t="s">
        <v>277</v>
      </c>
      <c r="E68" s="772" t="s">
        <v>278</v>
      </c>
      <c r="F68" s="772"/>
      <c r="G68" s="202">
        <v>2</v>
      </c>
      <c r="H68" s="733"/>
      <c r="I68" s="155"/>
      <c r="J68" s="154"/>
      <c r="K68" s="155"/>
      <c r="L68" s="155"/>
      <c r="M68" s="202">
        <v>2</v>
      </c>
      <c r="N68" s="733"/>
      <c r="O68" s="155"/>
      <c r="P68" s="154"/>
      <c r="Q68" s="155"/>
      <c r="R68" s="155"/>
      <c r="S68" s="197">
        <v>2</v>
      </c>
      <c r="T68" s="733"/>
      <c r="U68" s="155"/>
      <c r="V68" s="154"/>
      <c r="W68" s="340"/>
      <c r="X68" s="155"/>
      <c r="Y68" s="197">
        <v>2</v>
      </c>
      <c r="Z68" s="735"/>
      <c r="AA68" s="264"/>
      <c r="AB68" s="264"/>
      <c r="AC68" s="264"/>
      <c r="AD68" s="264"/>
      <c r="AE68" s="197">
        <v>2</v>
      </c>
      <c r="AF68" s="733"/>
      <c r="AG68" s="155"/>
      <c r="AH68" s="154"/>
      <c r="AI68" s="340"/>
      <c r="AJ68" s="155"/>
      <c r="AK68" s="197">
        <v>2</v>
      </c>
      <c r="AL68" s="727"/>
      <c r="AM68" s="194"/>
      <c r="AN68" s="194"/>
      <c r="AO68" s="194"/>
      <c r="AP68" s="194"/>
      <c r="AQ68" s="197">
        <v>2</v>
      </c>
      <c r="AR68" s="727"/>
      <c r="AS68" s="194"/>
      <c r="AT68" s="194"/>
      <c r="AU68" s="194"/>
      <c r="AV68" s="194"/>
      <c r="AW68" s="197">
        <v>2</v>
      </c>
      <c r="AX68" s="727"/>
      <c r="AY68" s="155"/>
      <c r="AZ68" s="155"/>
      <c r="BA68" s="155"/>
      <c r="BB68" s="155"/>
      <c r="BC68" s="197">
        <v>2</v>
      </c>
      <c r="BD68" s="727"/>
      <c r="BE68" s="194"/>
      <c r="BF68" s="194"/>
      <c r="BG68" s="194"/>
      <c r="BH68" s="194"/>
      <c r="BI68" s="197">
        <v>2</v>
      </c>
      <c r="BJ68" s="727"/>
      <c r="BK68" s="194"/>
      <c r="BL68" s="194"/>
      <c r="BM68" s="194"/>
      <c r="BN68" s="194"/>
      <c r="BO68" s="197"/>
      <c r="BP68" s="845"/>
      <c r="BQ68" s="194"/>
      <c r="BR68" s="194"/>
      <c r="BS68" s="194"/>
      <c r="BT68" s="194"/>
      <c r="BU68" s="197"/>
      <c r="BV68" s="727"/>
      <c r="BW68" s="194"/>
      <c r="BX68" s="194"/>
      <c r="BY68" s="194"/>
      <c r="BZ68" s="194"/>
      <c r="CA68" s="197"/>
      <c r="CB68" s="727"/>
      <c r="CC68" s="354"/>
      <c r="CD68" s="167"/>
      <c r="CE68" s="352"/>
      <c r="CF68" s="352"/>
      <c r="CG68" s="197"/>
      <c r="CH68" s="774"/>
      <c r="CI68" s="153"/>
      <c r="CJ68" s="154"/>
      <c r="CK68" s="155"/>
      <c r="CL68" s="155"/>
    </row>
    <row r="69" spans="1:90" ht="37.5" customHeight="1" outlineLevel="1" x14ac:dyDescent="0.2">
      <c r="B69" s="381"/>
      <c r="C69" s="780"/>
      <c r="D69" s="204" t="s">
        <v>281</v>
      </c>
      <c r="E69" s="772" t="s">
        <v>361</v>
      </c>
      <c r="F69" s="772"/>
      <c r="G69" s="202">
        <v>2</v>
      </c>
      <c r="H69" s="733"/>
      <c r="I69" s="155"/>
      <c r="J69" s="154"/>
      <c r="K69" s="340"/>
      <c r="L69" s="155"/>
      <c r="M69" s="202">
        <v>2</v>
      </c>
      <c r="N69" s="733"/>
      <c r="O69" s="155"/>
      <c r="P69" s="154"/>
      <c r="Q69" s="340"/>
      <c r="R69" s="155"/>
      <c r="S69" s="197">
        <v>2</v>
      </c>
      <c r="T69" s="733"/>
      <c r="U69" s="155"/>
      <c r="V69" s="154"/>
      <c r="W69" s="155"/>
      <c r="X69" s="155"/>
      <c r="Y69" s="197">
        <v>2</v>
      </c>
      <c r="Z69" s="736"/>
      <c r="AA69" s="264"/>
      <c r="AB69" s="264"/>
      <c r="AC69" s="264"/>
      <c r="AD69" s="264"/>
      <c r="AE69" s="197">
        <v>2</v>
      </c>
      <c r="AF69" s="733"/>
      <c r="AG69" s="155"/>
      <c r="AH69" s="154"/>
      <c r="AI69" s="155"/>
      <c r="AJ69" s="155"/>
      <c r="AK69" s="197">
        <v>2</v>
      </c>
      <c r="AL69" s="728"/>
      <c r="AM69" s="194"/>
      <c r="AN69" s="194"/>
      <c r="AO69" s="194"/>
      <c r="AP69" s="194"/>
      <c r="AQ69" s="197">
        <v>2</v>
      </c>
      <c r="AR69" s="728"/>
      <c r="AS69" s="194"/>
      <c r="AT69" s="194"/>
      <c r="AU69" s="194"/>
      <c r="AV69" s="194"/>
      <c r="AW69" s="197">
        <v>2</v>
      </c>
      <c r="AX69" s="728"/>
      <c r="AY69" s="155"/>
      <c r="AZ69" s="155"/>
      <c r="BA69" s="155"/>
      <c r="BB69" s="155"/>
      <c r="BC69" s="197">
        <v>2</v>
      </c>
      <c r="BD69" s="728"/>
      <c r="BE69" s="194"/>
      <c r="BF69" s="194"/>
      <c r="BG69" s="194"/>
      <c r="BH69" s="194"/>
      <c r="BI69" s="197">
        <v>2</v>
      </c>
      <c r="BJ69" s="728"/>
      <c r="BK69" s="194"/>
      <c r="BL69" s="194"/>
      <c r="BM69" s="194"/>
      <c r="BN69" s="194"/>
      <c r="BO69" s="197"/>
      <c r="BP69" s="846"/>
      <c r="BQ69" s="194"/>
      <c r="BR69" s="194"/>
      <c r="BS69" s="194"/>
      <c r="BT69" s="194"/>
      <c r="BU69" s="197"/>
      <c r="BV69" s="728"/>
      <c r="BW69" s="194"/>
      <c r="BX69" s="194"/>
      <c r="BY69" s="194"/>
      <c r="BZ69" s="194"/>
      <c r="CA69" s="197"/>
      <c r="CB69" s="728"/>
      <c r="CC69" s="354"/>
      <c r="CD69" s="167"/>
      <c r="CE69" s="352"/>
      <c r="CF69" s="352"/>
      <c r="CG69" s="197"/>
      <c r="CH69" s="774"/>
      <c r="CI69" s="153"/>
      <c r="CJ69" s="154"/>
      <c r="CK69" s="356"/>
      <c r="CL69" s="155"/>
    </row>
    <row r="70" spans="1:90" x14ac:dyDescent="0.2">
      <c r="B70" s="384" t="s">
        <v>362</v>
      </c>
      <c r="C70" s="208"/>
      <c r="D70" s="208"/>
      <c r="E70" s="208"/>
      <c r="F70" s="208"/>
      <c r="G70" s="208"/>
      <c r="H70" s="208"/>
      <c r="I70" s="341"/>
      <c r="J70" s="341"/>
      <c r="K70" s="341"/>
      <c r="L70" s="341"/>
      <c r="M70" s="208"/>
      <c r="N70" s="208"/>
      <c r="O70" s="341"/>
      <c r="P70" s="341"/>
      <c r="Q70" s="341"/>
      <c r="R70" s="341"/>
      <c r="S70" s="208"/>
      <c r="T70" s="208"/>
      <c r="U70" s="341"/>
      <c r="V70" s="341"/>
      <c r="W70" s="341"/>
      <c r="X70" s="341"/>
      <c r="Y70" s="208"/>
      <c r="Z70" s="208"/>
      <c r="AA70" s="341"/>
      <c r="AB70" s="341"/>
      <c r="AC70" s="341"/>
      <c r="AD70" s="341"/>
      <c r="AE70" s="208"/>
      <c r="AF70" s="208"/>
      <c r="AG70" s="341"/>
      <c r="AH70" s="341"/>
      <c r="AI70" s="341"/>
      <c r="AJ70" s="341"/>
      <c r="AK70" s="208"/>
      <c r="AL70" s="208"/>
      <c r="AM70" s="341"/>
      <c r="AN70" s="341"/>
      <c r="AO70" s="341"/>
      <c r="AP70" s="341"/>
      <c r="AQ70" s="208"/>
      <c r="AR70" s="208"/>
      <c r="AS70" s="341"/>
      <c r="AT70" s="341"/>
      <c r="AU70" s="341"/>
      <c r="AV70" s="341"/>
      <c r="AW70" s="208"/>
      <c r="AX70" s="208"/>
      <c r="AY70" s="341"/>
      <c r="AZ70" s="341"/>
      <c r="BA70" s="341"/>
      <c r="BB70" s="341"/>
      <c r="BC70" s="208"/>
      <c r="BD70" s="208"/>
      <c r="BE70" s="341"/>
      <c r="BF70" s="341"/>
      <c r="BG70" s="341"/>
      <c r="BH70" s="341"/>
      <c r="BI70" s="208"/>
      <c r="BJ70" s="208"/>
      <c r="BK70" s="341"/>
      <c r="BL70" s="341"/>
      <c r="BM70" s="341"/>
      <c r="BN70" s="341"/>
      <c r="BO70" s="208"/>
      <c r="BP70" s="208"/>
      <c r="BQ70" s="341"/>
      <c r="BR70" s="341"/>
      <c r="BS70" s="341"/>
      <c r="BT70" s="341"/>
      <c r="BU70" s="208"/>
      <c r="BV70" s="208"/>
      <c r="BW70" s="341"/>
      <c r="BX70" s="341"/>
      <c r="BY70" s="341"/>
      <c r="BZ70" s="341"/>
      <c r="CA70" s="208"/>
      <c r="CB70" s="208"/>
      <c r="CC70" s="341"/>
      <c r="CD70" s="341"/>
      <c r="CE70" s="341"/>
      <c r="CF70" s="341"/>
      <c r="CG70" s="209"/>
      <c r="CH70" s="59"/>
      <c r="CI70" s="355"/>
      <c r="CJ70" s="355"/>
      <c r="CK70" s="355"/>
      <c r="CL70" s="355"/>
    </row>
    <row r="71" spans="1:90" ht="36" outlineLevel="1" x14ac:dyDescent="0.2">
      <c r="B71" s="371" t="s">
        <v>363</v>
      </c>
      <c r="C71" s="760" t="s">
        <v>166</v>
      </c>
      <c r="D71" s="221" t="s">
        <v>167</v>
      </c>
      <c r="E71" s="753" t="s">
        <v>285</v>
      </c>
      <c r="F71" s="753"/>
      <c r="G71" s="222">
        <v>2</v>
      </c>
      <c r="H71" s="720">
        <f>SUM(G71:G74)</f>
        <v>8</v>
      </c>
      <c r="I71" s="257"/>
      <c r="J71" s="224"/>
      <c r="K71" s="252"/>
      <c r="L71" s="252"/>
      <c r="M71" s="197">
        <v>2</v>
      </c>
      <c r="N71" s="720">
        <f>SUM(M71:M74)</f>
        <v>8</v>
      </c>
      <c r="O71" s="257"/>
      <c r="P71" s="224"/>
      <c r="Q71" s="226"/>
      <c r="R71" s="252"/>
      <c r="S71" s="222">
        <v>1</v>
      </c>
      <c r="T71" s="720">
        <f>SUM(S71:S74)</f>
        <v>7</v>
      </c>
      <c r="U71" s="223"/>
      <c r="V71" s="225" t="s">
        <v>364</v>
      </c>
      <c r="W71" s="252"/>
      <c r="X71" s="252"/>
      <c r="Y71" s="197">
        <v>2</v>
      </c>
      <c r="Z71" s="720">
        <f>SUM(Y71:Y74)</f>
        <v>8</v>
      </c>
      <c r="AA71" s="223"/>
      <c r="AB71" s="226"/>
      <c r="AC71" s="253"/>
      <c r="AD71" s="253"/>
      <c r="AE71" s="222">
        <v>2</v>
      </c>
      <c r="AF71" s="720">
        <f>AE71+AE72+AE73+AE74</f>
        <v>8</v>
      </c>
      <c r="AG71" s="223"/>
      <c r="AH71" s="224"/>
      <c r="AI71" s="252"/>
      <c r="AJ71" s="252"/>
      <c r="AK71" s="197">
        <v>2</v>
      </c>
      <c r="AL71" s="720">
        <v>8</v>
      </c>
      <c r="AM71" s="224"/>
      <c r="AO71" s="252"/>
      <c r="AP71" s="252"/>
      <c r="AQ71" s="222">
        <v>2</v>
      </c>
      <c r="AR71" s="720">
        <f>SUM(AQ71:AQ74)</f>
        <v>8</v>
      </c>
      <c r="AS71" s="225"/>
      <c r="AT71" s="224"/>
      <c r="AU71" s="252"/>
      <c r="AV71" s="252"/>
      <c r="AW71" s="197">
        <v>1</v>
      </c>
      <c r="AX71" s="720">
        <f>SUM(AW71:AW74)</f>
        <v>7</v>
      </c>
      <c r="AY71" s="225"/>
      <c r="AZ71" s="225" t="s">
        <v>365</v>
      </c>
      <c r="BA71" s="252"/>
      <c r="BB71" s="252"/>
      <c r="BC71" s="222">
        <v>2</v>
      </c>
      <c r="BD71" s="720">
        <f>SUM(BC71:BC74)</f>
        <v>8</v>
      </c>
      <c r="BE71" s="225"/>
      <c r="BF71" s="224"/>
      <c r="BG71" s="252"/>
      <c r="BH71" s="252"/>
      <c r="BI71" s="197">
        <v>2</v>
      </c>
      <c r="BJ71" s="852">
        <f>SUM(BI71:BI74)</f>
        <v>8</v>
      </c>
      <c r="BK71" s="225"/>
      <c r="BL71" s="224"/>
      <c r="BM71" s="252"/>
      <c r="BN71" s="252"/>
      <c r="BO71" s="222"/>
      <c r="BP71" s="720">
        <v>8</v>
      </c>
      <c r="BQ71" s="225"/>
      <c r="BR71" s="224"/>
      <c r="BS71" s="252"/>
      <c r="BT71" s="252"/>
      <c r="BU71" s="197"/>
      <c r="BV71" s="720">
        <v>8</v>
      </c>
      <c r="BW71" s="225"/>
      <c r="BX71" s="224"/>
      <c r="BY71" s="252"/>
      <c r="BZ71" s="252"/>
      <c r="CA71" s="222"/>
      <c r="CB71" s="720">
        <f>SUM(CA71:CA74)</f>
        <v>0</v>
      </c>
      <c r="CC71" s="228"/>
      <c r="CD71" s="224"/>
      <c r="CE71" s="252"/>
      <c r="CF71" s="252"/>
      <c r="CG71" s="229"/>
      <c r="CH71" s="788">
        <f>SUM(CG71:CG74)</f>
        <v>0</v>
      </c>
      <c r="CI71" s="160"/>
      <c r="CJ71" s="225"/>
      <c r="CK71" s="161"/>
      <c r="CL71" s="162"/>
    </row>
    <row r="72" spans="1:90" ht="74.25" customHeight="1" outlineLevel="1" x14ac:dyDescent="0.2">
      <c r="B72" s="372" t="s">
        <v>366</v>
      </c>
      <c r="C72" s="761"/>
      <c r="D72" s="207" t="s">
        <v>367</v>
      </c>
      <c r="E72" s="782" t="s">
        <v>368</v>
      </c>
      <c r="F72" s="782"/>
      <c r="G72" s="197">
        <v>2</v>
      </c>
      <c r="H72" s="721"/>
      <c r="I72" s="149"/>
      <c r="J72" s="148"/>
      <c r="K72" s="161"/>
      <c r="L72" s="161"/>
      <c r="M72" s="197">
        <v>2</v>
      </c>
      <c r="N72" s="721"/>
      <c r="O72" s="200"/>
      <c r="P72" s="148"/>
      <c r="Q72" s="161"/>
      <c r="R72" s="161"/>
      <c r="S72" s="197">
        <v>2</v>
      </c>
      <c r="T72" s="721"/>
      <c r="U72" s="149"/>
      <c r="V72" s="149"/>
      <c r="W72" s="161"/>
      <c r="X72" s="161"/>
      <c r="Y72" s="197">
        <v>2</v>
      </c>
      <c r="Z72" s="721"/>
      <c r="AA72" s="179"/>
      <c r="AB72" s="167"/>
      <c r="AC72" s="183"/>
      <c r="AD72" s="183"/>
      <c r="AE72" s="197">
        <v>2</v>
      </c>
      <c r="AF72" s="721"/>
      <c r="AG72" s="198"/>
      <c r="AH72" s="148"/>
      <c r="AI72" s="161"/>
      <c r="AJ72" s="161"/>
      <c r="AK72" s="197">
        <v>2</v>
      </c>
      <c r="AL72" s="721"/>
      <c r="AM72" s="149"/>
      <c r="AN72" s="148"/>
      <c r="AO72" s="161"/>
      <c r="AP72" s="161"/>
      <c r="AQ72" s="197">
        <v>2</v>
      </c>
      <c r="AR72" s="721"/>
      <c r="AS72" s="149"/>
      <c r="AT72" s="148"/>
      <c r="AU72" s="161"/>
      <c r="AV72" s="161"/>
      <c r="AW72" s="197">
        <v>2</v>
      </c>
      <c r="AX72" s="721"/>
      <c r="AY72" s="149"/>
      <c r="AZ72" s="148"/>
      <c r="BA72" s="161"/>
      <c r="BB72" s="161"/>
      <c r="BC72" s="197">
        <v>2</v>
      </c>
      <c r="BD72" s="721"/>
      <c r="BE72" s="149"/>
      <c r="BF72" s="148"/>
      <c r="BG72" s="161"/>
      <c r="BH72" s="161"/>
      <c r="BI72" s="197">
        <v>2</v>
      </c>
      <c r="BJ72" s="853"/>
      <c r="BK72" s="149"/>
      <c r="BL72" s="148"/>
      <c r="BM72" s="161"/>
      <c r="BN72" s="161"/>
      <c r="BO72" s="197"/>
      <c r="BP72" s="721"/>
      <c r="BQ72" s="149"/>
      <c r="BR72" s="148"/>
      <c r="BS72" s="161"/>
      <c r="BT72" s="161"/>
      <c r="BU72" s="197"/>
      <c r="BV72" s="721"/>
      <c r="BW72" s="149"/>
      <c r="BX72" s="148"/>
      <c r="BY72" s="161"/>
      <c r="BZ72" s="161"/>
      <c r="CA72" s="197"/>
      <c r="CB72" s="721"/>
      <c r="CC72" s="179"/>
      <c r="CD72" s="148"/>
      <c r="CE72" s="161"/>
      <c r="CF72" s="161"/>
      <c r="CG72" s="230"/>
      <c r="CH72" s="789"/>
      <c r="CI72" s="147"/>
      <c r="CJ72" s="148"/>
      <c r="CK72" s="161"/>
      <c r="CL72" s="162"/>
    </row>
    <row r="73" spans="1:90" ht="15" outlineLevel="1" x14ac:dyDescent="0.2">
      <c r="B73" s="372" t="s">
        <v>369</v>
      </c>
      <c r="C73" s="761"/>
      <c r="D73" s="207" t="s">
        <v>181</v>
      </c>
      <c r="E73" s="782" t="s">
        <v>182</v>
      </c>
      <c r="F73" s="782"/>
      <c r="G73" s="197">
        <v>2</v>
      </c>
      <c r="H73" s="721"/>
      <c r="J73" s="149"/>
      <c r="K73" s="161"/>
      <c r="L73" s="161"/>
      <c r="M73" s="197">
        <v>2</v>
      </c>
      <c r="N73" s="721"/>
      <c r="O73" s="203"/>
      <c r="P73" s="148"/>
      <c r="Q73" s="161"/>
      <c r="R73" s="161"/>
      <c r="S73" s="197">
        <v>2</v>
      </c>
      <c r="T73" s="721"/>
      <c r="U73" s="149"/>
      <c r="V73" s="149"/>
      <c r="W73" s="161"/>
      <c r="X73" s="161"/>
      <c r="Y73" s="197">
        <v>2</v>
      </c>
      <c r="Z73" s="721"/>
      <c r="AA73" s="179"/>
      <c r="AB73" s="167"/>
      <c r="AC73" s="183"/>
      <c r="AD73" s="183"/>
      <c r="AE73" s="197">
        <v>2</v>
      </c>
      <c r="AF73" s="721"/>
      <c r="AG73" s="198"/>
      <c r="AH73" s="148"/>
      <c r="AI73" s="161"/>
      <c r="AJ73" s="161"/>
      <c r="AK73" s="197">
        <v>2</v>
      </c>
      <c r="AL73" s="721"/>
      <c r="AM73" s="149"/>
      <c r="AN73" s="148"/>
      <c r="AO73" s="161"/>
      <c r="AP73" s="161"/>
      <c r="AQ73" s="197">
        <v>2</v>
      </c>
      <c r="AR73" s="721"/>
      <c r="AS73" s="149"/>
      <c r="AT73" s="148"/>
      <c r="AU73" s="161"/>
      <c r="AV73" s="161"/>
      <c r="AW73" s="197">
        <v>2</v>
      </c>
      <c r="AX73" s="721"/>
      <c r="AY73" s="149"/>
      <c r="AZ73" s="148"/>
      <c r="BA73" s="161"/>
      <c r="BB73" s="161"/>
      <c r="BC73" s="197">
        <v>2</v>
      </c>
      <c r="BD73" s="721"/>
      <c r="BE73" s="149"/>
      <c r="BF73" s="148"/>
      <c r="BG73" s="161"/>
      <c r="BH73" s="161"/>
      <c r="BI73" s="197">
        <v>2</v>
      </c>
      <c r="BJ73" s="853"/>
      <c r="BK73" s="149"/>
      <c r="BL73" s="148"/>
      <c r="BM73" s="161"/>
      <c r="BN73" s="161"/>
      <c r="BO73" s="197"/>
      <c r="BP73" s="721"/>
      <c r="BQ73" s="149"/>
      <c r="BR73" s="148"/>
      <c r="BS73" s="161"/>
      <c r="BT73" s="161"/>
      <c r="BU73" s="197"/>
      <c r="BV73" s="721"/>
      <c r="BW73" s="149"/>
      <c r="BX73" s="148"/>
      <c r="BY73" s="161"/>
      <c r="BZ73" s="161"/>
      <c r="CA73" s="197"/>
      <c r="CB73" s="721"/>
      <c r="CC73" s="179"/>
      <c r="CD73" s="148"/>
      <c r="CE73" s="161"/>
      <c r="CF73" s="161"/>
      <c r="CG73" s="230"/>
      <c r="CH73" s="789"/>
      <c r="CI73" s="147"/>
      <c r="CJ73" s="148"/>
      <c r="CK73" s="161"/>
      <c r="CL73" s="162"/>
    </row>
    <row r="74" spans="1:90" ht="38.25" customHeight="1" outlineLevel="1" x14ac:dyDescent="0.2">
      <c r="B74" s="373" t="s">
        <v>370</v>
      </c>
      <c r="C74" s="762"/>
      <c r="D74" s="231" t="s">
        <v>198</v>
      </c>
      <c r="E74" s="783" t="s">
        <v>199</v>
      </c>
      <c r="F74" s="783"/>
      <c r="G74" s="232">
        <v>2</v>
      </c>
      <c r="H74" s="722"/>
      <c r="I74" s="233"/>
      <c r="J74" s="234"/>
      <c r="K74" s="255"/>
      <c r="L74" s="255"/>
      <c r="M74" s="197">
        <v>2</v>
      </c>
      <c r="N74" s="722"/>
      <c r="O74" s="259"/>
      <c r="P74" s="234"/>
      <c r="Q74" s="255"/>
      <c r="R74" s="255"/>
      <c r="S74" s="232">
        <v>2</v>
      </c>
      <c r="T74" s="722"/>
      <c r="U74" s="233"/>
      <c r="V74" s="233"/>
      <c r="W74" s="255"/>
      <c r="X74" s="255"/>
      <c r="Y74" s="197">
        <v>2</v>
      </c>
      <c r="Z74" s="722"/>
      <c r="AA74" s="235"/>
      <c r="AB74" s="236"/>
      <c r="AC74" s="256"/>
      <c r="AD74" s="256"/>
      <c r="AE74" s="232">
        <v>2</v>
      </c>
      <c r="AF74" s="722"/>
      <c r="AG74" s="243"/>
      <c r="AH74" s="234"/>
      <c r="AI74" s="255"/>
      <c r="AJ74" s="255"/>
      <c r="AK74" s="197">
        <v>2</v>
      </c>
      <c r="AL74" s="722"/>
      <c r="AM74" s="233"/>
      <c r="AN74" s="234"/>
      <c r="AO74" s="255"/>
      <c r="AP74" s="255"/>
      <c r="AQ74" s="232">
        <v>2</v>
      </c>
      <c r="AR74" s="722"/>
      <c r="AS74" s="233"/>
      <c r="AT74" s="234"/>
      <c r="AU74" s="255"/>
      <c r="AV74" s="255"/>
      <c r="AW74" s="197">
        <v>2</v>
      </c>
      <c r="AX74" s="722"/>
      <c r="AY74" s="233"/>
      <c r="AZ74" s="234"/>
      <c r="BA74" s="255"/>
      <c r="BB74" s="255"/>
      <c r="BC74" s="232">
        <v>2</v>
      </c>
      <c r="BD74" s="722"/>
      <c r="BE74" s="233"/>
      <c r="BF74" s="234"/>
      <c r="BG74" s="255"/>
      <c r="BH74" s="255"/>
      <c r="BI74" s="197">
        <v>2</v>
      </c>
      <c r="BJ74" s="853"/>
      <c r="BK74" s="233"/>
      <c r="BL74" s="234"/>
      <c r="BM74" s="255"/>
      <c r="BN74" s="255"/>
      <c r="BO74" s="232"/>
      <c r="BP74" s="722"/>
      <c r="BQ74" s="233"/>
      <c r="BR74" s="234"/>
      <c r="BS74" s="255"/>
      <c r="BT74" s="255"/>
      <c r="BU74" s="197"/>
      <c r="BV74" s="722"/>
      <c r="BW74" s="233"/>
      <c r="BX74" s="234"/>
      <c r="BY74" s="255"/>
      <c r="BZ74" s="255"/>
      <c r="CA74" s="232"/>
      <c r="CB74" s="722"/>
      <c r="CC74" s="237"/>
      <c r="CD74" s="234"/>
      <c r="CE74" s="255"/>
      <c r="CF74" s="255"/>
      <c r="CG74" s="238"/>
      <c r="CH74" s="790"/>
      <c r="CI74" s="147"/>
      <c r="CJ74" s="148"/>
      <c r="CK74" s="161"/>
      <c r="CL74" s="162"/>
    </row>
    <row r="75" spans="1:90" ht="94.5" customHeight="1" outlineLevel="1" x14ac:dyDescent="0.2">
      <c r="B75" s="374" t="s">
        <v>371</v>
      </c>
      <c r="C75" s="769" t="s">
        <v>202</v>
      </c>
      <c r="D75" s="270" t="s">
        <v>372</v>
      </c>
      <c r="E75" s="747" t="s">
        <v>373</v>
      </c>
      <c r="F75" s="747"/>
      <c r="G75" s="222">
        <v>2</v>
      </c>
      <c r="H75" s="720">
        <f>SUM(G75:G79)</f>
        <v>9</v>
      </c>
      <c r="J75" s="225"/>
      <c r="K75" s="252"/>
      <c r="L75" s="252"/>
      <c r="M75" s="220">
        <v>2</v>
      </c>
      <c r="N75" s="720">
        <f>SUM(M75:M79)</f>
        <v>10</v>
      </c>
      <c r="O75" s="257"/>
      <c r="P75" s="224"/>
      <c r="Q75" s="252"/>
      <c r="R75" s="252"/>
      <c r="S75" s="222">
        <v>2</v>
      </c>
      <c r="T75" s="720">
        <f>SUM(S75:S79)</f>
        <v>10</v>
      </c>
      <c r="U75" s="225"/>
      <c r="V75" s="225"/>
      <c r="W75" s="252"/>
      <c r="X75" s="252"/>
      <c r="Y75" s="197">
        <v>2</v>
      </c>
      <c r="Z75" s="720">
        <f>SUM(Y75:Y79)</f>
        <v>10</v>
      </c>
      <c r="AA75" s="227"/>
      <c r="AB75" s="226"/>
      <c r="AC75" s="253"/>
      <c r="AD75" s="253"/>
      <c r="AE75" s="222">
        <v>2</v>
      </c>
      <c r="AF75" s="720">
        <f>AE75+AE76+AE77+AE78+AE79</f>
        <v>9</v>
      </c>
      <c r="AG75" s="223"/>
      <c r="AH75" s="224"/>
      <c r="AI75" s="252"/>
      <c r="AJ75" s="252"/>
      <c r="AK75" s="197">
        <v>1</v>
      </c>
      <c r="AL75" s="720">
        <v>9</v>
      </c>
      <c r="AM75" s="225" t="s">
        <v>374</v>
      </c>
      <c r="AN75" s="224"/>
      <c r="AO75" s="252"/>
      <c r="AP75" s="252"/>
      <c r="AQ75" s="222">
        <v>2</v>
      </c>
      <c r="AR75" s="720">
        <f>SUM(AQ75:AQ79)</f>
        <v>8</v>
      </c>
      <c r="AS75" s="225"/>
      <c r="AT75" s="224"/>
      <c r="AU75" s="252"/>
      <c r="AV75" s="252"/>
      <c r="AW75" s="197">
        <v>1</v>
      </c>
      <c r="AX75" s="720">
        <f>SUM(AW75:AW79)</f>
        <v>8</v>
      </c>
      <c r="AY75" s="225"/>
      <c r="AZ75" s="225" t="s">
        <v>375</v>
      </c>
      <c r="BA75" s="252"/>
      <c r="BB75" s="252"/>
      <c r="BC75" s="222">
        <v>2</v>
      </c>
      <c r="BD75" s="720">
        <f>SUM(BC75:BC79)</f>
        <v>9</v>
      </c>
      <c r="BE75" s="225"/>
      <c r="BF75" s="224"/>
      <c r="BG75" s="252"/>
      <c r="BH75" s="252"/>
      <c r="BI75" s="197">
        <v>2</v>
      </c>
      <c r="BJ75" s="852">
        <f>SUM(BI75:BI79)</f>
        <v>10</v>
      </c>
      <c r="BK75" s="225"/>
      <c r="BL75" s="224"/>
      <c r="BM75" s="252"/>
      <c r="BN75" s="252"/>
      <c r="BO75" s="222"/>
      <c r="BP75" s="720">
        <v>8</v>
      </c>
      <c r="BQ75" s="225"/>
      <c r="BR75" s="224"/>
      <c r="BS75" s="252"/>
      <c r="BT75" s="252"/>
      <c r="BU75" s="197"/>
      <c r="BV75" s="720">
        <v>12</v>
      </c>
      <c r="BW75" s="225"/>
      <c r="BX75" s="224"/>
      <c r="BY75" s="252"/>
      <c r="BZ75" s="252"/>
      <c r="CA75" s="222"/>
      <c r="CB75" s="720">
        <f>SUM(CA75:CA79)</f>
        <v>0</v>
      </c>
      <c r="CC75" s="228"/>
      <c r="CD75" s="445"/>
      <c r="CE75" s="252"/>
      <c r="CF75" s="252"/>
      <c r="CG75" s="229"/>
      <c r="CH75" s="789">
        <f>SUM(CG75:CG79)</f>
        <v>0</v>
      </c>
      <c r="CI75" s="147"/>
      <c r="CJ75" s="225"/>
      <c r="CK75" s="161"/>
      <c r="CL75" s="162"/>
    </row>
    <row r="76" spans="1:90" ht="88.5" customHeight="1" outlineLevel="1" x14ac:dyDescent="0.2">
      <c r="B76" s="375" t="s">
        <v>376</v>
      </c>
      <c r="C76" s="770"/>
      <c r="D76" s="214" t="s">
        <v>209</v>
      </c>
      <c r="E76" s="748" t="s">
        <v>315</v>
      </c>
      <c r="F76" s="748"/>
      <c r="G76" s="197">
        <v>1</v>
      </c>
      <c r="H76" s="721"/>
      <c r="I76" s="149" t="s">
        <v>377</v>
      </c>
      <c r="J76" s="148"/>
      <c r="K76" s="161"/>
      <c r="L76" s="161"/>
      <c r="M76" s="220">
        <v>2</v>
      </c>
      <c r="N76" s="721"/>
      <c r="O76" s="203"/>
      <c r="P76" s="148"/>
      <c r="Q76" s="161"/>
      <c r="R76" s="161"/>
      <c r="S76" s="197">
        <v>2</v>
      </c>
      <c r="T76" s="721"/>
      <c r="U76" s="149"/>
      <c r="V76" s="149"/>
      <c r="W76" s="161"/>
      <c r="X76" s="161"/>
      <c r="Y76" s="197">
        <v>2</v>
      </c>
      <c r="Z76" s="721"/>
      <c r="AA76" s="179"/>
      <c r="AB76" s="167"/>
      <c r="AC76" s="183"/>
      <c r="AD76" s="183"/>
      <c r="AE76" s="197">
        <v>2</v>
      </c>
      <c r="AF76" s="721"/>
      <c r="AG76" s="149"/>
      <c r="AH76" s="148"/>
      <c r="AI76" s="437"/>
      <c r="AJ76" s="161"/>
      <c r="AK76" s="197">
        <v>2</v>
      </c>
      <c r="AL76" s="721"/>
      <c r="AM76" s="149"/>
      <c r="AN76" s="148"/>
      <c r="AO76" s="161"/>
      <c r="AP76" s="161"/>
      <c r="AQ76" s="197">
        <v>0</v>
      </c>
      <c r="AR76" s="721"/>
      <c r="AS76" s="149"/>
      <c r="AT76" s="148" t="s">
        <v>378</v>
      </c>
      <c r="AU76" s="161"/>
      <c r="AV76" s="161"/>
      <c r="AW76" s="197">
        <v>1</v>
      </c>
      <c r="AX76" s="721"/>
      <c r="AY76" s="149"/>
      <c r="AZ76" s="149" t="s">
        <v>375</v>
      </c>
      <c r="BA76" s="437"/>
      <c r="BB76" s="161"/>
      <c r="BC76" s="197">
        <v>1</v>
      </c>
      <c r="BD76" s="721"/>
      <c r="BE76" s="149" t="s">
        <v>379</v>
      </c>
      <c r="BF76" s="437"/>
      <c r="BG76" s="161"/>
      <c r="BH76" s="161"/>
      <c r="BI76" s="197">
        <v>2</v>
      </c>
      <c r="BJ76" s="853"/>
      <c r="BK76" s="149"/>
      <c r="BL76" s="148"/>
      <c r="BM76" s="161"/>
      <c r="BN76" s="161"/>
      <c r="BO76" s="197"/>
      <c r="BP76" s="721"/>
      <c r="BQ76" s="149"/>
      <c r="BR76" s="148"/>
      <c r="BS76" s="161"/>
      <c r="BT76" s="161"/>
      <c r="BU76" s="197"/>
      <c r="BV76" s="721"/>
      <c r="BW76" s="149"/>
      <c r="BX76" s="148"/>
      <c r="BY76" s="161"/>
      <c r="BZ76" s="161"/>
      <c r="CA76" s="197"/>
      <c r="CB76" s="721"/>
      <c r="CC76" s="199"/>
      <c r="CD76" s="448"/>
      <c r="CE76" s="161"/>
      <c r="CF76" s="161"/>
      <c r="CG76" s="230"/>
      <c r="CH76" s="789"/>
      <c r="CI76" s="147"/>
      <c r="CJ76" s="149"/>
      <c r="CK76" s="161"/>
      <c r="CL76" s="162"/>
    </row>
    <row r="77" spans="1:90" ht="60" customHeight="1" outlineLevel="1" x14ac:dyDescent="0.2">
      <c r="B77" s="375" t="s">
        <v>380</v>
      </c>
      <c r="C77" s="770"/>
      <c r="D77" s="213" t="s">
        <v>381</v>
      </c>
      <c r="E77" s="748" t="s">
        <v>382</v>
      </c>
      <c r="F77" s="748"/>
      <c r="G77" s="197">
        <v>2</v>
      </c>
      <c r="H77" s="721"/>
      <c r="I77" s="149"/>
      <c r="J77" s="148"/>
      <c r="K77" s="161"/>
      <c r="L77" s="161"/>
      <c r="M77" s="220">
        <v>2</v>
      </c>
      <c r="N77" s="721"/>
      <c r="O77" s="203"/>
      <c r="P77" s="148"/>
      <c r="Q77" s="161"/>
      <c r="R77" s="161"/>
      <c r="S77" s="197">
        <v>2</v>
      </c>
      <c r="T77" s="721"/>
      <c r="U77" s="149"/>
      <c r="V77" s="149"/>
      <c r="W77" s="161"/>
      <c r="X77" s="161"/>
      <c r="Y77" s="197">
        <v>2</v>
      </c>
      <c r="Z77" s="721"/>
      <c r="AA77" s="179"/>
      <c r="AB77" s="167"/>
      <c r="AC77" s="183"/>
      <c r="AD77" s="183"/>
      <c r="AE77" s="197">
        <v>1</v>
      </c>
      <c r="AF77" s="721"/>
      <c r="AG77" s="149" t="s">
        <v>383</v>
      </c>
      <c r="AH77" s="148"/>
      <c r="AI77" s="161"/>
      <c r="AJ77" s="161"/>
      <c r="AK77" s="197">
        <v>2</v>
      </c>
      <c r="AL77" s="721"/>
      <c r="AM77" s="149"/>
      <c r="AN77" s="148"/>
      <c r="AO77" s="161"/>
      <c r="AP77" s="161"/>
      <c r="AQ77" s="197">
        <v>2</v>
      </c>
      <c r="AR77" s="721"/>
      <c r="AS77" s="149"/>
      <c r="AT77" s="148"/>
      <c r="AU77" s="161"/>
      <c r="AV77" s="161"/>
      <c r="AW77" s="197">
        <v>2</v>
      </c>
      <c r="AX77" s="721"/>
      <c r="AY77" s="149"/>
      <c r="AZ77" s="148"/>
      <c r="BA77" s="161"/>
      <c r="BB77" s="161"/>
      <c r="BC77" s="197">
        <v>2</v>
      </c>
      <c r="BD77" s="721"/>
      <c r="BE77" s="149"/>
      <c r="BF77" s="148"/>
      <c r="BG77" s="161"/>
      <c r="BH77" s="161"/>
      <c r="BI77" s="197">
        <v>2</v>
      </c>
      <c r="BJ77" s="853"/>
      <c r="BK77" s="149"/>
      <c r="BL77" s="148"/>
      <c r="BM77" s="161"/>
      <c r="BN77" s="161"/>
      <c r="BO77" s="197"/>
      <c r="BP77" s="721"/>
      <c r="BQ77" s="149"/>
      <c r="BR77" s="148"/>
      <c r="BS77" s="161"/>
      <c r="BT77" s="161"/>
      <c r="BU77" s="197"/>
      <c r="BV77" s="721"/>
      <c r="BW77" s="149"/>
      <c r="BX77" s="148"/>
      <c r="BY77" s="161"/>
      <c r="BZ77" s="161"/>
      <c r="CA77" s="197"/>
      <c r="CB77" s="721"/>
      <c r="CC77" s="179"/>
      <c r="CD77" s="445"/>
      <c r="CE77" s="161"/>
      <c r="CF77" s="161"/>
      <c r="CG77" s="230"/>
      <c r="CH77" s="789"/>
      <c r="CI77" s="147"/>
      <c r="CJ77" s="148"/>
      <c r="CK77" s="161"/>
      <c r="CL77" s="162"/>
    </row>
    <row r="78" spans="1:90" ht="15" outlineLevel="1" x14ac:dyDescent="0.2">
      <c r="B78" s="375" t="s">
        <v>384</v>
      </c>
      <c r="C78" s="770"/>
      <c r="D78" s="212" t="s">
        <v>213</v>
      </c>
      <c r="E78" s="748" t="s">
        <v>385</v>
      </c>
      <c r="F78" s="748"/>
      <c r="G78" s="197">
        <v>2</v>
      </c>
      <c r="H78" s="721"/>
      <c r="I78" s="149"/>
      <c r="J78" s="148"/>
      <c r="K78" s="161"/>
      <c r="L78" s="161"/>
      <c r="M78" s="220">
        <v>2</v>
      </c>
      <c r="N78" s="721"/>
      <c r="O78" s="203"/>
      <c r="P78" s="148"/>
      <c r="Q78" s="161"/>
      <c r="R78" s="161"/>
      <c r="S78" s="197">
        <v>2</v>
      </c>
      <c r="T78" s="721"/>
      <c r="U78" s="149"/>
      <c r="V78" s="149"/>
      <c r="W78" s="161"/>
      <c r="X78" s="161"/>
      <c r="Y78" s="197">
        <v>2</v>
      </c>
      <c r="Z78" s="721"/>
      <c r="AA78" s="179"/>
      <c r="AB78" s="167"/>
      <c r="AC78" s="183"/>
      <c r="AD78" s="183"/>
      <c r="AE78" s="197">
        <v>2</v>
      </c>
      <c r="AF78" s="721"/>
      <c r="AG78" s="149"/>
      <c r="AH78" s="148"/>
      <c r="AI78" s="161"/>
      <c r="AJ78" s="161"/>
      <c r="AK78" s="197">
        <v>2</v>
      </c>
      <c r="AL78" s="721"/>
      <c r="AM78" s="149"/>
      <c r="AN78" s="148"/>
      <c r="AO78" s="161"/>
      <c r="AP78" s="161"/>
      <c r="AQ78" s="197">
        <v>2</v>
      </c>
      <c r="AR78" s="721"/>
      <c r="AS78" s="149"/>
      <c r="AT78" s="148"/>
      <c r="AU78" s="161"/>
      <c r="AV78" s="161"/>
      <c r="AW78" s="197">
        <v>2</v>
      </c>
      <c r="AX78" s="721"/>
      <c r="AY78" s="149"/>
      <c r="AZ78" s="148"/>
      <c r="BA78" s="161"/>
      <c r="BB78" s="161"/>
      <c r="BC78" s="197">
        <v>2</v>
      </c>
      <c r="BD78" s="721"/>
      <c r="BE78" s="149"/>
      <c r="BF78" s="148"/>
      <c r="BG78" s="161"/>
      <c r="BH78" s="161"/>
      <c r="BI78" s="197">
        <v>2</v>
      </c>
      <c r="BJ78" s="853"/>
      <c r="BK78" s="149"/>
      <c r="BL78" s="148"/>
      <c r="BM78" s="161"/>
      <c r="BN78" s="161"/>
      <c r="BO78" s="197"/>
      <c r="BP78" s="721"/>
      <c r="BQ78" s="149"/>
      <c r="BR78" s="148"/>
      <c r="BS78" s="161"/>
      <c r="BT78" s="161"/>
      <c r="BU78" s="197"/>
      <c r="BV78" s="721"/>
      <c r="BW78" s="149"/>
      <c r="BX78" s="148"/>
      <c r="BY78" s="161"/>
      <c r="BZ78" s="161"/>
      <c r="CA78" s="197"/>
      <c r="CB78" s="721"/>
      <c r="CC78" s="179"/>
      <c r="CD78" s="148"/>
      <c r="CE78" s="161"/>
      <c r="CF78" s="161"/>
      <c r="CG78" s="230"/>
      <c r="CH78" s="789"/>
      <c r="CI78" s="147"/>
      <c r="CJ78" s="148"/>
      <c r="CK78" s="161"/>
      <c r="CL78" s="162"/>
    </row>
    <row r="79" spans="1:90" ht="39" customHeight="1" outlineLevel="1" x14ac:dyDescent="0.2">
      <c r="B79" s="376" t="s">
        <v>386</v>
      </c>
      <c r="C79" s="771"/>
      <c r="D79" s="240" t="s">
        <v>220</v>
      </c>
      <c r="E79" s="751" t="s">
        <v>221</v>
      </c>
      <c r="F79" s="751"/>
      <c r="G79" s="232">
        <v>2</v>
      </c>
      <c r="H79" s="722"/>
      <c r="I79" s="233"/>
      <c r="J79" s="234"/>
      <c r="K79" s="255"/>
      <c r="L79" s="255"/>
      <c r="M79" s="220">
        <v>2</v>
      </c>
      <c r="N79" s="722"/>
      <c r="O79" s="259"/>
      <c r="P79" s="234"/>
      <c r="Q79" s="255"/>
      <c r="R79" s="255"/>
      <c r="S79" s="232">
        <v>2</v>
      </c>
      <c r="T79" s="722"/>
      <c r="U79" s="233"/>
      <c r="V79" s="233"/>
      <c r="W79" s="255"/>
      <c r="X79" s="255"/>
      <c r="Y79" s="197">
        <v>2</v>
      </c>
      <c r="Z79" s="722"/>
      <c r="AA79" s="235"/>
      <c r="AB79" s="236"/>
      <c r="AC79" s="256"/>
      <c r="AD79" s="256"/>
      <c r="AE79" s="232">
        <v>2</v>
      </c>
      <c r="AF79" s="722"/>
      <c r="AG79" s="243"/>
      <c r="AH79" s="451"/>
      <c r="AI79" s="255"/>
      <c r="AJ79" s="255"/>
      <c r="AK79" s="197">
        <v>2</v>
      </c>
      <c r="AL79" s="722"/>
      <c r="AM79" s="234"/>
      <c r="AO79" s="255"/>
      <c r="AP79" s="255"/>
      <c r="AQ79" s="232">
        <v>2</v>
      </c>
      <c r="AR79" s="722"/>
      <c r="AS79" s="233"/>
      <c r="AT79" s="234"/>
      <c r="AU79" s="255"/>
      <c r="AV79" s="255"/>
      <c r="AW79" s="197">
        <v>2</v>
      </c>
      <c r="AX79" s="722"/>
      <c r="AY79" s="233"/>
      <c r="AZ79" s="234"/>
      <c r="BA79" s="255"/>
      <c r="BB79" s="255"/>
      <c r="BC79" s="232">
        <v>2</v>
      </c>
      <c r="BD79" s="722"/>
      <c r="BE79" s="233"/>
      <c r="BF79" s="234"/>
      <c r="BG79" s="255"/>
      <c r="BH79" s="255"/>
      <c r="BI79" s="197">
        <v>2</v>
      </c>
      <c r="BJ79" s="853"/>
      <c r="BK79" s="233"/>
      <c r="BL79" s="234"/>
      <c r="BM79" s="255"/>
      <c r="BN79" s="255"/>
      <c r="BO79" s="232"/>
      <c r="BP79" s="722"/>
      <c r="BQ79" s="233"/>
      <c r="BR79" s="234"/>
      <c r="BS79" s="255"/>
      <c r="BT79" s="255"/>
      <c r="BU79" s="197"/>
      <c r="BV79" s="722"/>
      <c r="BW79" s="233"/>
      <c r="BX79" s="234"/>
      <c r="BY79" s="255"/>
      <c r="BZ79" s="255"/>
      <c r="CA79" s="232"/>
      <c r="CB79" s="722"/>
      <c r="CC79" s="237"/>
      <c r="CD79" s="234"/>
      <c r="CE79" s="255"/>
      <c r="CF79" s="255"/>
      <c r="CG79" s="238"/>
      <c r="CH79" s="790"/>
      <c r="CI79" s="147"/>
      <c r="CJ79" s="233"/>
      <c r="CK79" s="161"/>
      <c r="CL79" s="162"/>
    </row>
    <row r="80" spans="1:90" ht="42" customHeight="1" outlineLevel="1" x14ac:dyDescent="0.2">
      <c r="B80" s="377" t="s">
        <v>387</v>
      </c>
      <c r="C80" s="754" t="s">
        <v>227</v>
      </c>
      <c r="D80" s="241" t="s">
        <v>166</v>
      </c>
      <c r="E80" s="752" t="s">
        <v>228</v>
      </c>
      <c r="F80" s="752"/>
      <c r="G80" s="222">
        <v>2</v>
      </c>
      <c r="H80" s="720">
        <f>SUM(G80:G86)</f>
        <v>14</v>
      </c>
      <c r="I80" s="223"/>
      <c r="J80" s="148"/>
      <c r="K80" s="252"/>
      <c r="L80" s="252"/>
      <c r="M80" s="220">
        <v>2</v>
      </c>
      <c r="N80" s="720">
        <f>SUM(M80:M86)</f>
        <v>14</v>
      </c>
      <c r="O80" s="257"/>
      <c r="P80" s="224"/>
      <c r="Q80" s="252"/>
      <c r="R80" s="252"/>
      <c r="S80" s="222">
        <v>2</v>
      </c>
      <c r="T80" s="720">
        <f>SUM(S80:S86)</f>
        <v>13</v>
      </c>
      <c r="U80" s="225"/>
      <c r="V80" s="225"/>
      <c r="W80" s="252"/>
      <c r="X80" s="252"/>
      <c r="Y80" s="197">
        <v>2</v>
      </c>
      <c r="Z80" s="720">
        <f>SUM(Y80:Y86)</f>
        <v>14</v>
      </c>
      <c r="AA80" s="227"/>
      <c r="AB80" s="226"/>
      <c r="AC80" s="253"/>
      <c r="AD80" s="253"/>
      <c r="AE80" s="222">
        <v>2</v>
      </c>
      <c r="AF80" s="720">
        <f>AE80+AE81+AE82+AE83+AE84+AE85+AE86</f>
        <v>13</v>
      </c>
      <c r="AG80" s="223"/>
      <c r="AH80" s="437"/>
      <c r="AI80" s="252"/>
      <c r="AJ80" s="252"/>
      <c r="AK80" s="197">
        <v>2</v>
      </c>
      <c r="AL80" s="720">
        <v>14</v>
      </c>
      <c r="AM80" s="224"/>
      <c r="AN80" s="455"/>
      <c r="AO80" s="252"/>
      <c r="AP80" s="252"/>
      <c r="AQ80" s="222">
        <v>2</v>
      </c>
      <c r="AR80" s="720">
        <f>SUM(AQ80:AQ86)</f>
        <v>14</v>
      </c>
      <c r="AS80" s="225"/>
      <c r="AT80" s="224"/>
      <c r="AU80" s="252"/>
      <c r="AV80" s="252"/>
      <c r="AW80" s="197">
        <v>2</v>
      </c>
      <c r="AX80" s="720">
        <f>SUM(AW80:AW86)</f>
        <v>14</v>
      </c>
      <c r="AY80" s="225"/>
      <c r="AZ80" s="224"/>
      <c r="BA80" s="252"/>
      <c r="BB80" s="252"/>
      <c r="BC80" s="222">
        <v>2</v>
      </c>
      <c r="BD80" s="720">
        <f>SUM(BC80:BC86)</f>
        <v>14</v>
      </c>
      <c r="BE80" s="225"/>
      <c r="BF80" s="224"/>
      <c r="BG80" s="252"/>
      <c r="BH80" s="252"/>
      <c r="BI80" s="197">
        <v>1</v>
      </c>
      <c r="BJ80" s="852">
        <f>SUM(BI80:BI86)</f>
        <v>13</v>
      </c>
      <c r="BK80" s="225"/>
      <c r="BL80" s="224"/>
      <c r="BM80" s="252"/>
      <c r="BN80" s="252"/>
      <c r="BO80" s="222"/>
      <c r="BP80" s="720">
        <v>14</v>
      </c>
      <c r="BQ80" s="225"/>
      <c r="BR80" s="224"/>
      <c r="BS80" s="252"/>
      <c r="BT80" s="252"/>
      <c r="BU80" s="197"/>
      <c r="BV80" s="720">
        <v>13</v>
      </c>
      <c r="BW80" s="225"/>
      <c r="BX80" s="224"/>
      <c r="BY80" s="252"/>
      <c r="BZ80" s="252"/>
      <c r="CA80" s="222"/>
      <c r="CB80" s="720">
        <f>SUM(CA80:CA86)</f>
        <v>0</v>
      </c>
      <c r="CC80" s="228"/>
      <c r="CD80" s="449"/>
      <c r="CE80" s="252"/>
      <c r="CF80" s="252"/>
      <c r="CG80" s="229"/>
      <c r="CH80" s="789">
        <f>SUM(CG80:CG86)</f>
        <v>0</v>
      </c>
      <c r="CI80" s="147"/>
      <c r="CJ80" s="148"/>
      <c r="CK80" s="161"/>
      <c r="CL80" s="162"/>
    </row>
    <row r="81" spans="2:90" ht="38.25" outlineLevel="1" x14ac:dyDescent="0.2">
      <c r="B81" s="378" t="s">
        <v>388</v>
      </c>
      <c r="C81" s="755"/>
      <c r="D81" s="216" t="s">
        <v>389</v>
      </c>
      <c r="E81" s="749" t="s">
        <v>390</v>
      </c>
      <c r="F81" s="749"/>
      <c r="G81" s="197">
        <v>2</v>
      </c>
      <c r="H81" s="721"/>
      <c r="I81" s="149"/>
      <c r="J81" s="344"/>
      <c r="K81" s="161"/>
      <c r="L81" s="161"/>
      <c r="M81" s="220">
        <v>2</v>
      </c>
      <c r="N81" s="721"/>
      <c r="O81" s="203"/>
      <c r="P81" s="167"/>
      <c r="Q81" s="161"/>
      <c r="R81" s="161"/>
      <c r="S81" s="197">
        <v>1</v>
      </c>
      <c r="T81" s="721"/>
      <c r="U81" s="149"/>
      <c r="V81" s="474" t="s">
        <v>391</v>
      </c>
      <c r="W81" s="161"/>
      <c r="X81" s="161"/>
      <c r="Y81" s="197">
        <v>2</v>
      </c>
      <c r="Z81" s="721"/>
      <c r="AA81" s="179"/>
      <c r="AB81" s="167"/>
      <c r="AC81" s="183"/>
      <c r="AD81" s="183"/>
      <c r="AE81" s="197">
        <v>1</v>
      </c>
      <c r="AF81" s="721"/>
      <c r="AG81" s="198" t="s">
        <v>392</v>
      </c>
      <c r="AH81" s="148"/>
      <c r="AI81" s="161"/>
      <c r="AJ81" s="161"/>
      <c r="AK81" s="197">
        <v>2</v>
      </c>
      <c r="AL81" s="721"/>
      <c r="AM81" s="149"/>
      <c r="AN81" s="148"/>
      <c r="AO81" s="161"/>
      <c r="AP81" s="161"/>
      <c r="AQ81" s="197">
        <v>2</v>
      </c>
      <c r="AR81" s="721"/>
      <c r="AS81" s="149"/>
      <c r="AT81" s="148"/>
      <c r="AU81" s="161"/>
      <c r="AV81" s="161"/>
      <c r="AW81" s="197">
        <v>2</v>
      </c>
      <c r="AX81" s="721"/>
      <c r="AY81" s="149"/>
      <c r="AZ81" s="148"/>
      <c r="BA81" s="161"/>
      <c r="BB81" s="161"/>
      <c r="BC81" s="197">
        <v>2</v>
      </c>
      <c r="BD81" s="721"/>
      <c r="BE81" s="149"/>
      <c r="BF81" s="148"/>
      <c r="BG81" s="161"/>
      <c r="BH81" s="161"/>
      <c r="BI81" s="197">
        <v>2</v>
      </c>
      <c r="BJ81" s="853"/>
      <c r="BK81" s="149"/>
      <c r="BL81" s="148"/>
      <c r="BM81" s="161"/>
      <c r="BN81" s="161"/>
      <c r="BO81" s="197"/>
      <c r="BP81" s="721"/>
      <c r="BQ81" s="149"/>
      <c r="BR81" s="148"/>
      <c r="BS81" s="161"/>
      <c r="BT81" s="161"/>
      <c r="BU81" s="197"/>
      <c r="BV81" s="721"/>
      <c r="BW81" s="149"/>
      <c r="BX81" s="148"/>
      <c r="BY81" s="161"/>
      <c r="BZ81" s="161"/>
      <c r="CA81" s="197"/>
      <c r="CB81" s="721"/>
      <c r="CC81" s="199"/>
      <c r="CD81" s="148"/>
      <c r="CE81" s="161"/>
      <c r="CF81" s="161"/>
      <c r="CG81" s="230"/>
      <c r="CH81" s="789"/>
      <c r="CI81" s="147"/>
      <c r="CJ81" s="149"/>
      <c r="CK81" s="161"/>
      <c r="CL81" s="162"/>
    </row>
    <row r="82" spans="2:90" ht="51" customHeight="1" outlineLevel="1" x14ac:dyDescent="0.2">
      <c r="B82" s="378" t="s">
        <v>393</v>
      </c>
      <c r="C82" s="755"/>
      <c r="D82" s="215" t="s">
        <v>238</v>
      </c>
      <c r="E82" s="749" t="s">
        <v>344</v>
      </c>
      <c r="F82" s="749"/>
      <c r="G82" s="197">
        <v>2</v>
      </c>
      <c r="H82" s="721"/>
      <c r="I82" s="149"/>
      <c r="J82" s="148"/>
      <c r="K82" s="161"/>
      <c r="L82" s="161"/>
      <c r="M82" s="220">
        <v>2</v>
      </c>
      <c r="N82" s="721"/>
      <c r="O82" s="203"/>
      <c r="P82" s="148"/>
      <c r="Q82" s="161"/>
      <c r="R82" s="161"/>
      <c r="S82" s="197">
        <v>2</v>
      </c>
      <c r="T82" s="721"/>
      <c r="U82" s="149"/>
      <c r="V82" s="149"/>
      <c r="W82" s="161"/>
      <c r="X82" s="161"/>
      <c r="Y82" s="197">
        <v>2</v>
      </c>
      <c r="Z82" s="721"/>
      <c r="AA82" s="179"/>
      <c r="AB82" s="167"/>
      <c r="AC82" s="183"/>
      <c r="AD82" s="183"/>
      <c r="AE82" s="197">
        <v>2</v>
      </c>
      <c r="AF82" s="721"/>
      <c r="AG82" s="198"/>
      <c r="AH82" s="148"/>
      <c r="AI82" s="161"/>
      <c r="AJ82" s="161"/>
      <c r="AK82" s="197">
        <v>2</v>
      </c>
      <c r="AL82" s="721"/>
      <c r="AM82" s="149"/>
      <c r="AN82" s="148"/>
      <c r="AO82" s="161"/>
      <c r="AP82" s="161"/>
      <c r="AQ82" s="197">
        <v>2</v>
      </c>
      <c r="AR82" s="721"/>
      <c r="AS82" s="149"/>
      <c r="AT82" s="148"/>
      <c r="AU82" s="161"/>
      <c r="AV82" s="161"/>
      <c r="AW82" s="197">
        <v>2</v>
      </c>
      <c r="AX82" s="721"/>
      <c r="AY82" s="149"/>
      <c r="AZ82" s="148"/>
      <c r="BA82" s="161"/>
      <c r="BB82" s="161"/>
      <c r="BC82" s="197">
        <v>2</v>
      </c>
      <c r="BD82" s="721"/>
      <c r="BE82" s="149"/>
      <c r="BF82" s="148"/>
      <c r="BG82" s="161"/>
      <c r="BH82" s="161"/>
      <c r="BI82" s="197">
        <v>2</v>
      </c>
      <c r="BJ82" s="853"/>
      <c r="BK82" s="149"/>
      <c r="BL82" s="148"/>
      <c r="BM82" s="161"/>
      <c r="BN82" s="161"/>
      <c r="BO82" s="197"/>
      <c r="BP82" s="721"/>
      <c r="BQ82" s="149"/>
      <c r="BR82" s="148"/>
      <c r="BS82" s="161"/>
      <c r="BT82" s="161"/>
      <c r="BU82" s="197"/>
      <c r="BV82" s="721"/>
      <c r="BW82" s="149"/>
      <c r="BX82" s="148"/>
      <c r="BY82" s="161"/>
      <c r="BZ82" s="161"/>
      <c r="CA82" s="197"/>
      <c r="CB82" s="721"/>
      <c r="CC82" s="179"/>
      <c r="CD82" s="148"/>
      <c r="CE82" s="161"/>
      <c r="CF82" s="161"/>
      <c r="CG82" s="230"/>
      <c r="CH82" s="789"/>
      <c r="CI82" s="147"/>
      <c r="CJ82" s="149"/>
      <c r="CK82" s="161"/>
      <c r="CL82" s="162"/>
    </row>
    <row r="83" spans="2:90" ht="49.5" customHeight="1" outlineLevel="1" x14ac:dyDescent="0.2">
      <c r="B83" s="378" t="s">
        <v>394</v>
      </c>
      <c r="C83" s="755"/>
      <c r="D83" s="215" t="s">
        <v>242</v>
      </c>
      <c r="E83" s="749" t="s">
        <v>243</v>
      </c>
      <c r="F83" s="749"/>
      <c r="G83" s="197">
        <v>2</v>
      </c>
      <c r="H83" s="721"/>
      <c r="I83" s="149"/>
      <c r="J83" s="148"/>
      <c r="K83" s="161"/>
      <c r="L83" s="161"/>
      <c r="M83" s="220">
        <v>2</v>
      </c>
      <c r="N83" s="721"/>
      <c r="O83" s="203"/>
      <c r="P83" s="148"/>
      <c r="Q83" s="161"/>
      <c r="R83" s="161"/>
      <c r="S83" s="197">
        <v>2</v>
      </c>
      <c r="T83" s="721"/>
      <c r="U83" s="149"/>
      <c r="V83" s="149"/>
      <c r="W83" s="161"/>
      <c r="X83" s="161"/>
      <c r="Y83" s="197">
        <v>2</v>
      </c>
      <c r="Z83" s="721"/>
      <c r="AA83" s="179"/>
      <c r="AB83" s="167"/>
      <c r="AC83" s="183"/>
      <c r="AD83" s="183"/>
      <c r="AE83" s="197">
        <v>2</v>
      </c>
      <c r="AF83" s="721"/>
      <c r="AG83" s="198"/>
      <c r="AH83" s="148"/>
      <c r="AI83" s="161"/>
      <c r="AJ83" s="161"/>
      <c r="AK83" s="197">
        <v>2</v>
      </c>
      <c r="AL83" s="721"/>
      <c r="AM83" s="149"/>
      <c r="AN83" s="148"/>
      <c r="AO83" s="161"/>
      <c r="AP83" s="161"/>
      <c r="AQ83" s="197">
        <v>2</v>
      </c>
      <c r="AR83" s="721"/>
      <c r="AS83" s="149"/>
      <c r="AT83" s="148"/>
      <c r="AU83" s="161"/>
      <c r="AV83" s="161"/>
      <c r="AW83" s="197">
        <v>2</v>
      </c>
      <c r="AX83" s="721"/>
      <c r="AY83" s="149"/>
      <c r="AZ83" s="148"/>
      <c r="BA83" s="161"/>
      <c r="BB83" s="161"/>
      <c r="BC83" s="197">
        <v>2</v>
      </c>
      <c r="BD83" s="721"/>
      <c r="BE83" s="149"/>
      <c r="BF83" s="148"/>
      <c r="BG83" s="161"/>
      <c r="BH83" s="161"/>
      <c r="BI83" s="197">
        <v>2</v>
      </c>
      <c r="BJ83" s="853"/>
      <c r="BK83" s="149"/>
      <c r="BL83" s="148"/>
      <c r="BM83" s="161"/>
      <c r="BN83" s="161"/>
      <c r="BO83" s="197"/>
      <c r="BP83" s="721"/>
      <c r="BQ83" s="149"/>
      <c r="BR83" s="148"/>
      <c r="BS83" s="161"/>
      <c r="BT83" s="161"/>
      <c r="BU83" s="197"/>
      <c r="BV83" s="721"/>
      <c r="BW83" s="149"/>
      <c r="BX83" s="148"/>
      <c r="BY83" s="161"/>
      <c r="BZ83" s="161"/>
      <c r="CA83" s="197"/>
      <c r="CB83" s="721"/>
      <c r="CC83" s="199"/>
      <c r="CD83" s="148"/>
      <c r="CE83" s="161"/>
      <c r="CF83" s="161"/>
      <c r="CG83" s="230"/>
      <c r="CH83" s="789"/>
      <c r="CI83" s="147"/>
      <c r="CJ83" s="149"/>
      <c r="CK83" s="161"/>
      <c r="CL83" s="162"/>
    </row>
    <row r="84" spans="2:90" ht="28.5" customHeight="1" outlineLevel="1" x14ac:dyDescent="0.2">
      <c r="B84" s="378" t="s">
        <v>395</v>
      </c>
      <c r="C84" s="755"/>
      <c r="D84" s="215" t="s">
        <v>209</v>
      </c>
      <c r="E84" s="749" t="s">
        <v>396</v>
      </c>
      <c r="F84" s="749"/>
      <c r="G84" s="197">
        <v>2</v>
      </c>
      <c r="H84" s="721"/>
      <c r="I84" s="149"/>
      <c r="J84" s="148"/>
      <c r="K84" s="161"/>
      <c r="L84" s="161"/>
      <c r="M84" s="220">
        <v>2</v>
      </c>
      <c r="N84" s="721"/>
      <c r="O84" s="203"/>
      <c r="P84" s="148"/>
      <c r="Q84" s="161"/>
      <c r="R84" s="161"/>
      <c r="S84" s="197">
        <v>2</v>
      </c>
      <c r="T84" s="721"/>
      <c r="U84" s="149"/>
      <c r="V84" s="149"/>
      <c r="W84" s="161"/>
      <c r="X84" s="161"/>
      <c r="Y84" s="197">
        <v>2</v>
      </c>
      <c r="Z84" s="721"/>
      <c r="AA84" s="179"/>
      <c r="AB84" s="167"/>
      <c r="AC84" s="183"/>
      <c r="AD84" s="183"/>
      <c r="AE84" s="197">
        <v>2</v>
      </c>
      <c r="AF84" s="721"/>
      <c r="AG84" s="149"/>
      <c r="AH84" s="148"/>
      <c r="AI84" s="161"/>
      <c r="AJ84" s="161"/>
      <c r="AK84" s="197">
        <v>2</v>
      </c>
      <c r="AL84" s="721"/>
      <c r="AM84" s="149"/>
      <c r="AN84" s="148"/>
      <c r="AO84" s="161"/>
      <c r="AP84" s="161"/>
      <c r="AQ84" s="197">
        <v>2</v>
      </c>
      <c r="AR84" s="721"/>
      <c r="AS84" s="149"/>
      <c r="AT84" s="148"/>
      <c r="AU84" s="161"/>
      <c r="AV84" s="161"/>
      <c r="AW84" s="197">
        <v>2</v>
      </c>
      <c r="AX84" s="721"/>
      <c r="AY84" s="149"/>
      <c r="AZ84" s="148"/>
      <c r="BA84" s="161"/>
      <c r="BB84" s="161"/>
      <c r="BC84" s="197">
        <v>2</v>
      </c>
      <c r="BD84" s="721"/>
      <c r="BE84" s="149"/>
      <c r="BF84" s="148"/>
      <c r="BG84" s="161"/>
      <c r="BH84" s="161"/>
      <c r="BI84" s="197">
        <v>2</v>
      </c>
      <c r="BJ84" s="853"/>
      <c r="BK84" s="149"/>
      <c r="BL84" s="148"/>
      <c r="BM84" s="161"/>
      <c r="BN84" s="161"/>
      <c r="BO84" s="197"/>
      <c r="BP84" s="721"/>
      <c r="BQ84" s="149"/>
      <c r="BR84" s="148"/>
      <c r="BS84" s="161"/>
      <c r="BT84" s="161"/>
      <c r="BU84" s="197"/>
      <c r="BV84" s="721"/>
      <c r="BW84" s="149"/>
      <c r="BX84" s="148"/>
      <c r="BY84" s="161"/>
      <c r="BZ84" s="161"/>
      <c r="CA84" s="197"/>
      <c r="CB84" s="721"/>
      <c r="CC84" s="179"/>
      <c r="CD84" s="148"/>
      <c r="CE84" s="161"/>
      <c r="CF84" s="161"/>
      <c r="CG84" s="230"/>
      <c r="CH84" s="789"/>
      <c r="CI84" s="147"/>
      <c r="CJ84" s="149"/>
      <c r="CK84" s="161"/>
      <c r="CL84" s="162"/>
    </row>
    <row r="85" spans="2:90" ht="35.25" customHeight="1" outlineLevel="1" x14ac:dyDescent="0.2">
      <c r="B85" s="378" t="s">
        <v>397</v>
      </c>
      <c r="C85" s="755"/>
      <c r="D85" s="215" t="s">
        <v>245</v>
      </c>
      <c r="E85" s="749" t="s">
        <v>246</v>
      </c>
      <c r="F85" s="749"/>
      <c r="G85" s="197">
        <v>2</v>
      </c>
      <c r="H85" s="721"/>
      <c r="I85" s="149"/>
      <c r="J85" s="148"/>
      <c r="K85" s="161"/>
      <c r="L85" s="161"/>
      <c r="M85" s="220">
        <v>2</v>
      </c>
      <c r="N85" s="721"/>
      <c r="O85" s="203"/>
      <c r="P85" s="148"/>
      <c r="Q85" s="161"/>
      <c r="R85" s="161"/>
      <c r="S85" s="197">
        <v>2</v>
      </c>
      <c r="T85" s="721"/>
      <c r="U85" s="149"/>
      <c r="V85" s="149"/>
      <c r="W85" s="161"/>
      <c r="X85" s="161"/>
      <c r="Y85" s="197">
        <v>2</v>
      </c>
      <c r="Z85" s="721"/>
      <c r="AA85" s="179"/>
      <c r="AB85" s="167"/>
      <c r="AC85" s="183"/>
      <c r="AD85" s="183"/>
      <c r="AE85" s="197">
        <v>2</v>
      </c>
      <c r="AF85" s="721"/>
      <c r="AG85" s="149"/>
      <c r="AH85" s="148"/>
      <c r="AI85" s="161"/>
      <c r="AJ85" s="161"/>
      <c r="AK85" s="197">
        <v>2</v>
      </c>
      <c r="AL85" s="721"/>
      <c r="AM85" s="149"/>
      <c r="AN85" s="148"/>
      <c r="AO85" s="161"/>
      <c r="AP85" s="161"/>
      <c r="AQ85" s="197">
        <v>2</v>
      </c>
      <c r="AR85" s="721"/>
      <c r="AS85" s="149"/>
      <c r="AT85" s="148"/>
      <c r="AU85" s="161"/>
      <c r="AV85" s="161"/>
      <c r="AW85" s="197">
        <v>2</v>
      </c>
      <c r="AX85" s="721"/>
      <c r="AY85" s="149"/>
      <c r="AZ85" s="148"/>
      <c r="BA85" s="161"/>
      <c r="BB85" s="161"/>
      <c r="BC85" s="197">
        <v>2</v>
      </c>
      <c r="BD85" s="721"/>
      <c r="BE85" s="149"/>
      <c r="BF85" s="148"/>
      <c r="BG85" s="161"/>
      <c r="BH85" s="161"/>
      <c r="BI85" s="197">
        <v>2</v>
      </c>
      <c r="BJ85" s="853"/>
      <c r="BK85" s="149"/>
      <c r="BL85" s="148"/>
      <c r="BM85" s="161"/>
      <c r="BN85" s="161"/>
      <c r="BO85" s="197"/>
      <c r="BP85" s="721"/>
      <c r="BQ85" s="149"/>
      <c r="BR85" s="148"/>
      <c r="BS85" s="161"/>
      <c r="BT85" s="161"/>
      <c r="BU85" s="197"/>
      <c r="BV85" s="721"/>
      <c r="BW85" s="149"/>
      <c r="BX85" s="148"/>
      <c r="BY85" s="161"/>
      <c r="BZ85" s="161"/>
      <c r="CA85" s="197"/>
      <c r="CB85" s="721"/>
      <c r="CC85" s="179"/>
      <c r="CD85" s="148"/>
      <c r="CE85" s="161"/>
      <c r="CF85" s="161"/>
      <c r="CG85" s="230"/>
      <c r="CH85" s="789"/>
      <c r="CI85" s="147"/>
      <c r="CJ85" s="148"/>
      <c r="CK85" s="161"/>
      <c r="CL85" s="162"/>
    </row>
    <row r="86" spans="2:90" ht="44.25" customHeight="1" outlineLevel="1" x14ac:dyDescent="0.2">
      <c r="B86" s="383" t="s">
        <v>398</v>
      </c>
      <c r="C86" s="756"/>
      <c r="D86" s="242" t="s">
        <v>220</v>
      </c>
      <c r="E86" s="750" t="s">
        <v>221</v>
      </c>
      <c r="F86" s="750"/>
      <c r="G86" s="232">
        <v>2</v>
      </c>
      <c r="H86" s="722"/>
      <c r="I86" s="338"/>
      <c r="J86" s="188"/>
      <c r="K86" s="255"/>
      <c r="L86" s="255"/>
      <c r="M86" s="220">
        <v>2</v>
      </c>
      <c r="N86" s="722"/>
      <c r="O86" s="259"/>
      <c r="P86" s="234"/>
      <c r="Q86" s="255"/>
      <c r="R86" s="255"/>
      <c r="S86" s="232">
        <v>2</v>
      </c>
      <c r="T86" s="722"/>
      <c r="U86" s="233"/>
      <c r="V86" s="233"/>
      <c r="W86" s="255"/>
      <c r="X86" s="255"/>
      <c r="Y86" s="197">
        <v>2</v>
      </c>
      <c r="Z86" s="722"/>
      <c r="AA86" s="235"/>
      <c r="AB86" s="236"/>
      <c r="AC86" s="256"/>
      <c r="AD86" s="256"/>
      <c r="AE86" s="232">
        <v>2</v>
      </c>
      <c r="AF86" s="722"/>
      <c r="AG86" s="233"/>
      <c r="AH86" s="234"/>
      <c r="AI86" s="255"/>
      <c r="AJ86" s="255"/>
      <c r="AK86" s="197">
        <v>2</v>
      </c>
      <c r="AL86" s="722"/>
      <c r="AM86" s="233"/>
      <c r="AN86" s="234"/>
      <c r="AO86" s="255"/>
      <c r="AP86" s="255"/>
      <c r="AQ86" s="232">
        <v>2</v>
      </c>
      <c r="AR86" s="722"/>
      <c r="AS86" s="233"/>
      <c r="AT86" s="234"/>
      <c r="AU86" s="255"/>
      <c r="AV86" s="255"/>
      <c r="AW86" s="197">
        <v>2</v>
      </c>
      <c r="AX86" s="722"/>
      <c r="AY86" s="233"/>
      <c r="AZ86" s="234"/>
      <c r="BA86" s="255"/>
      <c r="BB86" s="255"/>
      <c r="BC86" s="232">
        <v>2</v>
      </c>
      <c r="BD86" s="722"/>
      <c r="BE86" s="233"/>
      <c r="BF86" s="234"/>
      <c r="BG86" s="255"/>
      <c r="BH86" s="255"/>
      <c r="BI86" s="197">
        <v>2</v>
      </c>
      <c r="BJ86" s="854"/>
      <c r="BK86" s="233"/>
      <c r="BL86" s="234"/>
      <c r="BM86" s="255"/>
      <c r="BN86" s="255"/>
      <c r="BO86" s="232"/>
      <c r="BP86" s="722"/>
      <c r="BQ86" s="233"/>
      <c r="BR86" s="234"/>
      <c r="BS86" s="255"/>
      <c r="BT86" s="255"/>
      <c r="BU86" s="197"/>
      <c r="BV86" s="722"/>
      <c r="BW86" s="233"/>
      <c r="BX86" s="234"/>
      <c r="BY86" s="255"/>
      <c r="BZ86" s="255"/>
      <c r="CA86" s="232"/>
      <c r="CB86" s="722"/>
      <c r="CC86" s="237"/>
      <c r="CD86" s="450"/>
      <c r="CE86" s="255"/>
      <c r="CF86" s="255"/>
      <c r="CG86" s="238"/>
      <c r="CH86" s="790"/>
      <c r="CI86" s="147"/>
      <c r="CJ86" s="148"/>
      <c r="CK86" s="161"/>
      <c r="CL86" s="162"/>
    </row>
    <row r="87" spans="2:90" ht="36" customHeight="1" outlineLevel="1" x14ac:dyDescent="0.2">
      <c r="B87" s="369" t="s">
        <v>399</v>
      </c>
      <c r="C87" s="757" t="s">
        <v>254</v>
      </c>
      <c r="D87" s="249" t="s">
        <v>255</v>
      </c>
      <c r="E87" s="744" t="s">
        <v>356</v>
      </c>
      <c r="F87" s="744"/>
      <c r="G87" s="222">
        <v>2</v>
      </c>
      <c r="H87" s="720">
        <f>SUM(G87:G91)</f>
        <v>10</v>
      </c>
      <c r="I87" s="225"/>
      <c r="J87" s="224"/>
      <c r="K87" s="252"/>
      <c r="L87" s="252"/>
      <c r="M87" s="220">
        <v>2</v>
      </c>
      <c r="N87" s="720">
        <f>SUM(M87:M91)</f>
        <v>10</v>
      </c>
      <c r="O87" s="257"/>
      <c r="P87" s="224"/>
      <c r="Q87" s="252"/>
      <c r="R87" s="252"/>
      <c r="S87" s="222">
        <v>2</v>
      </c>
      <c r="T87" s="720">
        <f>SUM(S87:S91)</f>
        <v>10</v>
      </c>
      <c r="U87" s="225"/>
      <c r="V87" s="225"/>
      <c r="W87" s="252"/>
      <c r="X87" s="252"/>
      <c r="Y87" s="197">
        <v>2</v>
      </c>
      <c r="Z87" s="720">
        <f>SUM(Y87:Y91)</f>
        <v>10</v>
      </c>
      <c r="AA87" s="227"/>
      <c r="AB87" s="226"/>
      <c r="AC87" s="253"/>
      <c r="AD87" s="253"/>
      <c r="AE87" s="222">
        <v>1</v>
      </c>
      <c r="AF87" s="720">
        <f>AE87+AE88+AE89+AE91+AE90</f>
        <v>9</v>
      </c>
      <c r="AG87" s="225" t="s">
        <v>400</v>
      </c>
      <c r="AH87" s="224"/>
      <c r="AI87" s="252"/>
      <c r="AJ87" s="252"/>
      <c r="AK87" s="197">
        <v>2</v>
      </c>
      <c r="AL87" s="720">
        <v>10</v>
      </c>
      <c r="AM87" s="225"/>
      <c r="AN87" s="224"/>
      <c r="AO87" s="252"/>
      <c r="AP87" s="252"/>
      <c r="AQ87" s="222">
        <v>2</v>
      </c>
      <c r="AR87" s="720">
        <f>SUM(AQ87:AQ91)</f>
        <v>10</v>
      </c>
      <c r="AS87" s="225"/>
      <c r="AT87" s="224"/>
      <c r="AU87" s="252"/>
      <c r="AV87" s="252"/>
      <c r="AW87" s="197">
        <v>2</v>
      </c>
      <c r="AX87" s="720">
        <f>SUM(AW87:AW91)</f>
        <v>10</v>
      </c>
      <c r="AY87" s="225"/>
      <c r="AZ87" s="224"/>
      <c r="BA87" s="252"/>
      <c r="BB87" s="252"/>
      <c r="BC87" s="222">
        <v>2</v>
      </c>
      <c r="BD87" s="720">
        <f>SUM(BC87:BC91)</f>
        <v>10</v>
      </c>
      <c r="BE87" s="225"/>
      <c r="BF87" s="224"/>
      <c r="BG87" s="252"/>
      <c r="BH87" s="252"/>
      <c r="BI87" s="197">
        <v>2</v>
      </c>
      <c r="BJ87" s="855">
        <v>10</v>
      </c>
      <c r="BK87" s="225"/>
      <c r="BL87" s="224"/>
      <c r="BM87" s="252"/>
      <c r="BN87" s="252"/>
      <c r="BO87" s="222"/>
      <c r="BP87" s="720">
        <v>10</v>
      </c>
      <c r="BQ87" s="225"/>
      <c r="BR87" s="224"/>
      <c r="BS87" s="252"/>
      <c r="BT87" s="252"/>
      <c r="BU87" s="197"/>
      <c r="BV87" s="720">
        <v>10</v>
      </c>
      <c r="BW87" s="225"/>
      <c r="BX87" s="224"/>
      <c r="BY87" s="252"/>
      <c r="BZ87" s="252"/>
      <c r="CA87" s="222"/>
      <c r="CB87" s="720">
        <f>SUM(CA87:CA91)</f>
        <v>0</v>
      </c>
      <c r="CC87" s="227"/>
      <c r="CD87" s="224"/>
      <c r="CE87" s="252"/>
      <c r="CF87" s="252"/>
      <c r="CG87" s="229"/>
      <c r="CH87" s="789">
        <f>SUM(CG87:CG91)</f>
        <v>0</v>
      </c>
      <c r="CI87" s="147"/>
      <c r="CJ87" s="225"/>
      <c r="CK87" s="161"/>
      <c r="CL87" s="162"/>
    </row>
    <row r="88" spans="2:90" ht="33.75" customHeight="1" outlineLevel="1" x14ac:dyDescent="0.2">
      <c r="B88" s="370" t="s">
        <v>401</v>
      </c>
      <c r="C88" s="758"/>
      <c r="D88" s="219" t="s">
        <v>258</v>
      </c>
      <c r="E88" s="745" t="s">
        <v>259</v>
      </c>
      <c r="F88" s="745"/>
      <c r="G88" s="197">
        <v>2</v>
      </c>
      <c r="H88" s="721"/>
      <c r="I88" s="149"/>
      <c r="J88" s="148"/>
      <c r="K88" s="161"/>
      <c r="L88" s="161"/>
      <c r="M88" s="220">
        <v>2</v>
      </c>
      <c r="N88" s="721"/>
      <c r="O88" s="203"/>
      <c r="P88" s="148"/>
      <c r="Q88" s="161"/>
      <c r="R88" s="161"/>
      <c r="S88" s="197">
        <v>2</v>
      </c>
      <c r="T88" s="721"/>
      <c r="U88" s="149"/>
      <c r="V88" s="149"/>
      <c r="W88" s="161"/>
      <c r="X88" s="161"/>
      <c r="Y88" s="197">
        <v>2</v>
      </c>
      <c r="Z88" s="721"/>
      <c r="AA88" s="179"/>
      <c r="AB88" s="167"/>
      <c r="AC88" s="183"/>
      <c r="AD88" s="183"/>
      <c r="AE88" s="197">
        <v>2</v>
      </c>
      <c r="AF88" s="721"/>
      <c r="AG88" s="149"/>
      <c r="AH88" s="148"/>
      <c r="AI88" s="161"/>
      <c r="AJ88" s="161"/>
      <c r="AK88" s="197">
        <v>2</v>
      </c>
      <c r="AL88" s="721"/>
      <c r="AM88" s="149"/>
      <c r="AN88" s="148"/>
      <c r="AO88" s="161"/>
      <c r="AP88" s="161"/>
      <c r="AQ88" s="197">
        <v>2</v>
      </c>
      <c r="AR88" s="721"/>
      <c r="AS88" s="149"/>
      <c r="AT88" s="148"/>
      <c r="AU88" s="161"/>
      <c r="AV88" s="161"/>
      <c r="AW88" s="197">
        <v>2</v>
      </c>
      <c r="AX88" s="721"/>
      <c r="AY88" s="149"/>
      <c r="AZ88" s="148"/>
      <c r="BA88" s="161"/>
      <c r="BB88" s="161"/>
      <c r="BC88" s="197">
        <v>2</v>
      </c>
      <c r="BD88" s="721"/>
      <c r="BE88" s="149"/>
      <c r="BF88" s="148"/>
      <c r="BG88" s="161"/>
      <c r="BH88" s="161"/>
      <c r="BI88" s="197">
        <v>2</v>
      </c>
      <c r="BJ88" s="856"/>
      <c r="BK88" s="149"/>
      <c r="BL88" s="148"/>
      <c r="BM88" s="161"/>
      <c r="BN88" s="161"/>
      <c r="BO88" s="197"/>
      <c r="BP88" s="721"/>
      <c r="BQ88" s="149"/>
      <c r="BR88" s="148"/>
      <c r="BS88" s="161"/>
      <c r="BT88" s="161"/>
      <c r="BU88" s="197"/>
      <c r="BV88" s="721"/>
      <c r="BW88" s="149"/>
      <c r="BX88" s="148"/>
      <c r="BY88" s="161"/>
      <c r="BZ88" s="161"/>
      <c r="CA88" s="197"/>
      <c r="CB88" s="721"/>
      <c r="CC88" s="179"/>
      <c r="CD88" s="444"/>
      <c r="CE88" s="161"/>
      <c r="CF88" s="161"/>
      <c r="CG88" s="230"/>
      <c r="CH88" s="789"/>
      <c r="CI88" s="147"/>
      <c r="CJ88" s="148"/>
      <c r="CK88" s="161"/>
      <c r="CL88" s="162"/>
    </row>
    <row r="89" spans="2:90" ht="30.75" customHeight="1" outlineLevel="1" x14ac:dyDescent="0.2">
      <c r="B89" s="370" t="s">
        <v>402</v>
      </c>
      <c r="C89" s="758"/>
      <c r="D89" s="219" t="s">
        <v>261</v>
      </c>
      <c r="E89" s="745" t="s">
        <v>403</v>
      </c>
      <c r="F89" s="745"/>
      <c r="G89" s="197">
        <v>2</v>
      </c>
      <c r="H89" s="721"/>
      <c r="I89" s="149"/>
      <c r="J89" s="148"/>
      <c r="K89" s="161"/>
      <c r="L89" s="161"/>
      <c r="M89" s="220">
        <v>2</v>
      </c>
      <c r="N89" s="721"/>
      <c r="O89" s="203"/>
      <c r="P89" s="167"/>
      <c r="Q89" s="161"/>
      <c r="R89" s="161"/>
      <c r="S89" s="197">
        <v>2</v>
      </c>
      <c r="T89" s="721"/>
      <c r="U89" s="149"/>
      <c r="V89" s="149"/>
      <c r="W89" s="161"/>
      <c r="X89" s="161"/>
      <c r="Y89" s="197">
        <v>2</v>
      </c>
      <c r="Z89" s="721"/>
      <c r="AA89" s="179"/>
      <c r="AB89" s="167"/>
      <c r="AC89" s="183"/>
      <c r="AD89" s="183"/>
      <c r="AE89" s="197">
        <v>2</v>
      </c>
      <c r="AF89" s="721"/>
      <c r="AG89" s="149"/>
      <c r="AH89" s="148"/>
      <c r="AI89" s="161"/>
      <c r="AJ89" s="161"/>
      <c r="AK89" s="197">
        <v>2</v>
      </c>
      <c r="AL89" s="721"/>
      <c r="AM89" s="149"/>
      <c r="AN89" s="148"/>
      <c r="AO89" s="161"/>
      <c r="AP89" s="161"/>
      <c r="AQ89" s="197">
        <v>2</v>
      </c>
      <c r="AR89" s="721"/>
      <c r="AS89" s="149"/>
      <c r="AT89" s="148"/>
      <c r="AU89" s="161"/>
      <c r="AV89" s="161"/>
      <c r="AW89" s="197">
        <v>2</v>
      </c>
      <c r="AX89" s="721"/>
      <c r="AY89" s="149"/>
      <c r="AZ89" s="148"/>
      <c r="BA89" s="161"/>
      <c r="BB89" s="161"/>
      <c r="BC89" s="197">
        <v>2</v>
      </c>
      <c r="BD89" s="721"/>
      <c r="BE89" s="149"/>
      <c r="BF89" s="148"/>
      <c r="BG89" s="161"/>
      <c r="BH89" s="161"/>
      <c r="BI89" s="197">
        <v>2</v>
      </c>
      <c r="BJ89" s="856"/>
      <c r="BK89" s="149"/>
      <c r="BL89" s="148"/>
      <c r="BM89" s="161"/>
      <c r="BN89" s="161"/>
      <c r="BO89" s="197"/>
      <c r="BP89" s="721"/>
      <c r="BQ89" s="149"/>
      <c r="BR89" s="148"/>
      <c r="BS89" s="161"/>
      <c r="BT89" s="161"/>
      <c r="BU89" s="197"/>
      <c r="BV89" s="721"/>
      <c r="BW89" s="149"/>
      <c r="BX89" s="148"/>
      <c r="BY89" s="161"/>
      <c r="BZ89" s="161"/>
      <c r="CA89" s="197"/>
      <c r="CB89" s="721"/>
      <c r="CC89" s="179"/>
      <c r="CD89" s="448"/>
      <c r="CE89" s="161"/>
      <c r="CF89" s="161"/>
      <c r="CG89" s="230"/>
      <c r="CH89" s="789"/>
      <c r="CI89" s="147"/>
      <c r="CJ89" s="149"/>
      <c r="CK89" s="161"/>
      <c r="CL89" s="162"/>
    </row>
    <row r="90" spans="2:90" ht="15" outlineLevel="1" x14ac:dyDescent="0.25">
      <c r="B90" s="370" t="s">
        <v>404</v>
      </c>
      <c r="C90" s="758"/>
      <c r="D90" s="219" t="s">
        <v>264</v>
      </c>
      <c r="E90" s="745" t="s">
        <v>265</v>
      </c>
      <c r="F90" s="745"/>
      <c r="G90" s="197">
        <v>2</v>
      </c>
      <c r="H90" s="721"/>
      <c r="I90" s="149"/>
      <c r="J90" s="148"/>
      <c r="K90" s="161"/>
      <c r="L90" s="161"/>
      <c r="M90" s="220">
        <v>2</v>
      </c>
      <c r="N90" s="721"/>
      <c r="O90" s="203"/>
      <c r="P90" s="148"/>
      <c r="Q90" s="161"/>
      <c r="R90" s="161"/>
      <c r="S90" s="197">
        <v>2</v>
      </c>
      <c r="T90" s="721"/>
      <c r="U90" s="364"/>
      <c r="V90" s="364"/>
      <c r="W90" s="161"/>
      <c r="X90" s="161"/>
      <c r="Y90" s="197">
        <v>2</v>
      </c>
      <c r="Z90" s="721"/>
      <c r="AA90" s="179"/>
      <c r="AB90" s="167"/>
      <c r="AC90" s="183"/>
      <c r="AD90" s="183"/>
      <c r="AE90" s="197">
        <v>2</v>
      </c>
      <c r="AF90" s="721"/>
      <c r="AG90" s="149"/>
      <c r="AH90" s="148"/>
      <c r="AI90" s="161"/>
      <c r="AJ90" s="161"/>
      <c r="AK90" s="197">
        <v>2</v>
      </c>
      <c r="AL90" s="721"/>
      <c r="AM90" s="149"/>
      <c r="AN90" s="148"/>
      <c r="AO90" s="161"/>
      <c r="AP90" s="161"/>
      <c r="AQ90" s="197">
        <v>2</v>
      </c>
      <c r="AR90" s="721"/>
      <c r="AS90" s="149"/>
      <c r="AT90" s="148"/>
      <c r="AU90" s="161"/>
      <c r="AV90" s="161"/>
      <c r="AW90" s="197">
        <v>2</v>
      </c>
      <c r="AX90" s="721"/>
      <c r="AY90" s="149"/>
      <c r="AZ90" s="148"/>
      <c r="BA90" s="161"/>
      <c r="BB90" s="161"/>
      <c r="BC90" s="197">
        <v>2</v>
      </c>
      <c r="BD90" s="721"/>
      <c r="BE90" s="149"/>
      <c r="BF90" s="148"/>
      <c r="BG90" s="161"/>
      <c r="BH90" s="161"/>
      <c r="BI90" s="197">
        <v>2</v>
      </c>
      <c r="BJ90" s="856"/>
      <c r="BK90" s="149"/>
      <c r="BL90" s="148"/>
      <c r="BM90" s="161"/>
      <c r="BN90" s="161"/>
      <c r="BO90" s="197"/>
      <c r="BP90" s="721"/>
      <c r="BQ90" s="149"/>
      <c r="BR90" s="148"/>
      <c r="BS90" s="161"/>
      <c r="BT90" s="161"/>
      <c r="BU90" s="197"/>
      <c r="BV90" s="721"/>
      <c r="BW90" s="149"/>
      <c r="BX90" s="148"/>
      <c r="BY90" s="161"/>
      <c r="BZ90" s="161"/>
      <c r="CA90" s="197"/>
      <c r="CB90" s="721"/>
      <c r="CC90" s="179"/>
      <c r="CD90" s="148"/>
      <c r="CE90" s="161"/>
      <c r="CF90" s="161"/>
      <c r="CG90" s="230"/>
      <c r="CH90" s="789"/>
      <c r="CI90" s="147"/>
      <c r="CJ90" s="148"/>
      <c r="CK90" s="161"/>
      <c r="CL90" s="162"/>
    </row>
    <row r="91" spans="2:90" ht="51.75" customHeight="1" outlineLevel="1" x14ac:dyDescent="0.2">
      <c r="B91" s="368" t="s">
        <v>405</v>
      </c>
      <c r="C91" s="759"/>
      <c r="D91" s="250" t="s">
        <v>270</v>
      </c>
      <c r="E91" s="746" t="s">
        <v>271</v>
      </c>
      <c r="F91" s="746"/>
      <c r="G91" s="232">
        <v>2</v>
      </c>
      <c r="H91" s="722"/>
      <c r="I91" s="233"/>
      <c r="J91" s="234"/>
      <c r="K91" s="255"/>
      <c r="L91" s="255"/>
      <c r="M91" s="220">
        <v>2</v>
      </c>
      <c r="N91" s="722"/>
      <c r="O91" s="259"/>
      <c r="P91" s="234"/>
      <c r="Q91" s="255"/>
      <c r="R91" s="255"/>
      <c r="S91" s="232">
        <v>2</v>
      </c>
      <c r="T91" s="722"/>
      <c r="U91" s="233"/>
      <c r="V91" s="233"/>
      <c r="W91" s="255"/>
      <c r="X91" s="255"/>
      <c r="Y91" s="197">
        <v>2</v>
      </c>
      <c r="Z91" s="722"/>
      <c r="AA91" s="180"/>
      <c r="AB91" s="169"/>
      <c r="AC91" s="184"/>
      <c r="AD91" s="184"/>
      <c r="AE91" s="232">
        <v>2</v>
      </c>
      <c r="AF91" s="722"/>
      <c r="AG91" s="233"/>
      <c r="AH91" s="234"/>
      <c r="AI91" s="255"/>
      <c r="AJ91" s="255"/>
      <c r="AK91" s="197">
        <v>2</v>
      </c>
      <c r="AL91" s="722"/>
      <c r="AM91" s="233"/>
      <c r="AN91" s="234"/>
      <c r="AO91" s="255"/>
      <c r="AP91" s="255"/>
      <c r="AQ91" s="232">
        <v>2</v>
      </c>
      <c r="AR91" s="722"/>
      <c r="AS91" s="233"/>
      <c r="AT91" s="234"/>
      <c r="AU91" s="255"/>
      <c r="AV91" s="255"/>
      <c r="AW91" s="197">
        <v>2</v>
      </c>
      <c r="AX91" s="722"/>
      <c r="AY91" s="233"/>
      <c r="AZ91" s="234"/>
      <c r="BA91" s="255"/>
      <c r="BB91" s="255"/>
      <c r="BC91" s="232">
        <v>2</v>
      </c>
      <c r="BD91" s="722"/>
      <c r="BE91" s="233"/>
      <c r="BF91" s="234"/>
      <c r="BG91" s="255"/>
      <c r="BH91" s="255"/>
      <c r="BI91" s="197">
        <v>2</v>
      </c>
      <c r="BJ91" s="857"/>
      <c r="BK91" s="233"/>
      <c r="BL91" s="234"/>
      <c r="BM91" s="255"/>
      <c r="BN91" s="255"/>
      <c r="BO91" s="232"/>
      <c r="BP91" s="722"/>
      <c r="BQ91" s="233"/>
      <c r="BR91" s="234"/>
      <c r="BS91" s="255"/>
      <c r="BT91" s="255"/>
      <c r="BU91" s="197"/>
      <c r="BV91" s="722"/>
      <c r="BW91" s="233"/>
      <c r="BX91" s="234"/>
      <c r="BY91" s="255"/>
      <c r="BZ91" s="255"/>
      <c r="CA91" s="232"/>
      <c r="CB91" s="722"/>
      <c r="CC91" s="237"/>
      <c r="CD91" s="450"/>
      <c r="CE91" s="255"/>
      <c r="CF91" s="255"/>
      <c r="CG91" s="238"/>
      <c r="CH91" s="790"/>
      <c r="CI91" s="147"/>
      <c r="CJ91" s="148"/>
      <c r="CK91" s="161"/>
      <c r="CL91" s="162"/>
    </row>
    <row r="92" spans="2:90" ht="39" customHeight="1" outlineLevel="1" x14ac:dyDescent="0.2">
      <c r="B92" s="380"/>
      <c r="C92" s="779" t="s">
        <v>272</v>
      </c>
      <c r="D92" s="264" t="s">
        <v>273</v>
      </c>
      <c r="E92" s="781" t="s">
        <v>274</v>
      </c>
      <c r="F92" s="781"/>
      <c r="G92" s="246">
        <v>2</v>
      </c>
      <c r="H92" s="732">
        <f>SUM(G92:G96)</f>
        <v>10</v>
      </c>
      <c r="I92" s="194"/>
      <c r="J92" s="193"/>
      <c r="K92" s="194"/>
      <c r="L92" s="194"/>
      <c r="M92" s="220">
        <v>2</v>
      </c>
      <c r="N92" s="732">
        <f>SUM(M92:M96)</f>
        <v>10</v>
      </c>
      <c r="O92" s="194"/>
      <c r="P92" s="193"/>
      <c r="Q92" s="194"/>
      <c r="R92" s="194"/>
      <c r="S92" s="246">
        <v>2</v>
      </c>
      <c r="T92" s="732">
        <f>SUM(S92:S96)</f>
        <v>10</v>
      </c>
      <c r="U92" s="194"/>
      <c r="V92" s="193"/>
      <c r="W92" s="194"/>
      <c r="X92" s="194"/>
      <c r="Y92" s="197">
        <v>2</v>
      </c>
      <c r="Z92" s="839">
        <f>SUM(Y92:Y96)</f>
        <v>10</v>
      </c>
      <c r="AA92" s="264"/>
      <c r="AB92" s="264"/>
      <c r="AC92" s="264"/>
      <c r="AD92" s="264"/>
      <c r="AE92" s="246">
        <v>2</v>
      </c>
      <c r="AF92" s="732">
        <f>AE92+AE93+AE94+AE95+AE96</f>
        <v>10</v>
      </c>
      <c r="AG92" s="194"/>
      <c r="AH92" s="193"/>
      <c r="AI92" s="194"/>
      <c r="AJ92" s="194"/>
      <c r="AK92" s="197">
        <v>2</v>
      </c>
      <c r="AL92" s="732">
        <v>10</v>
      </c>
      <c r="AM92" s="194"/>
      <c r="AN92" s="193"/>
      <c r="AO92" s="194"/>
      <c r="AP92" s="194"/>
      <c r="AQ92" s="246">
        <v>2</v>
      </c>
      <c r="AR92" s="732">
        <f>SUM(AQ92:AQ96)</f>
        <v>10</v>
      </c>
      <c r="AS92" s="194"/>
      <c r="AT92" s="193"/>
      <c r="AU92" s="194"/>
      <c r="AV92" s="194"/>
      <c r="AW92" s="197">
        <v>2</v>
      </c>
      <c r="AX92" s="732">
        <f>SUM(AW92:AW96)</f>
        <v>10</v>
      </c>
      <c r="AY92" s="194"/>
      <c r="AZ92" s="193"/>
      <c r="BA92" s="194"/>
      <c r="BB92" s="194"/>
      <c r="BC92" s="246">
        <v>2</v>
      </c>
      <c r="BD92" s="732">
        <f>SUM(BC92:BC96)</f>
        <v>10</v>
      </c>
      <c r="BE92" s="194"/>
      <c r="BF92" s="193"/>
      <c r="BG92" s="194"/>
      <c r="BH92" s="194"/>
      <c r="BI92" s="197">
        <v>2</v>
      </c>
      <c r="BJ92" s="732">
        <f>SUM(BI92:BI96)</f>
        <v>10</v>
      </c>
      <c r="BK92" s="194"/>
      <c r="BL92" s="193"/>
      <c r="BM92" s="194"/>
      <c r="BN92" s="194"/>
      <c r="BO92" s="246"/>
      <c r="BP92" s="732">
        <v>10</v>
      </c>
      <c r="BQ92" s="194"/>
      <c r="BR92" s="193"/>
      <c r="BS92" s="194"/>
      <c r="BT92" s="194"/>
      <c r="BU92" s="197"/>
      <c r="BV92" s="848">
        <v>8</v>
      </c>
      <c r="BW92" s="194"/>
      <c r="BX92" s="193"/>
      <c r="BY92" s="194"/>
      <c r="BZ92" s="194"/>
      <c r="CA92" s="246"/>
      <c r="CB92" s="732">
        <f>SUM(CA92:CA96)</f>
        <v>0</v>
      </c>
      <c r="CC92" s="247"/>
      <c r="CD92" s="167"/>
      <c r="CE92" s="194"/>
      <c r="CF92" s="194"/>
      <c r="CG92" s="246"/>
      <c r="CH92" s="773">
        <f>SUM(CG92:CG96)</f>
        <v>0</v>
      </c>
      <c r="CI92" s="153"/>
      <c r="CJ92" s="154"/>
      <c r="CK92" s="155"/>
      <c r="CL92" s="155"/>
    </row>
    <row r="93" spans="2:90" ht="28.5" customHeight="1" outlineLevel="1" x14ac:dyDescent="0.2">
      <c r="B93" s="381"/>
      <c r="C93" s="780"/>
      <c r="D93" s="204" t="s">
        <v>275</v>
      </c>
      <c r="E93" s="772" t="s">
        <v>276</v>
      </c>
      <c r="F93" s="772"/>
      <c r="G93" s="202">
        <v>2</v>
      </c>
      <c r="H93" s="733"/>
      <c r="I93" s="155"/>
      <c r="J93" s="154"/>
      <c r="K93" s="155"/>
      <c r="L93" s="155"/>
      <c r="M93" s="220">
        <v>2</v>
      </c>
      <c r="N93" s="733"/>
      <c r="O93" s="155"/>
      <c r="P93" s="154"/>
      <c r="Q93" s="155"/>
      <c r="R93" s="155"/>
      <c r="S93" s="202">
        <v>2</v>
      </c>
      <c r="T93" s="733"/>
      <c r="U93" s="155"/>
      <c r="V93" s="155"/>
      <c r="W93" s="155"/>
      <c r="X93" s="155"/>
      <c r="Y93" s="197">
        <v>2</v>
      </c>
      <c r="Z93" s="840"/>
      <c r="AA93" s="264"/>
      <c r="AB93" s="264"/>
      <c r="AC93" s="264"/>
      <c r="AD93" s="264"/>
      <c r="AE93" s="202">
        <v>2</v>
      </c>
      <c r="AF93" s="733"/>
      <c r="AG93" s="155"/>
      <c r="AH93" s="154"/>
      <c r="AI93" s="155"/>
      <c r="AJ93" s="155"/>
      <c r="AK93" s="197">
        <v>2</v>
      </c>
      <c r="AL93" s="733"/>
      <c r="AM93" s="155"/>
      <c r="AN93" s="154"/>
      <c r="AO93" s="155"/>
      <c r="AP93" s="155"/>
      <c r="AQ93" s="202">
        <v>2</v>
      </c>
      <c r="AR93" s="733"/>
      <c r="AS93" s="155"/>
      <c r="AT93" s="154"/>
      <c r="AU93" s="155"/>
      <c r="AV93" s="155"/>
      <c r="AW93" s="197">
        <v>2</v>
      </c>
      <c r="AX93" s="733"/>
      <c r="AY93" s="155"/>
      <c r="AZ93" s="154"/>
      <c r="BA93" s="155"/>
      <c r="BB93" s="155"/>
      <c r="BC93" s="202">
        <v>2</v>
      </c>
      <c r="BD93" s="733"/>
      <c r="BE93" s="155"/>
      <c r="BF93" s="154"/>
      <c r="BG93" s="155"/>
      <c r="BH93" s="155"/>
      <c r="BI93" s="197">
        <v>2</v>
      </c>
      <c r="BJ93" s="733"/>
      <c r="BK93" s="155"/>
      <c r="BL93" s="154"/>
      <c r="BM93" s="155"/>
      <c r="BN93" s="155"/>
      <c r="BO93" s="202"/>
      <c r="BP93" s="733"/>
      <c r="BQ93" s="155"/>
      <c r="BR93" s="154"/>
      <c r="BS93" s="155"/>
      <c r="BT93" s="155"/>
      <c r="BU93" s="197"/>
      <c r="BV93" s="721"/>
      <c r="BW93" s="155"/>
      <c r="BX93" s="154"/>
      <c r="BY93" s="155"/>
      <c r="BZ93" s="155"/>
      <c r="CA93" s="202"/>
      <c r="CB93" s="733"/>
      <c r="CC93" s="182"/>
      <c r="CD93" s="167"/>
      <c r="CE93" s="155"/>
      <c r="CF93" s="155"/>
      <c r="CG93" s="202"/>
      <c r="CH93" s="774"/>
      <c r="CI93" s="153"/>
      <c r="CJ93" s="155"/>
      <c r="CK93" s="155"/>
      <c r="CL93" s="155"/>
    </row>
    <row r="94" spans="2:90" ht="37.5" customHeight="1" outlineLevel="1" x14ac:dyDescent="0.2">
      <c r="B94" s="381"/>
      <c r="C94" s="780"/>
      <c r="D94" s="204" t="s">
        <v>209</v>
      </c>
      <c r="E94" s="772" t="s">
        <v>406</v>
      </c>
      <c r="F94" s="772"/>
      <c r="G94" s="202">
        <v>2</v>
      </c>
      <c r="H94" s="733"/>
      <c r="I94" s="155"/>
      <c r="J94" s="154"/>
      <c r="K94" s="155"/>
      <c r="L94" s="155"/>
      <c r="M94" s="220">
        <v>2</v>
      </c>
      <c r="N94" s="733"/>
      <c r="O94" s="155"/>
      <c r="P94" s="154"/>
      <c r="Q94" s="155"/>
      <c r="R94" s="155"/>
      <c r="S94" s="202">
        <v>2</v>
      </c>
      <c r="T94" s="733"/>
      <c r="U94" s="155"/>
      <c r="V94" s="154"/>
      <c r="W94" s="340"/>
      <c r="X94" s="155"/>
      <c r="Y94" s="197">
        <v>2</v>
      </c>
      <c r="Z94" s="840"/>
      <c r="AA94" s="264"/>
      <c r="AB94" s="264"/>
      <c r="AC94" s="264"/>
      <c r="AD94" s="264"/>
      <c r="AE94" s="202">
        <v>2</v>
      </c>
      <c r="AF94" s="733"/>
      <c r="AG94" s="155"/>
      <c r="AH94" s="154"/>
      <c r="AI94" s="155"/>
      <c r="AJ94" s="155"/>
      <c r="AK94" s="197">
        <v>2</v>
      </c>
      <c r="AL94" s="733"/>
      <c r="AM94" s="155"/>
      <c r="AN94" s="154"/>
      <c r="AO94" s="155"/>
      <c r="AP94" s="155"/>
      <c r="AQ94" s="202">
        <v>2</v>
      </c>
      <c r="AR94" s="733"/>
      <c r="AS94" s="155"/>
      <c r="AT94" s="154"/>
      <c r="AU94" s="155"/>
      <c r="AV94" s="155"/>
      <c r="AW94" s="197">
        <v>2</v>
      </c>
      <c r="AX94" s="733"/>
      <c r="AY94" s="155"/>
      <c r="AZ94" s="154"/>
      <c r="BA94" s="155"/>
      <c r="BB94" s="155"/>
      <c r="BC94" s="202">
        <v>2</v>
      </c>
      <c r="BD94" s="733"/>
      <c r="BE94" s="155"/>
      <c r="BF94" s="154"/>
      <c r="BG94" s="155"/>
      <c r="BH94" s="155"/>
      <c r="BI94" s="197">
        <v>2</v>
      </c>
      <c r="BJ94" s="733"/>
      <c r="BK94" s="155"/>
      <c r="BL94" s="154"/>
      <c r="BM94" s="155"/>
      <c r="BN94" s="155"/>
      <c r="BO94" s="202"/>
      <c r="BP94" s="733"/>
      <c r="BQ94" s="155"/>
      <c r="BR94" s="154"/>
      <c r="BS94" s="155"/>
      <c r="BT94" s="155"/>
      <c r="BU94" s="197"/>
      <c r="BV94" s="721"/>
      <c r="BW94" s="155"/>
      <c r="BX94" s="154"/>
      <c r="BY94" s="155"/>
      <c r="BZ94" s="155"/>
      <c r="CA94" s="202"/>
      <c r="CB94" s="733"/>
      <c r="CC94" s="182"/>
      <c r="CD94" s="167"/>
      <c r="CE94" s="155"/>
      <c r="CF94" s="155"/>
      <c r="CG94" s="202"/>
      <c r="CH94" s="774"/>
      <c r="CI94" s="153"/>
      <c r="CJ94" s="154"/>
      <c r="CK94" s="155"/>
      <c r="CL94" s="155"/>
    </row>
    <row r="95" spans="2:90" ht="35.25" customHeight="1" outlineLevel="1" x14ac:dyDescent="0.2">
      <c r="B95" s="381"/>
      <c r="C95" s="780"/>
      <c r="D95" s="205" t="s">
        <v>407</v>
      </c>
      <c r="E95" s="772" t="s">
        <v>408</v>
      </c>
      <c r="F95" s="772"/>
      <c r="G95" s="202">
        <v>2</v>
      </c>
      <c r="H95" s="733"/>
      <c r="I95" s="155"/>
      <c r="J95" s="154"/>
      <c r="K95" s="155"/>
      <c r="L95" s="155"/>
      <c r="M95" s="220">
        <v>2</v>
      </c>
      <c r="N95" s="733"/>
      <c r="O95" s="155"/>
      <c r="P95" s="154"/>
      <c r="Q95" s="155"/>
      <c r="R95" s="155"/>
      <c r="S95" s="202">
        <v>2</v>
      </c>
      <c r="T95" s="733"/>
      <c r="U95" s="155"/>
      <c r="V95" s="154"/>
      <c r="W95" s="155"/>
      <c r="X95" s="155"/>
      <c r="Y95" s="197">
        <v>2</v>
      </c>
      <c r="Z95" s="840"/>
      <c r="AA95" s="264"/>
      <c r="AB95" s="264"/>
      <c r="AC95" s="264"/>
      <c r="AD95" s="264"/>
      <c r="AE95" s="202">
        <v>2</v>
      </c>
      <c r="AF95" s="733"/>
      <c r="AG95" s="155"/>
      <c r="AH95" s="154"/>
      <c r="AI95" s="155"/>
      <c r="AJ95" s="155"/>
      <c r="AK95" s="197">
        <v>2</v>
      </c>
      <c r="AL95" s="733"/>
      <c r="AM95" s="155"/>
      <c r="AN95" s="154"/>
      <c r="AO95" s="155"/>
      <c r="AP95" s="155"/>
      <c r="AQ95" s="202">
        <v>2</v>
      </c>
      <c r="AR95" s="733"/>
      <c r="AS95" s="155"/>
      <c r="AT95" s="154"/>
      <c r="AU95" s="155"/>
      <c r="AV95" s="155"/>
      <c r="AW95" s="197">
        <v>2</v>
      </c>
      <c r="AX95" s="733"/>
      <c r="AY95" s="155"/>
      <c r="AZ95" s="154"/>
      <c r="BA95" s="155"/>
      <c r="BB95" s="155"/>
      <c r="BC95" s="202">
        <v>2</v>
      </c>
      <c r="BD95" s="733"/>
      <c r="BE95" s="155"/>
      <c r="BF95" s="154"/>
      <c r="BG95" s="155"/>
      <c r="BH95" s="155"/>
      <c r="BI95" s="197">
        <v>2</v>
      </c>
      <c r="BJ95" s="733"/>
      <c r="BK95" s="155"/>
      <c r="BL95" s="154"/>
      <c r="BM95" s="155"/>
      <c r="BN95" s="155"/>
      <c r="BO95" s="202"/>
      <c r="BP95" s="733"/>
      <c r="BQ95" s="155"/>
      <c r="BR95" s="154"/>
      <c r="BS95" s="155"/>
      <c r="BT95" s="155"/>
      <c r="BU95" s="197"/>
      <c r="BV95" s="721"/>
      <c r="BW95" s="155"/>
      <c r="BX95" s="154"/>
      <c r="BY95" s="155"/>
      <c r="BZ95" s="155"/>
      <c r="CA95" s="202"/>
      <c r="CB95" s="733"/>
      <c r="CC95" s="182"/>
      <c r="CD95" s="167"/>
      <c r="CE95" s="155"/>
      <c r="CF95" s="155"/>
      <c r="CG95" s="202"/>
      <c r="CH95" s="774"/>
      <c r="CI95" s="153"/>
      <c r="CJ95" s="154"/>
      <c r="CK95" s="155"/>
      <c r="CL95" s="155"/>
    </row>
    <row r="96" spans="2:90" ht="41.25" customHeight="1" outlineLevel="1" x14ac:dyDescent="0.2">
      <c r="B96" s="381"/>
      <c r="C96" s="780"/>
      <c r="D96" s="204" t="s">
        <v>281</v>
      </c>
      <c r="E96" s="772" t="s">
        <v>361</v>
      </c>
      <c r="F96" s="772"/>
      <c r="G96" s="202">
        <v>2</v>
      </c>
      <c r="H96" s="733"/>
      <c r="I96" s="155"/>
      <c r="J96" s="154"/>
      <c r="K96" s="340"/>
      <c r="L96" s="155"/>
      <c r="M96" s="220">
        <v>2</v>
      </c>
      <c r="N96" s="733"/>
      <c r="O96" s="155"/>
      <c r="P96" s="154"/>
      <c r="Q96" s="340"/>
      <c r="R96" s="155"/>
      <c r="S96" s="202">
        <v>2</v>
      </c>
      <c r="T96" s="733"/>
      <c r="U96" s="155"/>
      <c r="V96" s="154"/>
      <c r="W96" s="155"/>
      <c r="X96" s="155"/>
      <c r="Y96" s="197">
        <v>2</v>
      </c>
      <c r="Z96" s="781"/>
      <c r="AA96" s="264"/>
      <c r="AB96" s="264"/>
      <c r="AC96" s="264"/>
      <c r="AD96" s="264"/>
      <c r="AE96" s="202">
        <v>2</v>
      </c>
      <c r="AF96" s="733"/>
      <c r="AG96" s="155"/>
      <c r="AH96" s="154"/>
      <c r="AI96" s="340"/>
      <c r="AJ96" s="155"/>
      <c r="AK96" s="197">
        <v>2</v>
      </c>
      <c r="AL96" s="733"/>
      <c r="AM96" s="155"/>
      <c r="AN96" s="154"/>
      <c r="AO96" s="340"/>
      <c r="AP96" s="155"/>
      <c r="AQ96" s="202">
        <v>2</v>
      </c>
      <c r="AR96" s="733"/>
      <c r="AS96" s="155"/>
      <c r="AT96" s="154"/>
      <c r="AU96" s="340"/>
      <c r="AV96" s="155"/>
      <c r="AW96" s="197">
        <v>2</v>
      </c>
      <c r="AX96" s="733"/>
      <c r="AY96" s="155"/>
      <c r="AZ96" s="154"/>
      <c r="BA96" s="340"/>
      <c r="BB96" s="155"/>
      <c r="BC96" s="202">
        <v>2</v>
      </c>
      <c r="BD96" s="733"/>
      <c r="BE96" s="155"/>
      <c r="BF96" s="154"/>
      <c r="BG96" s="340"/>
      <c r="BH96" s="155"/>
      <c r="BI96" s="197">
        <v>2</v>
      </c>
      <c r="BJ96" s="733"/>
      <c r="BK96" s="155"/>
      <c r="BL96" s="154"/>
      <c r="BM96" s="340"/>
      <c r="BN96" s="155"/>
      <c r="BO96" s="202"/>
      <c r="BP96" s="733"/>
      <c r="BQ96" s="155"/>
      <c r="BR96" s="154"/>
      <c r="BS96" s="340"/>
      <c r="BT96" s="155"/>
      <c r="BU96" s="197"/>
      <c r="BV96" s="721"/>
      <c r="BW96" s="155"/>
      <c r="BX96" s="154"/>
      <c r="BY96" s="340"/>
      <c r="BZ96" s="155"/>
      <c r="CA96" s="202"/>
      <c r="CB96" s="733"/>
      <c r="CC96" s="182"/>
      <c r="CD96" s="167"/>
      <c r="CE96" s="340"/>
      <c r="CF96" s="155"/>
      <c r="CG96" s="202"/>
      <c r="CH96" s="774"/>
      <c r="CI96" s="153"/>
      <c r="CJ96" s="154"/>
      <c r="CK96" s="356"/>
      <c r="CL96" s="155"/>
    </row>
    <row r="97" spans="2:90" ht="18.75" customHeight="1" collapsed="1" x14ac:dyDescent="0.2">
      <c r="B97" s="382" t="s">
        <v>409</v>
      </c>
      <c r="C97" s="208"/>
      <c r="D97" s="208"/>
      <c r="E97" s="208"/>
      <c r="F97" s="208"/>
      <c r="G97" s="208"/>
      <c r="H97" s="208"/>
      <c r="I97" s="341"/>
      <c r="J97" s="341"/>
      <c r="K97" s="341"/>
      <c r="L97" s="341"/>
      <c r="M97" s="208"/>
      <c r="N97" s="208"/>
      <c r="O97" s="341"/>
      <c r="P97" s="341"/>
      <c r="Q97" s="341"/>
      <c r="R97" s="341"/>
      <c r="S97" s="208"/>
      <c r="T97" s="208"/>
      <c r="U97" s="341"/>
      <c r="V97" s="341"/>
      <c r="W97" s="341"/>
      <c r="X97" s="341"/>
      <c r="Y97" s="208"/>
      <c r="Z97" s="208"/>
      <c r="AA97" s="405"/>
      <c r="AB97" s="405"/>
      <c r="AC97" s="405"/>
      <c r="AD97" s="405"/>
      <c r="AE97" s="208"/>
      <c r="AF97" s="208"/>
      <c r="AG97" s="341"/>
      <c r="AH97" s="341"/>
      <c r="AI97" s="341"/>
      <c r="AJ97" s="341"/>
      <c r="AK97" s="208"/>
      <c r="AL97" s="208"/>
      <c r="AM97" s="341"/>
      <c r="AN97" s="341"/>
      <c r="AO97" s="341"/>
      <c r="AP97" s="341"/>
      <c r="AQ97" s="208"/>
      <c r="AR97" s="208"/>
      <c r="AS97" s="341"/>
      <c r="AT97" s="341"/>
      <c r="AU97" s="341"/>
      <c r="AV97" s="341"/>
      <c r="AW97" s="208"/>
      <c r="AX97" s="208"/>
      <c r="AY97" s="341"/>
      <c r="AZ97" s="341"/>
      <c r="BA97" s="341"/>
      <c r="BB97" s="341"/>
      <c r="BC97" s="208"/>
      <c r="BD97" s="208"/>
      <c r="BE97" s="341"/>
      <c r="BF97" s="341"/>
      <c r="BG97" s="341"/>
      <c r="BH97" s="341"/>
      <c r="BI97" s="208"/>
      <c r="BJ97" s="208"/>
      <c r="BK97" s="341"/>
      <c r="BL97" s="341"/>
      <c r="BM97" s="341"/>
      <c r="BN97" s="341"/>
      <c r="BO97" s="208"/>
      <c r="BP97" s="208"/>
      <c r="BQ97" s="341"/>
      <c r="BR97" s="341"/>
      <c r="BS97" s="341"/>
      <c r="BT97" s="341"/>
      <c r="BU97" s="208"/>
      <c r="BV97" s="208"/>
      <c r="BW97" s="341"/>
      <c r="BX97" s="341"/>
      <c r="BY97" s="341"/>
      <c r="BZ97" s="341"/>
      <c r="CA97" s="208"/>
      <c r="CB97" s="208"/>
      <c r="CC97" s="341"/>
      <c r="CD97" s="341"/>
      <c r="CE97" s="341"/>
      <c r="CF97" s="341"/>
      <c r="CG97" s="209"/>
      <c r="CH97" s="59"/>
      <c r="CI97" s="355"/>
      <c r="CJ97" s="355"/>
      <c r="CK97" s="355"/>
      <c r="CL97" s="355"/>
    </row>
    <row r="98" spans="2:90" ht="58.5" hidden="1" customHeight="1" outlineLevel="1" x14ac:dyDescent="0.2">
      <c r="B98" s="371" t="s">
        <v>410</v>
      </c>
      <c r="C98" s="760" t="s">
        <v>166</v>
      </c>
      <c r="D98" s="221" t="s">
        <v>167</v>
      </c>
      <c r="E98" s="753" t="s">
        <v>411</v>
      </c>
      <c r="F98" s="753"/>
      <c r="G98" s="222">
        <v>2</v>
      </c>
      <c r="H98" s="720">
        <f>SUM(G98:G100)</f>
        <v>6</v>
      </c>
      <c r="I98" s="225"/>
      <c r="J98" s="224"/>
      <c r="K98" s="252"/>
      <c r="L98" s="252"/>
      <c r="M98" s="197" t="s">
        <v>412</v>
      </c>
      <c r="N98" s="720">
        <v>0</v>
      </c>
      <c r="O98" s="257"/>
      <c r="P98" s="224"/>
      <c r="Q98" s="252"/>
      <c r="R98" s="252"/>
      <c r="S98" s="222">
        <v>2</v>
      </c>
      <c r="T98" s="720">
        <f>SUM(S98:S100)</f>
        <v>6</v>
      </c>
      <c r="U98" s="271"/>
      <c r="V98" s="271"/>
      <c r="W98" s="252"/>
      <c r="X98" s="252"/>
      <c r="Y98" s="197" t="s">
        <v>412</v>
      </c>
      <c r="Z98" s="720">
        <f>SUM(Y98:Y100)</f>
        <v>0</v>
      </c>
      <c r="AA98" s="227"/>
      <c r="AB98" s="226"/>
      <c r="AC98" s="253"/>
      <c r="AD98" s="253"/>
      <c r="AE98" s="222">
        <v>2</v>
      </c>
      <c r="AF98" s="720">
        <f>SUM(AE98:AE100)</f>
        <v>6</v>
      </c>
      <c r="AG98" s="224"/>
      <c r="AH98" s="224"/>
      <c r="AI98" s="252"/>
      <c r="AJ98" s="252"/>
      <c r="AK98" s="197" t="s">
        <v>412</v>
      </c>
      <c r="AL98" s="720">
        <v>6</v>
      </c>
      <c r="AM98" s="225"/>
      <c r="AN98" s="224"/>
      <c r="AO98" s="252"/>
      <c r="AP98" s="252"/>
      <c r="AQ98" s="222">
        <v>2</v>
      </c>
      <c r="AR98" s="720">
        <f>SUM(AQ98:AQ100)</f>
        <v>6</v>
      </c>
      <c r="AS98" s="225"/>
      <c r="AT98" s="224"/>
      <c r="AU98" s="252"/>
      <c r="AV98" s="252"/>
      <c r="AW98" s="197" t="s">
        <v>412</v>
      </c>
      <c r="AX98" s="720">
        <v>0</v>
      </c>
      <c r="AY98" s="225"/>
      <c r="AZ98" s="224"/>
      <c r="BA98" s="252"/>
      <c r="BB98" s="252"/>
      <c r="BC98" s="222">
        <v>2</v>
      </c>
      <c r="BD98" s="720">
        <f>SUM(BC98:BC100)</f>
        <v>6</v>
      </c>
      <c r="BE98" s="225"/>
      <c r="BF98" s="224"/>
      <c r="BG98" s="252"/>
      <c r="BH98" s="252"/>
      <c r="BI98" s="197" t="s">
        <v>412</v>
      </c>
      <c r="BJ98" s="720"/>
      <c r="BK98" s="225"/>
      <c r="BL98" s="224"/>
      <c r="BM98" s="252"/>
      <c r="BN98" s="252"/>
      <c r="BO98" s="222"/>
      <c r="BP98" s="720">
        <f>SUM(BO98:BO100)</f>
        <v>0</v>
      </c>
      <c r="BQ98" s="225"/>
      <c r="BR98" s="224"/>
      <c r="BS98" s="252"/>
      <c r="BT98" s="252"/>
      <c r="BU98" s="197" t="s">
        <v>412</v>
      </c>
      <c r="BV98" s="720">
        <f>SUM(BU98:BU100)</f>
        <v>0</v>
      </c>
      <c r="BW98" s="225"/>
      <c r="BX98" s="224"/>
      <c r="BY98" s="252"/>
      <c r="BZ98" s="252"/>
      <c r="CA98" s="222"/>
      <c r="CB98" s="720">
        <f>SUM(CA98:CA100)</f>
        <v>0</v>
      </c>
      <c r="CC98" s="228"/>
      <c r="CD98" s="224"/>
      <c r="CE98" s="252"/>
      <c r="CF98" s="252"/>
      <c r="CG98" s="229"/>
      <c r="CH98" s="788">
        <f>SUM(CG98:CG100)</f>
        <v>0</v>
      </c>
      <c r="CI98" s="144"/>
      <c r="CJ98" s="271"/>
      <c r="CK98" s="159"/>
      <c r="CL98" s="159"/>
    </row>
    <row r="99" spans="2:90" ht="36.75" hidden="1" customHeight="1" outlineLevel="1" x14ac:dyDescent="0.2">
      <c r="B99" s="372" t="s">
        <v>413</v>
      </c>
      <c r="C99" s="761"/>
      <c r="D99" s="207" t="s">
        <v>414</v>
      </c>
      <c r="E99" s="782" t="s">
        <v>415</v>
      </c>
      <c r="F99" s="782"/>
      <c r="G99" s="197">
        <v>2</v>
      </c>
      <c r="H99" s="721"/>
      <c r="I99" s="149"/>
      <c r="J99" s="148"/>
      <c r="K99" s="161"/>
      <c r="L99" s="161"/>
      <c r="M99" s="197" t="s">
        <v>412</v>
      </c>
      <c r="N99" s="721"/>
      <c r="O99" s="203"/>
      <c r="P99" s="148"/>
      <c r="Q99" s="161"/>
      <c r="R99" s="161"/>
      <c r="S99" s="197">
        <v>2</v>
      </c>
      <c r="T99" s="721"/>
      <c r="U99" s="200"/>
      <c r="V99" s="148"/>
      <c r="W99" s="161"/>
      <c r="X99" s="161"/>
      <c r="Y99" s="197" t="s">
        <v>412</v>
      </c>
      <c r="Z99" s="721"/>
      <c r="AA99" s="179"/>
      <c r="AB99" s="167"/>
      <c r="AC99" s="183"/>
      <c r="AD99" s="183"/>
      <c r="AE99" s="197">
        <v>2</v>
      </c>
      <c r="AF99" s="721"/>
      <c r="AG99" s="198"/>
      <c r="AH99" s="148"/>
      <c r="AI99" s="161"/>
      <c r="AJ99" s="161"/>
      <c r="AK99" s="197" t="s">
        <v>412</v>
      </c>
      <c r="AL99" s="721"/>
      <c r="AM99" s="149"/>
      <c r="AN99" s="148"/>
      <c r="AO99" s="161"/>
      <c r="AP99" s="161"/>
      <c r="AQ99" s="197">
        <v>2</v>
      </c>
      <c r="AR99" s="721"/>
      <c r="AS99" s="149"/>
      <c r="AT99" s="148"/>
      <c r="AU99" s="161"/>
      <c r="AV99" s="161"/>
      <c r="AW99" s="197" t="s">
        <v>412</v>
      </c>
      <c r="AX99" s="721"/>
      <c r="AY99" s="149"/>
      <c r="AZ99" s="148"/>
      <c r="BA99" s="161"/>
      <c r="BB99" s="161"/>
      <c r="BC99" s="197">
        <v>2</v>
      </c>
      <c r="BD99" s="721"/>
      <c r="BE99" s="149"/>
      <c r="BF99" s="148"/>
      <c r="BG99" s="161"/>
      <c r="BH99" s="161"/>
      <c r="BI99" s="197" t="s">
        <v>412</v>
      </c>
      <c r="BJ99" s="721"/>
      <c r="BK99" s="149"/>
      <c r="BL99" s="148"/>
      <c r="BM99" s="161"/>
      <c r="BN99" s="161"/>
      <c r="BO99" s="197"/>
      <c r="BP99" s="721"/>
      <c r="BQ99" s="149"/>
      <c r="BR99" s="148"/>
      <c r="BS99" s="161"/>
      <c r="BT99" s="161"/>
      <c r="BU99" s="197" t="s">
        <v>412</v>
      </c>
      <c r="BV99" s="721"/>
      <c r="BW99" s="149"/>
      <c r="BX99" s="148"/>
      <c r="BY99" s="161"/>
      <c r="BZ99" s="161"/>
      <c r="CA99" s="197"/>
      <c r="CB99" s="721"/>
      <c r="CC99" s="179"/>
      <c r="CD99" s="148"/>
      <c r="CE99" s="161"/>
      <c r="CF99" s="161"/>
      <c r="CG99" s="230"/>
      <c r="CH99" s="789"/>
      <c r="CI99" s="147"/>
      <c r="CJ99" s="148"/>
      <c r="CK99" s="161"/>
      <c r="CL99" s="161"/>
    </row>
    <row r="100" spans="2:90" ht="34.5" hidden="1" customHeight="1" outlineLevel="1" x14ac:dyDescent="0.2">
      <c r="B100" s="373" t="s">
        <v>416</v>
      </c>
      <c r="C100" s="762"/>
      <c r="D100" s="254" t="s">
        <v>181</v>
      </c>
      <c r="E100" s="783" t="s">
        <v>182</v>
      </c>
      <c r="F100" s="783"/>
      <c r="G100" s="232">
        <v>2</v>
      </c>
      <c r="H100" s="722"/>
      <c r="I100" s="233"/>
      <c r="J100" s="234"/>
      <c r="K100" s="255"/>
      <c r="L100" s="255"/>
      <c r="M100" s="197" t="s">
        <v>412</v>
      </c>
      <c r="N100" s="722"/>
      <c r="O100" s="259"/>
      <c r="P100" s="437"/>
      <c r="Q100" s="255"/>
      <c r="R100" s="255"/>
      <c r="S100" s="232">
        <v>2</v>
      </c>
      <c r="T100" s="722"/>
      <c r="U100" s="233"/>
      <c r="V100" s="234"/>
      <c r="W100" s="255"/>
      <c r="X100" s="255"/>
      <c r="Y100" s="197" t="s">
        <v>412</v>
      </c>
      <c r="Z100" s="722"/>
      <c r="AA100" s="235"/>
      <c r="AB100" s="236"/>
      <c r="AC100" s="256"/>
      <c r="AD100" s="256"/>
      <c r="AE100" s="232">
        <v>2</v>
      </c>
      <c r="AF100" s="722"/>
      <c r="AG100" s="243"/>
      <c r="AH100" s="234"/>
      <c r="AI100" s="255"/>
      <c r="AJ100" s="255"/>
      <c r="AK100" s="197" t="s">
        <v>412</v>
      </c>
      <c r="AL100" s="722"/>
      <c r="AM100" s="233"/>
      <c r="AN100" s="234"/>
      <c r="AO100" s="255"/>
      <c r="AP100" s="255"/>
      <c r="AQ100" s="232">
        <v>2</v>
      </c>
      <c r="AR100" s="722"/>
      <c r="AS100" s="233"/>
      <c r="AT100" s="234"/>
      <c r="AU100" s="255"/>
      <c r="AV100" s="255"/>
      <c r="AW100" s="197" t="s">
        <v>412</v>
      </c>
      <c r="AX100" s="722"/>
      <c r="AY100" s="233"/>
      <c r="AZ100" s="234"/>
      <c r="BA100" s="255"/>
      <c r="BB100" s="255"/>
      <c r="BC100" s="232">
        <v>2</v>
      </c>
      <c r="BD100" s="722"/>
      <c r="BE100" s="233"/>
      <c r="BF100" s="234"/>
      <c r="BG100" s="255"/>
      <c r="BH100" s="255"/>
      <c r="BI100" s="197" t="s">
        <v>412</v>
      </c>
      <c r="BJ100" s="722"/>
      <c r="BK100" s="233"/>
      <c r="BL100" s="234"/>
      <c r="BM100" s="255"/>
      <c r="BN100" s="255"/>
      <c r="BO100" s="232"/>
      <c r="BP100" s="722"/>
      <c r="BQ100" s="233"/>
      <c r="BR100" s="234"/>
      <c r="BS100" s="255"/>
      <c r="BT100" s="255"/>
      <c r="BU100" s="197" t="s">
        <v>412</v>
      </c>
      <c r="BV100" s="722"/>
      <c r="BW100" s="233"/>
      <c r="BX100" s="234"/>
      <c r="BY100" s="255"/>
      <c r="BZ100" s="255"/>
      <c r="CA100" s="232"/>
      <c r="CB100" s="722"/>
      <c r="CC100" s="235"/>
      <c r="CD100" s="234"/>
      <c r="CE100" s="255"/>
      <c r="CF100" s="255"/>
      <c r="CG100" s="238"/>
      <c r="CH100" s="789"/>
      <c r="CI100" s="147"/>
      <c r="CJ100" s="234"/>
      <c r="CK100" s="161"/>
      <c r="CL100" s="161"/>
    </row>
    <row r="101" spans="2:90" ht="39" hidden="1" customHeight="1" outlineLevel="1" x14ac:dyDescent="0.2">
      <c r="B101" s="374" t="s">
        <v>417</v>
      </c>
      <c r="C101" s="769" t="s">
        <v>202</v>
      </c>
      <c r="D101" s="270" t="s">
        <v>418</v>
      </c>
      <c r="E101" s="747" t="s">
        <v>419</v>
      </c>
      <c r="F101" s="747"/>
      <c r="G101" s="222">
        <v>2</v>
      </c>
      <c r="H101" s="720">
        <f>SUM(G101:G103)</f>
        <v>6</v>
      </c>
      <c r="I101" s="225"/>
      <c r="J101" s="224"/>
      <c r="K101" s="252"/>
      <c r="L101" s="252"/>
      <c r="M101" s="197" t="s">
        <v>412</v>
      </c>
      <c r="N101" s="720">
        <v>0</v>
      </c>
      <c r="O101" s="257"/>
      <c r="P101" s="224"/>
      <c r="Q101" s="252"/>
      <c r="R101" s="252"/>
      <c r="S101" s="222">
        <v>2</v>
      </c>
      <c r="T101" s="720">
        <f>SUM(S101:S103)</f>
        <v>6</v>
      </c>
      <c r="U101" s="225"/>
      <c r="V101" s="224"/>
      <c r="W101" s="252"/>
      <c r="X101" s="252"/>
      <c r="Y101" s="197" t="s">
        <v>412</v>
      </c>
      <c r="Z101" s="720">
        <f>SUM(Y101:Y103)</f>
        <v>0</v>
      </c>
      <c r="AA101" s="227"/>
      <c r="AB101" s="226"/>
      <c r="AC101" s="253"/>
      <c r="AD101" s="253"/>
      <c r="AE101" s="222">
        <v>2</v>
      </c>
      <c r="AF101" s="720">
        <f>SUM(AE101:AE103)</f>
        <v>5</v>
      </c>
      <c r="AG101" s="223"/>
      <c r="AH101" s="224"/>
      <c r="AI101" s="252"/>
      <c r="AJ101" s="252"/>
      <c r="AK101" s="197" t="s">
        <v>412</v>
      </c>
      <c r="AL101" s="720">
        <v>6</v>
      </c>
      <c r="AM101" s="225"/>
      <c r="AN101" s="224"/>
      <c r="AO101" s="252"/>
      <c r="AP101" s="252"/>
      <c r="AQ101" s="222">
        <v>2</v>
      </c>
      <c r="AR101" s="720">
        <f>SUM(AQ101:AQ103)</f>
        <v>6</v>
      </c>
      <c r="AS101" s="225"/>
      <c r="AT101" s="224"/>
      <c r="AU101" s="252"/>
      <c r="AV101" s="252"/>
      <c r="AW101" s="197" t="s">
        <v>412</v>
      </c>
      <c r="AX101" s="720">
        <v>0</v>
      </c>
      <c r="AY101" s="225"/>
      <c r="AZ101" s="224"/>
      <c r="BA101" s="252"/>
      <c r="BB101" s="252"/>
      <c r="BC101" s="222">
        <v>2</v>
      </c>
      <c r="BD101" s="720">
        <f>SUM(BC101:BC103)</f>
        <v>6</v>
      </c>
      <c r="BE101" s="225"/>
      <c r="BF101" s="224"/>
      <c r="BG101" s="252"/>
      <c r="BH101" s="252"/>
      <c r="BI101" s="197" t="s">
        <v>412</v>
      </c>
      <c r="BJ101" s="720"/>
      <c r="BK101" s="225"/>
      <c r="BL101" s="224"/>
      <c r="BM101" s="252"/>
      <c r="BN101" s="252"/>
      <c r="BO101" s="222"/>
      <c r="BP101" s="720">
        <f>SUM(BO101:BO103)</f>
        <v>0</v>
      </c>
      <c r="BQ101" s="225"/>
      <c r="BR101" s="224"/>
      <c r="BS101" s="252"/>
      <c r="BT101" s="252"/>
      <c r="BU101" s="197" t="s">
        <v>412</v>
      </c>
      <c r="BV101" s="720">
        <f>SUM(BU101:BU103)</f>
        <v>0</v>
      </c>
      <c r="BW101" s="225"/>
      <c r="BX101" s="224"/>
      <c r="BY101" s="252"/>
      <c r="BZ101" s="252"/>
      <c r="CA101" s="222"/>
      <c r="CB101" s="720">
        <f>SUM(CA101:CA103)</f>
        <v>0</v>
      </c>
      <c r="CC101" s="227"/>
      <c r="CD101" s="224"/>
      <c r="CE101" s="252"/>
      <c r="CF101" s="252"/>
      <c r="CG101" s="229"/>
      <c r="CH101" s="789">
        <f>SUM(CG101:CG103)</f>
        <v>0</v>
      </c>
      <c r="CI101" s="147"/>
      <c r="CJ101" s="224"/>
      <c r="CK101" s="161"/>
      <c r="CL101" s="161"/>
    </row>
    <row r="102" spans="2:90" ht="60" hidden="1" customHeight="1" outlineLevel="1" x14ac:dyDescent="0.2">
      <c r="B102" s="375" t="s">
        <v>420</v>
      </c>
      <c r="C102" s="770"/>
      <c r="D102" s="210" t="s">
        <v>421</v>
      </c>
      <c r="E102" s="748" t="s">
        <v>422</v>
      </c>
      <c r="F102" s="748"/>
      <c r="G102" s="197">
        <v>2</v>
      </c>
      <c r="H102" s="721"/>
      <c r="I102" s="149"/>
      <c r="J102" s="148"/>
      <c r="K102" s="161"/>
      <c r="L102" s="161"/>
      <c r="M102" s="197" t="s">
        <v>412</v>
      </c>
      <c r="N102" s="721"/>
      <c r="O102" s="203"/>
      <c r="P102" s="148"/>
      <c r="Q102" s="161"/>
      <c r="R102" s="161"/>
      <c r="S102" s="197">
        <v>2</v>
      </c>
      <c r="T102" s="721"/>
      <c r="U102" s="149"/>
      <c r="V102" s="148"/>
      <c r="W102" s="161"/>
      <c r="X102" s="161"/>
      <c r="Y102" s="197" t="s">
        <v>412</v>
      </c>
      <c r="Z102" s="721"/>
      <c r="AA102" s="179"/>
      <c r="AB102" s="167"/>
      <c r="AC102" s="183"/>
      <c r="AD102" s="183"/>
      <c r="AE102" s="197">
        <v>2</v>
      </c>
      <c r="AF102" s="721"/>
      <c r="AG102" s="148"/>
      <c r="AH102" s="148"/>
      <c r="AI102" s="161"/>
      <c r="AJ102" s="161"/>
      <c r="AK102" s="197" t="s">
        <v>412</v>
      </c>
      <c r="AL102" s="721"/>
      <c r="AM102" s="149"/>
      <c r="AN102" s="148"/>
      <c r="AO102" s="161"/>
      <c r="AP102" s="161"/>
      <c r="AQ102" s="197">
        <v>2</v>
      </c>
      <c r="AR102" s="721"/>
      <c r="AS102" s="149"/>
      <c r="AT102" s="148"/>
      <c r="AU102" s="161"/>
      <c r="AV102" s="161"/>
      <c r="AW102" s="197" t="s">
        <v>412</v>
      </c>
      <c r="AX102" s="721"/>
      <c r="AY102" s="149"/>
      <c r="AZ102" s="148"/>
      <c r="BA102" s="161"/>
      <c r="BB102" s="161"/>
      <c r="BC102" s="197">
        <v>2</v>
      </c>
      <c r="BD102" s="721"/>
      <c r="BE102" s="149"/>
      <c r="BF102" s="148"/>
      <c r="BG102" s="161"/>
      <c r="BH102" s="161"/>
      <c r="BI102" s="197" t="s">
        <v>412</v>
      </c>
      <c r="BJ102" s="721"/>
      <c r="BK102" s="149"/>
      <c r="BL102" s="148"/>
      <c r="BM102" s="161"/>
      <c r="BN102" s="161"/>
      <c r="BO102" s="197"/>
      <c r="BP102" s="721"/>
      <c r="BQ102" s="149"/>
      <c r="BR102" s="148"/>
      <c r="BS102" s="161"/>
      <c r="BT102" s="161"/>
      <c r="BU102" s="197" t="s">
        <v>412</v>
      </c>
      <c r="BV102" s="721"/>
      <c r="BW102" s="149"/>
      <c r="BX102" s="148"/>
      <c r="BY102" s="161"/>
      <c r="BZ102" s="161"/>
      <c r="CA102" s="197"/>
      <c r="CB102" s="721"/>
      <c r="CC102" s="179"/>
      <c r="CD102" s="148"/>
      <c r="CE102" s="161"/>
      <c r="CF102" s="161"/>
      <c r="CG102" s="230"/>
      <c r="CH102" s="789"/>
      <c r="CI102" s="147"/>
      <c r="CJ102" s="148"/>
      <c r="CK102" s="161"/>
      <c r="CL102" s="161"/>
    </row>
    <row r="103" spans="2:90" ht="34.5" hidden="1" customHeight="1" outlineLevel="1" x14ac:dyDescent="0.2">
      <c r="B103" s="376" t="s">
        <v>423</v>
      </c>
      <c r="C103" s="771"/>
      <c r="D103" s="272" t="s">
        <v>223</v>
      </c>
      <c r="E103" s="751" t="s">
        <v>424</v>
      </c>
      <c r="F103" s="751"/>
      <c r="G103" s="232">
        <v>2</v>
      </c>
      <c r="H103" s="722"/>
      <c r="I103" s="233"/>
      <c r="J103" s="234"/>
      <c r="K103" s="255"/>
      <c r="L103" s="255"/>
      <c r="M103" s="197" t="s">
        <v>412</v>
      </c>
      <c r="N103" s="722"/>
      <c r="O103" s="259"/>
      <c r="P103" s="234"/>
      <c r="Q103" s="255"/>
      <c r="R103" s="255"/>
      <c r="S103" s="232">
        <v>2</v>
      </c>
      <c r="T103" s="722"/>
      <c r="U103" s="233"/>
      <c r="V103" s="234"/>
      <c r="W103" s="255"/>
      <c r="X103" s="255"/>
      <c r="Y103" s="197" t="s">
        <v>412</v>
      </c>
      <c r="Z103" s="722"/>
      <c r="AA103" s="235"/>
      <c r="AB103" s="236"/>
      <c r="AC103" s="256"/>
      <c r="AD103" s="256"/>
      <c r="AE103" s="232">
        <v>1</v>
      </c>
      <c r="AF103" s="722"/>
      <c r="AG103" s="233" t="s">
        <v>425</v>
      </c>
      <c r="AH103" s="234"/>
      <c r="AI103" s="255"/>
      <c r="AJ103" s="255"/>
      <c r="AK103" s="197" t="s">
        <v>412</v>
      </c>
      <c r="AL103" s="722"/>
      <c r="AM103" s="233"/>
      <c r="AN103" s="234"/>
      <c r="AO103" s="255"/>
      <c r="AP103" s="255"/>
      <c r="AQ103" s="232">
        <v>2</v>
      </c>
      <c r="AR103" s="722"/>
      <c r="AS103" s="233"/>
      <c r="AT103" s="234"/>
      <c r="AU103" s="255"/>
      <c r="AV103" s="255"/>
      <c r="AW103" s="197" t="s">
        <v>412</v>
      </c>
      <c r="AX103" s="722"/>
      <c r="AY103" s="233"/>
      <c r="AZ103" s="234"/>
      <c r="BA103" s="255"/>
      <c r="BB103" s="255"/>
      <c r="BC103" s="232">
        <v>2</v>
      </c>
      <c r="BD103" s="722"/>
      <c r="BE103" s="233"/>
      <c r="BF103" s="234"/>
      <c r="BG103" s="255"/>
      <c r="BH103" s="255"/>
      <c r="BI103" s="197" t="s">
        <v>412</v>
      </c>
      <c r="BJ103" s="722"/>
      <c r="BK103" s="233"/>
      <c r="BL103" s="234"/>
      <c r="BM103" s="255"/>
      <c r="BN103" s="255"/>
      <c r="BO103" s="232"/>
      <c r="BP103" s="722"/>
      <c r="BQ103" s="233"/>
      <c r="BR103" s="234"/>
      <c r="BS103" s="255"/>
      <c r="BT103" s="255"/>
      <c r="BU103" s="197" t="s">
        <v>412</v>
      </c>
      <c r="BV103" s="722"/>
      <c r="BW103" s="233"/>
      <c r="BX103" s="234"/>
      <c r="BY103" s="255"/>
      <c r="BZ103" s="255"/>
      <c r="CA103" s="232"/>
      <c r="CB103" s="722"/>
      <c r="CC103" s="237"/>
      <c r="CD103" s="234"/>
      <c r="CE103" s="255"/>
      <c r="CF103" s="255"/>
      <c r="CG103" s="238"/>
      <c r="CH103" s="790"/>
      <c r="CI103" s="147"/>
      <c r="CJ103" s="234"/>
      <c r="CK103" s="161"/>
      <c r="CL103" s="161"/>
    </row>
    <row r="104" spans="2:90" ht="29.25" hidden="1" customHeight="1" outlineLevel="1" x14ac:dyDescent="0.2">
      <c r="B104" s="377" t="s">
        <v>426</v>
      </c>
      <c r="C104" s="754" t="s">
        <v>227</v>
      </c>
      <c r="D104" s="273" t="s">
        <v>166</v>
      </c>
      <c r="E104" s="752" t="s">
        <v>427</v>
      </c>
      <c r="F104" s="752"/>
      <c r="G104" s="222">
        <v>1</v>
      </c>
      <c r="H104" s="720">
        <f>SUM(G104:G108)</f>
        <v>8</v>
      </c>
      <c r="I104" s="225" t="s">
        <v>428</v>
      </c>
      <c r="J104" s="224"/>
      <c r="K104" s="252"/>
      <c r="L104" s="252"/>
      <c r="M104" s="197" t="s">
        <v>412</v>
      </c>
      <c r="N104" s="720">
        <v>0</v>
      </c>
      <c r="O104" s="257"/>
      <c r="P104" s="224"/>
      <c r="Q104" s="252"/>
      <c r="R104" s="252"/>
      <c r="S104" s="222">
        <v>2</v>
      </c>
      <c r="T104" s="720">
        <f>SUM(S104:S108)</f>
        <v>10</v>
      </c>
      <c r="U104" s="271"/>
      <c r="V104" s="224"/>
      <c r="W104" s="252"/>
      <c r="X104" s="252"/>
      <c r="Y104" s="197" t="s">
        <v>412</v>
      </c>
      <c r="Z104" s="720">
        <f>SUM(Y104:Y108)</f>
        <v>0</v>
      </c>
      <c r="AA104" s="227"/>
      <c r="AB104" s="226"/>
      <c r="AC104" s="253"/>
      <c r="AD104" s="253"/>
      <c r="AE104" s="222">
        <v>2</v>
      </c>
      <c r="AF104" s="720">
        <f>SUM(AE104:AE108)</f>
        <v>9</v>
      </c>
      <c r="AG104" s="225"/>
      <c r="AH104" s="224"/>
      <c r="AI104" s="252"/>
      <c r="AJ104" s="252"/>
      <c r="AK104" s="197" t="s">
        <v>412</v>
      </c>
      <c r="AL104" s="720">
        <v>10</v>
      </c>
      <c r="AM104" s="225"/>
      <c r="AN104" s="224"/>
      <c r="AO104" s="252"/>
      <c r="AP104" s="252"/>
      <c r="AQ104" s="222">
        <v>2</v>
      </c>
      <c r="AR104" s="720">
        <f>SUM(AQ104:AQ108)</f>
        <v>10</v>
      </c>
      <c r="AS104" s="225"/>
      <c r="AT104" s="224"/>
      <c r="AU104" s="252"/>
      <c r="AV104" s="252"/>
      <c r="AW104" s="197" t="s">
        <v>412</v>
      </c>
      <c r="AX104" s="720">
        <f>SUM(AW104:AW108)</f>
        <v>0</v>
      </c>
      <c r="AY104" s="225"/>
      <c r="AZ104" s="224"/>
      <c r="BA104" s="252"/>
      <c r="BB104" s="252"/>
      <c r="BC104" s="222">
        <v>2</v>
      </c>
      <c r="BD104" s="720">
        <f>SUM(BC104:BC108)</f>
        <v>10</v>
      </c>
      <c r="BE104" s="225"/>
      <c r="BF104" s="224"/>
      <c r="BG104" s="252"/>
      <c r="BH104" s="252"/>
      <c r="BI104" s="197" t="s">
        <v>412</v>
      </c>
      <c r="BJ104" s="720"/>
      <c r="BK104" s="225"/>
      <c r="BL104" s="224"/>
      <c r="BM104" s="252"/>
      <c r="BN104" s="252"/>
      <c r="BO104" s="222"/>
      <c r="BP104" s="720">
        <f>SUM(BO104:BO108)</f>
        <v>0</v>
      </c>
      <c r="BQ104" s="225"/>
      <c r="BR104" s="224"/>
      <c r="BS104" s="252"/>
      <c r="BT104" s="252"/>
      <c r="BU104" s="197" t="s">
        <v>412</v>
      </c>
      <c r="BV104" s="720">
        <f>SUM(BU104:BU108)</f>
        <v>0</v>
      </c>
      <c r="BW104" s="225"/>
      <c r="BX104" s="224"/>
      <c r="BY104" s="252"/>
      <c r="BZ104" s="252"/>
      <c r="CA104" s="222"/>
      <c r="CB104" s="720">
        <f>SUM(CA104:CA108)</f>
        <v>0</v>
      </c>
      <c r="CC104" s="228"/>
      <c r="CD104" s="224"/>
      <c r="CE104" s="252"/>
      <c r="CF104" s="252"/>
      <c r="CG104" s="229"/>
      <c r="CH104" s="788">
        <f>SUM(CG104:CG108)</f>
        <v>0</v>
      </c>
      <c r="CI104" s="147"/>
      <c r="CJ104" s="224"/>
      <c r="CK104" s="161"/>
      <c r="CL104" s="161"/>
    </row>
    <row r="105" spans="2:90" ht="36" hidden="1" customHeight="1" outlineLevel="1" x14ac:dyDescent="0.2">
      <c r="B105" s="378" t="s">
        <v>429</v>
      </c>
      <c r="C105" s="755"/>
      <c r="D105" s="217" t="s">
        <v>430</v>
      </c>
      <c r="E105" s="749" t="s">
        <v>431</v>
      </c>
      <c r="F105" s="749"/>
      <c r="G105" s="197">
        <v>1</v>
      </c>
      <c r="H105" s="721"/>
      <c r="I105" s="149" t="s">
        <v>432</v>
      </c>
      <c r="J105" s="148"/>
      <c r="K105" s="161"/>
      <c r="L105" s="161"/>
      <c r="M105" s="197" t="s">
        <v>412</v>
      </c>
      <c r="N105" s="721"/>
      <c r="O105" s="203"/>
      <c r="P105" s="148"/>
      <c r="Q105" s="161"/>
      <c r="R105" s="161"/>
      <c r="S105" s="197">
        <v>2</v>
      </c>
      <c r="T105" s="721"/>
      <c r="U105" s="149"/>
      <c r="V105" s="149"/>
      <c r="W105" s="161"/>
      <c r="X105" s="161"/>
      <c r="Y105" s="197" t="s">
        <v>412</v>
      </c>
      <c r="Z105" s="721"/>
      <c r="AA105" s="179"/>
      <c r="AB105" s="167"/>
      <c r="AC105" s="183"/>
      <c r="AD105" s="183"/>
      <c r="AE105" s="197">
        <v>2</v>
      </c>
      <c r="AF105" s="721"/>
      <c r="AG105" s="149"/>
      <c r="AH105" s="148"/>
      <c r="AI105" s="161"/>
      <c r="AJ105" s="161"/>
      <c r="AK105" s="197" t="s">
        <v>412</v>
      </c>
      <c r="AL105" s="721"/>
      <c r="AM105" s="149"/>
      <c r="AN105" s="148"/>
      <c r="AO105" s="161"/>
      <c r="AP105" s="161"/>
      <c r="AQ105" s="197">
        <v>2</v>
      </c>
      <c r="AR105" s="721"/>
      <c r="AS105" s="149"/>
      <c r="AT105" s="148"/>
      <c r="AU105" s="161"/>
      <c r="AV105" s="161"/>
      <c r="AW105" s="197" t="s">
        <v>412</v>
      </c>
      <c r="AX105" s="721"/>
      <c r="AY105" s="149"/>
      <c r="AZ105" s="148"/>
      <c r="BA105" s="161"/>
      <c r="BB105" s="161"/>
      <c r="BC105" s="197">
        <v>2</v>
      </c>
      <c r="BD105" s="721"/>
      <c r="BE105" s="149"/>
      <c r="BF105" s="148"/>
      <c r="BG105" s="161"/>
      <c r="BH105" s="161"/>
      <c r="BI105" s="197" t="s">
        <v>412</v>
      </c>
      <c r="BJ105" s="721"/>
      <c r="BK105" s="149"/>
      <c r="BL105" s="148"/>
      <c r="BM105" s="161"/>
      <c r="BN105" s="161"/>
      <c r="BO105" s="197"/>
      <c r="BP105" s="721"/>
      <c r="BQ105" s="149"/>
      <c r="BR105" s="148"/>
      <c r="BS105" s="161"/>
      <c r="BT105" s="161"/>
      <c r="BU105" s="197" t="s">
        <v>412</v>
      </c>
      <c r="BV105" s="721"/>
      <c r="BW105" s="149"/>
      <c r="BX105" s="148"/>
      <c r="BY105" s="161"/>
      <c r="BZ105" s="161"/>
      <c r="CA105" s="197"/>
      <c r="CB105" s="721"/>
      <c r="CC105" s="199"/>
      <c r="CD105" s="148"/>
      <c r="CE105" s="161"/>
      <c r="CF105" s="161"/>
      <c r="CG105" s="230"/>
      <c r="CH105" s="789"/>
      <c r="CI105" s="147"/>
      <c r="CJ105" s="148"/>
      <c r="CK105" s="161"/>
      <c r="CL105" s="161"/>
    </row>
    <row r="106" spans="2:90" ht="39.75" hidden="1" customHeight="1" outlineLevel="1" x14ac:dyDescent="0.2">
      <c r="B106" s="378" t="s">
        <v>433</v>
      </c>
      <c r="C106" s="755"/>
      <c r="D106" s="217" t="s">
        <v>434</v>
      </c>
      <c r="E106" s="749" t="s">
        <v>435</v>
      </c>
      <c r="F106" s="749"/>
      <c r="G106" s="197">
        <v>2</v>
      </c>
      <c r="H106" s="721"/>
      <c r="I106" s="149"/>
      <c r="J106" s="148"/>
      <c r="K106" s="161"/>
      <c r="L106" s="161"/>
      <c r="M106" s="197" t="s">
        <v>412</v>
      </c>
      <c r="N106" s="721"/>
      <c r="O106" s="203"/>
      <c r="P106" s="148"/>
      <c r="Q106" s="161"/>
      <c r="R106" s="161"/>
      <c r="S106" s="197">
        <v>2</v>
      </c>
      <c r="T106" s="721"/>
      <c r="U106" s="149"/>
      <c r="V106" s="148"/>
      <c r="W106" s="161"/>
      <c r="X106" s="161"/>
      <c r="Y106" s="197" t="s">
        <v>412</v>
      </c>
      <c r="Z106" s="721"/>
      <c r="AA106" s="179"/>
      <c r="AB106" s="167"/>
      <c r="AC106" s="183"/>
      <c r="AD106" s="183"/>
      <c r="AE106" s="197">
        <v>2</v>
      </c>
      <c r="AF106" s="721"/>
      <c r="AG106" s="198"/>
      <c r="AH106" s="148"/>
      <c r="AI106" s="161"/>
      <c r="AJ106" s="161"/>
      <c r="AK106" s="197" t="s">
        <v>412</v>
      </c>
      <c r="AL106" s="721"/>
      <c r="AM106" s="149"/>
      <c r="AN106" s="148"/>
      <c r="AO106" s="161"/>
      <c r="AP106" s="161"/>
      <c r="AQ106" s="197">
        <v>2</v>
      </c>
      <c r="AR106" s="721"/>
      <c r="AS106" s="149"/>
      <c r="AT106" s="148"/>
      <c r="AU106" s="161"/>
      <c r="AV106" s="161"/>
      <c r="AW106" s="197" t="s">
        <v>412</v>
      </c>
      <c r="AX106" s="721"/>
      <c r="AY106" s="149"/>
      <c r="AZ106" s="148"/>
      <c r="BA106" s="161"/>
      <c r="BB106" s="161"/>
      <c r="BC106" s="197">
        <v>2</v>
      </c>
      <c r="BD106" s="721"/>
      <c r="BE106" s="149"/>
      <c r="BF106" s="148"/>
      <c r="BG106" s="161"/>
      <c r="BH106" s="161"/>
      <c r="BI106" s="197" t="s">
        <v>412</v>
      </c>
      <c r="BJ106" s="721"/>
      <c r="BK106" s="149"/>
      <c r="BL106" s="148"/>
      <c r="BM106" s="161"/>
      <c r="BN106" s="161"/>
      <c r="BO106" s="197"/>
      <c r="BP106" s="721"/>
      <c r="BQ106" s="149"/>
      <c r="BR106" s="148"/>
      <c r="BS106" s="161"/>
      <c r="BT106" s="161"/>
      <c r="BU106" s="197" t="s">
        <v>412</v>
      </c>
      <c r="BV106" s="721"/>
      <c r="BW106" s="149"/>
      <c r="BX106" s="148"/>
      <c r="BY106" s="161"/>
      <c r="BZ106" s="161"/>
      <c r="CA106" s="197"/>
      <c r="CB106" s="721"/>
      <c r="CC106" s="179"/>
      <c r="CD106" s="148"/>
      <c r="CE106" s="161"/>
      <c r="CF106" s="161"/>
      <c r="CG106" s="230"/>
      <c r="CH106" s="789"/>
      <c r="CI106" s="147"/>
      <c r="CJ106" s="148"/>
      <c r="CK106" s="161"/>
      <c r="CL106" s="161"/>
    </row>
    <row r="107" spans="2:90" ht="38.25" hidden="1" outlineLevel="1" x14ac:dyDescent="0.2">
      <c r="B107" s="378" t="s">
        <v>436</v>
      </c>
      <c r="C107" s="755"/>
      <c r="D107" s="216" t="s">
        <v>437</v>
      </c>
      <c r="E107" s="749" t="s">
        <v>236</v>
      </c>
      <c r="F107" s="749"/>
      <c r="G107" s="197">
        <v>2</v>
      </c>
      <c r="H107" s="721"/>
      <c r="I107" s="149"/>
      <c r="J107" s="148"/>
      <c r="K107" s="161"/>
      <c r="L107" s="161"/>
      <c r="M107" s="197" t="s">
        <v>412</v>
      </c>
      <c r="N107" s="721"/>
      <c r="O107" s="203"/>
      <c r="P107" s="148"/>
      <c r="Q107" s="161"/>
      <c r="R107" s="161"/>
      <c r="S107" s="197">
        <v>2</v>
      </c>
      <c r="T107" s="721"/>
      <c r="U107" s="149"/>
      <c r="V107" s="148"/>
      <c r="W107" s="161"/>
      <c r="X107" s="161"/>
      <c r="Y107" s="197" t="s">
        <v>412</v>
      </c>
      <c r="Z107" s="721"/>
      <c r="AA107" s="179"/>
      <c r="AB107" s="167"/>
      <c r="AC107" s="183"/>
      <c r="AD107" s="183"/>
      <c r="AE107" s="197">
        <v>1</v>
      </c>
      <c r="AF107" s="721"/>
      <c r="AG107" s="149" t="s">
        <v>438</v>
      </c>
      <c r="AH107" s="148"/>
      <c r="AI107" s="161"/>
      <c r="AJ107" s="161"/>
      <c r="AK107" s="197" t="s">
        <v>412</v>
      </c>
      <c r="AL107" s="721"/>
      <c r="AM107" s="149"/>
      <c r="AN107" s="148"/>
      <c r="AO107" s="161"/>
      <c r="AP107" s="161"/>
      <c r="AQ107" s="197">
        <v>2</v>
      </c>
      <c r="AR107" s="721"/>
      <c r="AS107" s="149"/>
      <c r="AT107" s="148"/>
      <c r="AU107" s="161"/>
      <c r="AV107" s="161"/>
      <c r="AW107" s="197" t="s">
        <v>412</v>
      </c>
      <c r="AX107" s="721"/>
      <c r="AY107" s="149"/>
      <c r="AZ107" s="148"/>
      <c r="BA107" s="161"/>
      <c r="BB107" s="161"/>
      <c r="BC107" s="197">
        <v>2</v>
      </c>
      <c r="BD107" s="721"/>
      <c r="BE107" s="149"/>
      <c r="BF107" s="148"/>
      <c r="BG107" s="161"/>
      <c r="BH107" s="161"/>
      <c r="BI107" s="197" t="s">
        <v>412</v>
      </c>
      <c r="BJ107" s="721"/>
      <c r="BK107" s="149"/>
      <c r="BL107" s="148"/>
      <c r="BM107" s="161"/>
      <c r="BN107" s="161"/>
      <c r="BO107" s="197"/>
      <c r="BP107" s="721"/>
      <c r="BQ107" s="149"/>
      <c r="BR107" s="148"/>
      <c r="BS107" s="161"/>
      <c r="BT107" s="161"/>
      <c r="BU107" s="197" t="s">
        <v>412</v>
      </c>
      <c r="BV107" s="721"/>
      <c r="BW107" s="149"/>
      <c r="BX107" s="148"/>
      <c r="BY107" s="161"/>
      <c r="BZ107" s="161"/>
      <c r="CA107" s="197"/>
      <c r="CB107" s="721"/>
      <c r="CC107" s="179"/>
      <c r="CD107" s="148"/>
      <c r="CE107" s="161"/>
      <c r="CF107" s="161"/>
      <c r="CG107" s="230"/>
      <c r="CH107" s="789"/>
      <c r="CI107" s="147"/>
      <c r="CJ107" s="148"/>
      <c r="CK107" s="161"/>
      <c r="CL107" s="161"/>
    </row>
    <row r="108" spans="2:90" ht="53.25" hidden="1" customHeight="1" outlineLevel="1" x14ac:dyDescent="0.2">
      <c r="B108" s="383" t="s">
        <v>439</v>
      </c>
      <c r="C108" s="756"/>
      <c r="D108" s="274" t="s">
        <v>209</v>
      </c>
      <c r="E108" s="750" t="s">
        <v>440</v>
      </c>
      <c r="F108" s="750"/>
      <c r="G108" s="232">
        <v>2</v>
      </c>
      <c r="H108" s="722"/>
      <c r="I108" s="233"/>
      <c r="J108" s="234"/>
      <c r="K108" s="255"/>
      <c r="L108" s="255"/>
      <c r="M108" s="197" t="s">
        <v>412</v>
      </c>
      <c r="N108" s="722"/>
      <c r="O108" s="259"/>
      <c r="P108" s="234"/>
      <c r="Q108" s="255"/>
      <c r="R108" s="255"/>
      <c r="S108" s="232">
        <v>2</v>
      </c>
      <c r="T108" s="722"/>
      <c r="U108" s="233"/>
      <c r="V108" s="234"/>
      <c r="W108" s="255"/>
      <c r="X108" s="255"/>
      <c r="Y108" s="197" t="s">
        <v>412</v>
      </c>
      <c r="Z108" s="722"/>
      <c r="AA108" s="235"/>
      <c r="AB108" s="236"/>
      <c r="AC108" s="256"/>
      <c r="AD108" s="256"/>
      <c r="AE108" s="232">
        <v>2</v>
      </c>
      <c r="AF108" s="722"/>
      <c r="AG108" s="233"/>
      <c r="AH108" s="234"/>
      <c r="AI108" s="255"/>
      <c r="AJ108" s="255"/>
      <c r="AK108" s="197" t="s">
        <v>412</v>
      </c>
      <c r="AL108" s="722"/>
      <c r="AM108" s="233"/>
      <c r="AN108" s="234"/>
      <c r="AO108" s="255"/>
      <c r="AP108" s="255"/>
      <c r="AQ108" s="232">
        <v>2</v>
      </c>
      <c r="AR108" s="722"/>
      <c r="AS108" s="233"/>
      <c r="AT108" s="234"/>
      <c r="AU108" s="255"/>
      <c r="AV108" s="255"/>
      <c r="AW108" s="197" t="s">
        <v>412</v>
      </c>
      <c r="AX108" s="722"/>
      <c r="AY108" s="233"/>
      <c r="AZ108" s="234"/>
      <c r="BA108" s="255"/>
      <c r="BB108" s="255"/>
      <c r="BC108" s="232">
        <v>2</v>
      </c>
      <c r="BD108" s="722"/>
      <c r="BE108" s="233"/>
      <c r="BF108" s="234"/>
      <c r="BG108" s="255"/>
      <c r="BH108" s="255"/>
      <c r="BI108" s="197" t="s">
        <v>412</v>
      </c>
      <c r="BJ108" s="722"/>
      <c r="BK108" s="233"/>
      <c r="BL108" s="234"/>
      <c r="BM108" s="255"/>
      <c r="BN108" s="255"/>
      <c r="BO108" s="232"/>
      <c r="BP108" s="722"/>
      <c r="BQ108" s="233"/>
      <c r="BR108" s="234"/>
      <c r="BS108" s="255"/>
      <c r="BT108" s="255"/>
      <c r="BU108" s="197" t="s">
        <v>412</v>
      </c>
      <c r="BV108" s="722"/>
      <c r="BW108" s="233"/>
      <c r="BX108" s="234"/>
      <c r="BY108" s="255"/>
      <c r="BZ108" s="255"/>
      <c r="CA108" s="232"/>
      <c r="CB108" s="722"/>
      <c r="CC108" s="235"/>
      <c r="CD108" s="234"/>
      <c r="CE108" s="255"/>
      <c r="CF108" s="255"/>
      <c r="CG108" s="238"/>
      <c r="CH108" s="790"/>
      <c r="CI108" s="147"/>
      <c r="CJ108" s="148"/>
      <c r="CK108" s="161"/>
      <c r="CL108" s="161"/>
    </row>
    <row r="109" spans="2:90" ht="72" hidden="1" customHeight="1" outlineLevel="1" x14ac:dyDescent="0.2">
      <c r="B109" s="369" t="s">
        <v>441</v>
      </c>
      <c r="C109" s="808" t="s">
        <v>254</v>
      </c>
      <c r="D109" s="249" t="s">
        <v>255</v>
      </c>
      <c r="E109" s="744" t="s">
        <v>356</v>
      </c>
      <c r="F109" s="744"/>
      <c r="G109" s="222">
        <v>2</v>
      </c>
      <c r="H109" s="720">
        <f>SUM(G109:G113)</f>
        <v>10</v>
      </c>
      <c r="I109" s="225"/>
      <c r="J109" s="224"/>
      <c r="K109" s="252"/>
      <c r="L109" s="252"/>
      <c r="M109" s="197" t="s">
        <v>412</v>
      </c>
      <c r="N109" s="720">
        <v>0</v>
      </c>
      <c r="O109" s="257"/>
      <c r="P109" s="224"/>
      <c r="Q109" s="252"/>
      <c r="R109" s="252"/>
      <c r="S109" s="222">
        <v>2</v>
      </c>
      <c r="T109" s="720">
        <f>SUM(S109:S113)</f>
        <v>10</v>
      </c>
      <c r="U109" s="225"/>
      <c r="V109" s="224"/>
      <c r="W109" s="252"/>
      <c r="X109" s="252"/>
      <c r="Y109" s="197" t="s">
        <v>412</v>
      </c>
      <c r="Z109" s="720">
        <f>SUM(Y109:Y113)</f>
        <v>0</v>
      </c>
      <c r="AA109" s="227"/>
      <c r="AB109" s="226"/>
      <c r="AC109" s="253"/>
      <c r="AD109" s="253"/>
      <c r="AE109" s="222">
        <v>2</v>
      </c>
      <c r="AF109" s="720">
        <f>SUM(AE109:AE113)</f>
        <v>10</v>
      </c>
      <c r="AG109" s="225"/>
      <c r="AH109" s="224"/>
      <c r="AI109" s="252"/>
      <c r="AJ109" s="252"/>
      <c r="AK109" s="197" t="s">
        <v>412</v>
      </c>
      <c r="AL109" s="720">
        <v>10</v>
      </c>
      <c r="AM109" s="225"/>
      <c r="AN109" s="224"/>
      <c r="AO109" s="252"/>
      <c r="AP109" s="252"/>
      <c r="AQ109" s="222">
        <v>2</v>
      </c>
      <c r="AR109" s="720">
        <f>SUM(AQ109:AQ113)</f>
        <v>10</v>
      </c>
      <c r="AS109" s="225"/>
      <c r="AT109" s="224"/>
      <c r="AU109" s="252"/>
      <c r="AV109" s="252"/>
      <c r="AW109" s="197" t="s">
        <v>412</v>
      </c>
      <c r="AX109" s="720">
        <f>SUM(AW109:AW113)</f>
        <v>0</v>
      </c>
      <c r="AY109" s="225"/>
      <c r="AZ109" s="224"/>
      <c r="BA109" s="252"/>
      <c r="BB109" s="252"/>
      <c r="BC109" s="222">
        <v>2</v>
      </c>
      <c r="BD109" s="720">
        <f>SUM(BC109:BC113)</f>
        <v>10</v>
      </c>
      <c r="BE109" s="225"/>
      <c r="BF109" s="224"/>
      <c r="BG109" s="252"/>
      <c r="BH109" s="252"/>
      <c r="BI109" s="197" t="s">
        <v>412</v>
      </c>
      <c r="BJ109" s="720">
        <f>SUM(BI109:BI113)</f>
        <v>0</v>
      </c>
      <c r="BK109" s="225"/>
      <c r="BL109" s="224"/>
      <c r="BM109" s="252"/>
      <c r="BN109" s="252"/>
      <c r="BO109" s="222"/>
      <c r="BP109" s="720">
        <f>SUM(BO109:BO113)</f>
        <v>0</v>
      </c>
      <c r="BQ109" s="225"/>
      <c r="BR109" s="224"/>
      <c r="BS109" s="252"/>
      <c r="BT109" s="252"/>
      <c r="BU109" s="197" t="s">
        <v>412</v>
      </c>
      <c r="BV109" s="720">
        <f>SUM(BU109:BU113)</f>
        <v>0</v>
      </c>
      <c r="BW109" s="225"/>
      <c r="BX109" s="224"/>
      <c r="BY109" s="252"/>
      <c r="BZ109" s="252"/>
      <c r="CA109" s="222"/>
      <c r="CB109" s="720">
        <f>SUM(CA109:CA113)</f>
        <v>0</v>
      </c>
      <c r="CC109" s="227"/>
      <c r="CD109" s="224"/>
      <c r="CE109" s="252"/>
      <c r="CF109" s="252"/>
      <c r="CG109" s="229"/>
      <c r="CH109" s="788">
        <f>SUM(CG109:CG113)</f>
        <v>0</v>
      </c>
      <c r="CI109" s="147"/>
      <c r="CJ109" s="148"/>
      <c r="CK109" s="161"/>
      <c r="CL109" s="161"/>
    </row>
    <row r="110" spans="2:90" ht="39.75" hidden="1" customHeight="1" outlineLevel="1" x14ac:dyDescent="0.2">
      <c r="B110" s="370" t="s">
        <v>442</v>
      </c>
      <c r="C110" s="809"/>
      <c r="D110" s="219" t="s">
        <v>258</v>
      </c>
      <c r="E110" s="745" t="s">
        <v>259</v>
      </c>
      <c r="F110" s="745"/>
      <c r="G110" s="197">
        <v>2</v>
      </c>
      <c r="H110" s="721"/>
      <c r="I110" s="149"/>
      <c r="J110" s="148"/>
      <c r="K110" s="161"/>
      <c r="L110" s="161"/>
      <c r="M110" s="197" t="s">
        <v>412</v>
      </c>
      <c r="N110" s="721"/>
      <c r="O110" s="203"/>
      <c r="P110" s="148"/>
      <c r="Q110" s="161"/>
      <c r="R110" s="161"/>
      <c r="S110" s="197">
        <v>2</v>
      </c>
      <c r="T110" s="721"/>
      <c r="U110" s="149"/>
      <c r="V110" s="148"/>
      <c r="W110" s="161"/>
      <c r="X110" s="161"/>
      <c r="Y110" s="197" t="s">
        <v>412</v>
      </c>
      <c r="Z110" s="721"/>
      <c r="AA110" s="179"/>
      <c r="AB110" s="167"/>
      <c r="AC110" s="183"/>
      <c r="AD110" s="183"/>
      <c r="AE110" s="197">
        <v>2</v>
      </c>
      <c r="AF110" s="721"/>
      <c r="AG110" s="149"/>
      <c r="AH110" s="148"/>
      <c r="AI110" s="161"/>
      <c r="AJ110" s="161"/>
      <c r="AK110" s="197" t="s">
        <v>412</v>
      </c>
      <c r="AL110" s="721"/>
      <c r="AM110" s="149"/>
      <c r="AN110" s="148"/>
      <c r="AO110" s="161"/>
      <c r="AP110" s="161"/>
      <c r="AQ110" s="197">
        <v>2</v>
      </c>
      <c r="AR110" s="721"/>
      <c r="AS110" s="149"/>
      <c r="AT110" s="148"/>
      <c r="AU110" s="161"/>
      <c r="AV110" s="161"/>
      <c r="AW110" s="197" t="s">
        <v>412</v>
      </c>
      <c r="AX110" s="721"/>
      <c r="AY110" s="149"/>
      <c r="AZ110" s="148"/>
      <c r="BA110" s="161"/>
      <c r="BB110" s="161"/>
      <c r="BC110" s="197">
        <v>2</v>
      </c>
      <c r="BD110" s="721"/>
      <c r="BE110" s="149"/>
      <c r="BF110" s="148"/>
      <c r="BG110" s="161"/>
      <c r="BH110" s="161"/>
      <c r="BI110" s="197" t="s">
        <v>412</v>
      </c>
      <c r="BJ110" s="721"/>
      <c r="BK110" s="149"/>
      <c r="BL110" s="148"/>
      <c r="BM110" s="161"/>
      <c r="BN110" s="161"/>
      <c r="BO110" s="197"/>
      <c r="BP110" s="721"/>
      <c r="BQ110" s="149"/>
      <c r="BR110" s="148"/>
      <c r="BS110" s="161"/>
      <c r="BT110" s="161"/>
      <c r="BU110" s="197" t="s">
        <v>412</v>
      </c>
      <c r="BV110" s="721"/>
      <c r="BW110" s="149"/>
      <c r="BX110" s="148"/>
      <c r="BY110" s="161"/>
      <c r="BZ110" s="161"/>
      <c r="CA110" s="197"/>
      <c r="CB110" s="721"/>
      <c r="CC110" s="179"/>
      <c r="CD110" s="148"/>
      <c r="CE110" s="161"/>
      <c r="CF110" s="161"/>
      <c r="CG110" s="230"/>
      <c r="CH110" s="789"/>
      <c r="CI110" s="147"/>
      <c r="CJ110" s="148"/>
      <c r="CK110" s="161"/>
      <c r="CL110" s="161"/>
    </row>
    <row r="111" spans="2:90" ht="57" hidden="1" customHeight="1" outlineLevel="1" x14ac:dyDescent="0.2">
      <c r="B111" s="370" t="s">
        <v>443</v>
      </c>
      <c r="C111" s="809"/>
      <c r="D111" s="219" t="s">
        <v>261</v>
      </c>
      <c r="E111" s="745" t="s">
        <v>444</v>
      </c>
      <c r="F111" s="745"/>
      <c r="G111" s="197">
        <v>2</v>
      </c>
      <c r="H111" s="721"/>
      <c r="I111" s="149"/>
      <c r="J111" s="148"/>
      <c r="K111" s="161"/>
      <c r="L111" s="161"/>
      <c r="M111" s="197" t="s">
        <v>412</v>
      </c>
      <c r="N111" s="721"/>
      <c r="O111" s="203"/>
      <c r="P111" s="148"/>
      <c r="Q111" s="161"/>
      <c r="R111" s="161"/>
      <c r="S111" s="197">
        <v>2</v>
      </c>
      <c r="T111" s="721"/>
      <c r="U111" s="149"/>
      <c r="V111" s="148"/>
      <c r="W111" s="161"/>
      <c r="X111" s="161"/>
      <c r="Y111" s="197" t="s">
        <v>412</v>
      </c>
      <c r="Z111" s="721"/>
      <c r="AA111" s="179"/>
      <c r="AB111" s="167"/>
      <c r="AC111" s="183"/>
      <c r="AD111" s="183"/>
      <c r="AE111" s="197">
        <v>2</v>
      </c>
      <c r="AF111" s="721"/>
      <c r="AG111" s="149"/>
      <c r="AH111" s="148"/>
      <c r="AI111" s="161"/>
      <c r="AJ111" s="161"/>
      <c r="AK111" s="197" t="s">
        <v>412</v>
      </c>
      <c r="AL111" s="721"/>
      <c r="AM111" s="149"/>
      <c r="AN111" s="148"/>
      <c r="AO111" s="161"/>
      <c r="AP111" s="161"/>
      <c r="AQ111" s="197">
        <v>2</v>
      </c>
      <c r="AR111" s="721"/>
      <c r="AS111" s="149"/>
      <c r="AT111" s="148"/>
      <c r="AU111" s="161"/>
      <c r="AV111" s="161"/>
      <c r="AW111" s="197" t="s">
        <v>412</v>
      </c>
      <c r="AX111" s="721"/>
      <c r="AY111" s="149"/>
      <c r="AZ111" s="148"/>
      <c r="BA111" s="161"/>
      <c r="BB111" s="161"/>
      <c r="BC111" s="197">
        <v>2</v>
      </c>
      <c r="BD111" s="721"/>
      <c r="BE111" s="149"/>
      <c r="BF111" s="148"/>
      <c r="BG111" s="161"/>
      <c r="BH111" s="161"/>
      <c r="BI111" s="197" t="s">
        <v>412</v>
      </c>
      <c r="BJ111" s="721"/>
      <c r="BK111" s="149"/>
      <c r="BL111" s="148"/>
      <c r="BM111" s="161"/>
      <c r="BN111" s="161"/>
      <c r="BO111" s="197"/>
      <c r="BP111" s="721"/>
      <c r="BQ111" s="149"/>
      <c r="BR111" s="148"/>
      <c r="BS111" s="161"/>
      <c r="BT111" s="161"/>
      <c r="BU111" s="197" t="s">
        <v>412</v>
      </c>
      <c r="BV111" s="721"/>
      <c r="BW111" s="149"/>
      <c r="BX111" s="148"/>
      <c r="BY111" s="161"/>
      <c r="BZ111" s="161"/>
      <c r="CA111" s="197"/>
      <c r="CB111" s="721"/>
      <c r="CC111" s="179"/>
      <c r="CD111" s="148"/>
      <c r="CE111" s="161"/>
      <c r="CF111" s="161"/>
      <c r="CG111" s="230"/>
      <c r="CH111" s="789"/>
      <c r="CI111" s="147"/>
      <c r="CJ111" s="148"/>
      <c r="CK111" s="161"/>
      <c r="CL111" s="161"/>
    </row>
    <row r="112" spans="2:90" ht="15" hidden="1" outlineLevel="1" x14ac:dyDescent="0.2">
      <c r="B112" s="370" t="s">
        <v>445</v>
      </c>
      <c r="C112" s="809"/>
      <c r="D112" s="219" t="s">
        <v>264</v>
      </c>
      <c r="E112" s="745" t="s">
        <v>265</v>
      </c>
      <c r="F112" s="745"/>
      <c r="G112" s="197">
        <v>2</v>
      </c>
      <c r="H112" s="721"/>
      <c r="I112" s="149"/>
      <c r="J112" s="148"/>
      <c r="K112" s="161"/>
      <c r="L112" s="161"/>
      <c r="M112" s="197" t="s">
        <v>412</v>
      </c>
      <c r="N112" s="721"/>
      <c r="O112" s="203"/>
      <c r="P112" s="148"/>
      <c r="Q112" s="161"/>
      <c r="R112" s="161"/>
      <c r="S112" s="197">
        <v>2</v>
      </c>
      <c r="T112" s="721"/>
      <c r="U112" s="149"/>
      <c r="V112" s="148"/>
      <c r="W112" s="161"/>
      <c r="X112" s="161"/>
      <c r="Y112" s="197" t="s">
        <v>412</v>
      </c>
      <c r="Z112" s="721"/>
      <c r="AA112" s="179"/>
      <c r="AB112" s="167"/>
      <c r="AC112" s="183"/>
      <c r="AD112" s="183"/>
      <c r="AE112" s="197">
        <v>2</v>
      </c>
      <c r="AF112" s="721"/>
      <c r="AG112" s="149"/>
      <c r="AH112" s="148"/>
      <c r="AI112" s="161"/>
      <c r="AJ112" s="161"/>
      <c r="AK112" s="197" t="s">
        <v>412</v>
      </c>
      <c r="AL112" s="721"/>
      <c r="AM112" s="149"/>
      <c r="AN112" s="148"/>
      <c r="AO112" s="161"/>
      <c r="AP112" s="161"/>
      <c r="AQ112" s="197">
        <v>2</v>
      </c>
      <c r="AR112" s="721"/>
      <c r="AS112" s="149"/>
      <c r="AT112" s="148"/>
      <c r="AU112" s="161"/>
      <c r="AV112" s="161"/>
      <c r="AW112" s="197" t="s">
        <v>412</v>
      </c>
      <c r="AX112" s="721"/>
      <c r="AY112" s="149"/>
      <c r="AZ112" s="148"/>
      <c r="BA112" s="161"/>
      <c r="BB112" s="161"/>
      <c r="BC112" s="197">
        <v>2</v>
      </c>
      <c r="BD112" s="721"/>
      <c r="BE112" s="149"/>
      <c r="BF112" s="148"/>
      <c r="BG112" s="161"/>
      <c r="BH112" s="161"/>
      <c r="BI112" s="197" t="s">
        <v>412</v>
      </c>
      <c r="BJ112" s="721"/>
      <c r="BK112" s="149"/>
      <c r="BL112" s="148"/>
      <c r="BM112" s="161"/>
      <c r="BN112" s="161"/>
      <c r="BO112" s="197"/>
      <c r="BP112" s="721"/>
      <c r="BQ112" s="149"/>
      <c r="BR112" s="148"/>
      <c r="BS112" s="161"/>
      <c r="BT112" s="161"/>
      <c r="BU112" s="197" t="s">
        <v>412</v>
      </c>
      <c r="BV112" s="721"/>
      <c r="BW112" s="149"/>
      <c r="BX112" s="148"/>
      <c r="BY112" s="161"/>
      <c r="BZ112" s="161"/>
      <c r="CA112" s="197"/>
      <c r="CB112" s="721"/>
      <c r="CC112" s="179"/>
      <c r="CD112" s="148"/>
      <c r="CE112" s="161"/>
      <c r="CF112" s="161"/>
      <c r="CG112" s="230"/>
      <c r="CH112" s="789"/>
      <c r="CI112" s="147"/>
      <c r="CJ112" s="148"/>
      <c r="CK112" s="161"/>
      <c r="CL112" s="161"/>
    </row>
    <row r="113" spans="2:90" ht="39.75" hidden="1" customHeight="1" outlineLevel="1" x14ac:dyDescent="0.2">
      <c r="B113" s="368" t="s">
        <v>446</v>
      </c>
      <c r="C113" s="810"/>
      <c r="D113" s="250" t="s">
        <v>270</v>
      </c>
      <c r="E113" s="746" t="s">
        <v>271</v>
      </c>
      <c r="F113" s="746"/>
      <c r="G113" s="232">
        <v>2</v>
      </c>
      <c r="H113" s="722"/>
      <c r="I113" s="233"/>
      <c r="J113" s="234"/>
      <c r="K113" s="255"/>
      <c r="L113" s="255"/>
      <c r="M113" s="197" t="s">
        <v>412</v>
      </c>
      <c r="N113" s="722"/>
      <c r="O113" s="259"/>
      <c r="P113" s="234"/>
      <c r="Q113" s="255"/>
      <c r="R113" s="255"/>
      <c r="S113" s="232">
        <v>2</v>
      </c>
      <c r="T113" s="722"/>
      <c r="U113" s="233"/>
      <c r="V113" s="234"/>
      <c r="W113" s="255"/>
      <c r="X113" s="255"/>
      <c r="Y113" s="197" t="s">
        <v>412</v>
      </c>
      <c r="Z113" s="722"/>
      <c r="AA113" s="235"/>
      <c r="AB113" s="236"/>
      <c r="AC113" s="256"/>
      <c r="AD113" s="256"/>
      <c r="AE113" s="232">
        <v>2</v>
      </c>
      <c r="AF113" s="722"/>
      <c r="AG113" s="233"/>
      <c r="AH113" s="234"/>
      <c r="AI113" s="255"/>
      <c r="AJ113" s="255"/>
      <c r="AK113" s="197" t="s">
        <v>412</v>
      </c>
      <c r="AL113" s="722"/>
      <c r="AM113" s="233"/>
      <c r="AN113" s="234"/>
      <c r="AO113" s="255"/>
      <c r="AP113" s="255"/>
      <c r="AQ113" s="232">
        <v>2</v>
      </c>
      <c r="AR113" s="722"/>
      <c r="AS113" s="233"/>
      <c r="AT113" s="234"/>
      <c r="AU113" s="255"/>
      <c r="AV113" s="255"/>
      <c r="AW113" s="197" t="s">
        <v>412</v>
      </c>
      <c r="AX113" s="722"/>
      <c r="AY113" s="233"/>
      <c r="AZ113" s="234"/>
      <c r="BA113" s="255"/>
      <c r="BB113" s="255"/>
      <c r="BC113" s="232">
        <v>2</v>
      </c>
      <c r="BD113" s="722"/>
      <c r="BE113" s="233"/>
      <c r="BF113" s="234"/>
      <c r="BG113" s="255"/>
      <c r="BH113" s="255"/>
      <c r="BI113" s="197" t="s">
        <v>412</v>
      </c>
      <c r="BJ113" s="722"/>
      <c r="BK113" s="233"/>
      <c r="BL113" s="234"/>
      <c r="BM113" s="255"/>
      <c r="BN113" s="255"/>
      <c r="BO113" s="232"/>
      <c r="BP113" s="722"/>
      <c r="BQ113" s="233"/>
      <c r="BR113" s="234"/>
      <c r="BS113" s="255"/>
      <c r="BT113" s="255"/>
      <c r="BU113" s="197" t="s">
        <v>412</v>
      </c>
      <c r="BV113" s="722"/>
      <c r="BW113" s="233"/>
      <c r="BX113" s="234"/>
      <c r="BY113" s="255"/>
      <c r="BZ113" s="255"/>
      <c r="CA113" s="232"/>
      <c r="CB113" s="722"/>
      <c r="CC113" s="235"/>
      <c r="CD113" s="234"/>
      <c r="CE113" s="255"/>
      <c r="CF113" s="255"/>
      <c r="CG113" s="238"/>
      <c r="CH113" s="790"/>
      <c r="CI113" s="150"/>
      <c r="CJ113" s="151"/>
      <c r="CK113" s="163"/>
      <c r="CL113" s="163"/>
    </row>
    <row r="114" spans="2:90" ht="33" hidden="1" customHeight="1" outlineLevel="1" x14ac:dyDescent="0.2">
      <c r="B114" s="380"/>
      <c r="C114" s="779" t="s">
        <v>272</v>
      </c>
      <c r="D114" s="264" t="s">
        <v>273</v>
      </c>
      <c r="E114" s="781" t="s">
        <v>274</v>
      </c>
      <c r="F114" s="781"/>
      <c r="G114" s="246">
        <v>2</v>
      </c>
      <c r="H114" s="732">
        <f>SUM(G114:G116)</f>
        <v>6</v>
      </c>
      <c r="I114" s="194"/>
      <c r="J114" s="193"/>
      <c r="K114" s="194"/>
      <c r="L114" s="194"/>
      <c r="M114" s="197" t="s">
        <v>412</v>
      </c>
      <c r="N114" s="732">
        <v>0</v>
      </c>
      <c r="O114" s="194"/>
      <c r="P114" s="193"/>
      <c r="Q114" s="194"/>
      <c r="R114" s="194"/>
      <c r="S114" s="220">
        <v>2</v>
      </c>
      <c r="T114" s="732">
        <f>SUM(S114:S116)</f>
        <v>6</v>
      </c>
      <c r="U114" s="194"/>
      <c r="V114" s="193"/>
      <c r="W114" s="194"/>
      <c r="X114" s="194"/>
      <c r="Y114" s="197" t="s">
        <v>412</v>
      </c>
      <c r="Z114" s="732">
        <f>SUM(Y114:Y116)</f>
        <v>0</v>
      </c>
      <c r="AA114" s="194"/>
      <c r="AB114" s="194"/>
      <c r="AC114" s="194"/>
      <c r="AD114" s="194"/>
      <c r="AE114" s="220">
        <v>2</v>
      </c>
      <c r="AF114" s="732">
        <f>SUM(AE114:AE116)</f>
        <v>6</v>
      </c>
      <c r="AG114" s="194"/>
      <c r="AH114" s="193"/>
      <c r="AI114" s="194"/>
      <c r="AJ114" s="194"/>
      <c r="AK114" s="197" t="s">
        <v>412</v>
      </c>
      <c r="AL114" s="732">
        <v>6</v>
      </c>
      <c r="AM114" s="194"/>
      <c r="AN114" s="194"/>
      <c r="AO114" s="194"/>
      <c r="AP114" s="194"/>
      <c r="AQ114" s="220">
        <v>2</v>
      </c>
      <c r="AR114" s="726">
        <f>SUM(AQ114:AQ116)</f>
        <v>6</v>
      </c>
      <c r="AS114" s="194"/>
      <c r="AT114" s="194"/>
      <c r="AU114" s="194"/>
      <c r="AV114" s="194"/>
      <c r="AW114" s="197" t="s">
        <v>412</v>
      </c>
      <c r="AX114" s="786">
        <f>SUM(AW114:AW116)</f>
        <v>0</v>
      </c>
      <c r="AY114" s="155"/>
      <c r="AZ114" s="155"/>
      <c r="BA114" s="155"/>
      <c r="BB114" s="155"/>
      <c r="BC114" s="220">
        <v>2</v>
      </c>
      <c r="BD114" s="726">
        <f>SUM(BC114:BC116)</f>
        <v>6</v>
      </c>
      <c r="BE114" s="155"/>
      <c r="BF114" s="155"/>
      <c r="BG114" s="155"/>
      <c r="BH114" s="155"/>
      <c r="BI114" s="197" t="s">
        <v>412</v>
      </c>
      <c r="BJ114" s="734">
        <f>SUM(BI114:BI116)</f>
        <v>0</v>
      </c>
      <c r="BK114" s="155"/>
      <c r="BL114" s="155"/>
      <c r="BM114" s="155"/>
      <c r="BN114" s="155"/>
      <c r="BO114" s="220"/>
      <c r="BP114" s="726">
        <f>SUM(BO114:BO116)</f>
        <v>0</v>
      </c>
      <c r="BQ114" s="155"/>
      <c r="BR114" s="155"/>
      <c r="BS114" s="155"/>
      <c r="BT114" s="155"/>
      <c r="BU114" s="197" t="s">
        <v>412</v>
      </c>
      <c r="BV114" s="734">
        <f>SUM(BU114:BU116)</f>
        <v>0</v>
      </c>
      <c r="BW114" s="155"/>
      <c r="BX114" s="155"/>
      <c r="BY114" s="155"/>
      <c r="BZ114" s="155"/>
      <c r="CA114" s="220"/>
      <c r="CB114" s="728">
        <f>SUM(CA114:CA116)</f>
        <v>0</v>
      </c>
      <c r="CC114" s="353"/>
      <c r="CD114" s="351"/>
      <c r="CE114" s="351"/>
      <c r="CF114" s="351"/>
      <c r="CG114" s="220"/>
      <c r="CH114" s="773">
        <f>SUM(CG114:CG116)</f>
        <v>0</v>
      </c>
      <c r="CI114" s="153"/>
      <c r="CJ114" s="154"/>
      <c r="CK114" s="155"/>
      <c r="CL114" s="155"/>
    </row>
    <row r="115" spans="2:90" ht="24.75" hidden="1" customHeight="1" outlineLevel="1" x14ac:dyDescent="0.2">
      <c r="B115" s="381"/>
      <c r="C115" s="780"/>
      <c r="D115" s="204" t="s">
        <v>209</v>
      </c>
      <c r="E115" s="772" t="s">
        <v>406</v>
      </c>
      <c r="F115" s="772"/>
      <c r="G115" s="202">
        <v>2</v>
      </c>
      <c r="H115" s="733"/>
      <c r="I115" s="155"/>
      <c r="J115" s="154"/>
      <c r="K115" s="155"/>
      <c r="L115" s="155"/>
      <c r="M115" s="197" t="s">
        <v>412</v>
      </c>
      <c r="N115" s="733"/>
      <c r="O115" s="155"/>
      <c r="P115" s="154"/>
      <c r="Q115" s="155"/>
      <c r="R115" s="155"/>
      <c r="S115" s="197">
        <v>2</v>
      </c>
      <c r="T115" s="733"/>
      <c r="U115" s="155"/>
      <c r="V115" s="154"/>
      <c r="W115" s="155"/>
      <c r="X115" s="155"/>
      <c r="Y115" s="197" t="s">
        <v>412</v>
      </c>
      <c r="Z115" s="733"/>
      <c r="AA115" s="194"/>
      <c r="AB115" s="194"/>
      <c r="AC115" s="194"/>
      <c r="AD115" s="194"/>
      <c r="AE115" s="197">
        <v>2</v>
      </c>
      <c r="AF115" s="733"/>
      <c r="AG115" s="155"/>
      <c r="AH115" s="154"/>
      <c r="AI115" s="155"/>
      <c r="AJ115" s="155"/>
      <c r="AK115" s="197" t="s">
        <v>412</v>
      </c>
      <c r="AL115" s="733"/>
      <c r="AM115" s="194"/>
      <c r="AN115" s="194"/>
      <c r="AO115" s="194"/>
      <c r="AP115" s="194"/>
      <c r="AQ115" s="197">
        <v>2</v>
      </c>
      <c r="AR115" s="727"/>
      <c r="AS115" s="194"/>
      <c r="AT115" s="194"/>
      <c r="AU115" s="194"/>
      <c r="AV115" s="194"/>
      <c r="AW115" s="197" t="s">
        <v>412</v>
      </c>
      <c r="AX115" s="787"/>
      <c r="AY115" s="155"/>
      <c r="AZ115" s="155"/>
      <c r="BA115" s="155"/>
      <c r="BB115" s="155"/>
      <c r="BC115" s="197">
        <v>2</v>
      </c>
      <c r="BD115" s="727"/>
      <c r="BE115" s="155"/>
      <c r="BF115" s="155"/>
      <c r="BG115" s="155"/>
      <c r="BH115" s="155"/>
      <c r="BI115" s="197" t="s">
        <v>412</v>
      </c>
      <c r="BJ115" s="735"/>
      <c r="BK115" s="155"/>
      <c r="BL115" s="155"/>
      <c r="BM115" s="155"/>
      <c r="BN115" s="155"/>
      <c r="BO115" s="197"/>
      <c r="BP115" s="727"/>
      <c r="BQ115" s="155"/>
      <c r="BR115" s="155"/>
      <c r="BS115" s="155"/>
      <c r="BT115" s="155"/>
      <c r="BU115" s="197" t="s">
        <v>412</v>
      </c>
      <c r="BV115" s="735"/>
      <c r="BW115" s="155"/>
      <c r="BX115" s="155"/>
      <c r="BY115" s="155"/>
      <c r="BZ115" s="155"/>
      <c r="CA115" s="197"/>
      <c r="CB115" s="847"/>
      <c r="CC115" s="354"/>
      <c r="CD115" s="352"/>
      <c r="CE115" s="352"/>
      <c r="CF115" s="352"/>
      <c r="CG115" s="197"/>
      <c r="CH115" s="774"/>
      <c r="CI115" s="153"/>
      <c r="CJ115" s="154"/>
      <c r="CK115" s="155"/>
      <c r="CL115" s="155"/>
    </row>
    <row r="116" spans="2:90" ht="28.5" hidden="1" customHeight="1" outlineLevel="1" x14ac:dyDescent="0.2">
      <c r="B116" s="381"/>
      <c r="C116" s="780"/>
      <c r="D116" s="204" t="s">
        <v>281</v>
      </c>
      <c r="E116" s="772" t="s">
        <v>361</v>
      </c>
      <c r="F116" s="772"/>
      <c r="G116" s="202">
        <v>2</v>
      </c>
      <c r="H116" s="733"/>
      <c r="I116" s="155"/>
      <c r="J116" s="154"/>
      <c r="K116" s="340"/>
      <c r="L116" s="155"/>
      <c r="M116" s="197" t="s">
        <v>412</v>
      </c>
      <c r="N116" s="733"/>
      <c r="O116" s="155"/>
      <c r="P116" s="154"/>
      <c r="Q116" s="340"/>
      <c r="R116" s="155"/>
      <c r="S116" s="197">
        <v>2</v>
      </c>
      <c r="T116" s="733"/>
      <c r="U116" s="155"/>
      <c r="V116" s="154"/>
      <c r="W116" s="340"/>
      <c r="X116" s="155"/>
      <c r="Y116" s="197" t="s">
        <v>412</v>
      </c>
      <c r="Z116" s="733"/>
      <c r="AA116" s="194"/>
      <c r="AB116" s="194"/>
      <c r="AC116" s="194"/>
      <c r="AD116" s="194"/>
      <c r="AE116" s="197">
        <v>2</v>
      </c>
      <c r="AF116" s="733"/>
      <c r="AG116" s="155"/>
      <c r="AH116" s="154"/>
      <c r="AI116" s="340"/>
      <c r="AJ116" s="155"/>
      <c r="AK116" s="197" t="s">
        <v>412</v>
      </c>
      <c r="AL116" s="733"/>
      <c r="AM116" s="194"/>
      <c r="AN116" s="194"/>
      <c r="AO116" s="194"/>
      <c r="AP116" s="194"/>
      <c r="AQ116" s="197">
        <v>2</v>
      </c>
      <c r="AR116" s="728"/>
      <c r="AS116" s="194"/>
      <c r="AT116" s="194"/>
      <c r="AU116" s="194"/>
      <c r="AV116" s="194"/>
      <c r="AW116" s="197" t="s">
        <v>412</v>
      </c>
      <c r="AX116" s="732"/>
      <c r="AY116" s="155"/>
      <c r="AZ116" s="155"/>
      <c r="BA116" s="155"/>
      <c r="BB116" s="155"/>
      <c r="BC116" s="197">
        <v>2</v>
      </c>
      <c r="BD116" s="728"/>
      <c r="BE116" s="155"/>
      <c r="BF116" s="155"/>
      <c r="BG116" s="155"/>
      <c r="BH116" s="155"/>
      <c r="BI116" s="197" t="s">
        <v>412</v>
      </c>
      <c r="BJ116" s="736"/>
      <c r="BK116" s="155"/>
      <c r="BL116" s="155"/>
      <c r="BM116" s="155"/>
      <c r="BN116" s="155"/>
      <c r="BO116" s="197"/>
      <c r="BP116" s="728"/>
      <c r="BQ116" s="155"/>
      <c r="BR116" s="155"/>
      <c r="BS116" s="155"/>
      <c r="BT116" s="155"/>
      <c r="BU116" s="197" t="s">
        <v>412</v>
      </c>
      <c r="BV116" s="736"/>
      <c r="BW116" s="155"/>
      <c r="BX116" s="155"/>
      <c r="BY116" s="155"/>
      <c r="BZ116" s="155"/>
      <c r="CA116" s="197"/>
      <c r="CB116" s="847"/>
      <c r="CC116" s="354"/>
      <c r="CD116" s="352"/>
      <c r="CE116" s="352"/>
      <c r="CF116" s="352"/>
      <c r="CG116" s="197"/>
      <c r="CH116" s="774"/>
      <c r="CI116" s="153"/>
      <c r="CJ116" s="154"/>
      <c r="CK116" s="356"/>
      <c r="CL116" s="155"/>
    </row>
    <row r="117" spans="2:90" x14ac:dyDescent="0.2">
      <c r="B117" s="385" t="s">
        <v>447</v>
      </c>
      <c r="C117" s="208"/>
      <c r="D117" s="208"/>
      <c r="E117" s="208"/>
      <c r="F117" s="208"/>
      <c r="G117" s="208"/>
      <c r="H117" s="208"/>
      <c r="I117" s="341"/>
      <c r="J117" s="341"/>
      <c r="K117" s="341"/>
      <c r="L117" s="341"/>
      <c r="M117" s="208"/>
      <c r="N117" s="208"/>
      <c r="O117" s="341"/>
      <c r="P117" s="341"/>
      <c r="Q117" s="341"/>
      <c r="R117" s="341"/>
      <c r="S117" s="208"/>
      <c r="T117" s="208"/>
      <c r="U117" s="341"/>
      <c r="V117" s="341"/>
      <c r="W117" s="341"/>
      <c r="X117" s="341"/>
      <c r="Y117" s="208"/>
      <c r="Z117" s="208"/>
      <c r="AA117" s="341"/>
      <c r="AB117" s="341"/>
      <c r="AC117" s="341"/>
      <c r="AD117" s="341"/>
      <c r="AE117" s="208"/>
      <c r="AF117" s="208"/>
      <c r="AG117" s="341"/>
      <c r="AH117" s="341"/>
      <c r="AI117" s="341"/>
      <c r="AJ117" s="341"/>
      <c r="AK117" s="208"/>
      <c r="AL117" s="208"/>
      <c r="AM117" s="341"/>
      <c r="AN117" s="341"/>
      <c r="AO117" s="341"/>
      <c r="AP117" s="341"/>
      <c r="AQ117" s="208"/>
      <c r="AR117" s="208"/>
      <c r="AS117" s="341"/>
      <c r="AT117" s="341"/>
      <c r="AU117" s="341"/>
      <c r="AV117" s="341"/>
      <c r="AW117" s="208"/>
      <c r="AX117" s="208"/>
      <c r="AY117" s="341"/>
      <c r="AZ117" s="341"/>
      <c r="BA117" s="341"/>
      <c r="BB117" s="341"/>
      <c r="BC117" s="208"/>
      <c r="BD117" s="208"/>
      <c r="BE117" s="341"/>
      <c r="BF117" s="341"/>
      <c r="BG117" s="341"/>
      <c r="BH117" s="341"/>
      <c r="BI117" s="208"/>
      <c r="BJ117" s="208"/>
      <c r="BK117" s="341"/>
      <c r="BL117" s="341"/>
      <c r="BM117" s="341"/>
      <c r="BN117" s="341"/>
      <c r="BO117" s="208"/>
      <c r="BP117" s="208"/>
      <c r="BQ117" s="341"/>
      <c r="BR117" s="341"/>
      <c r="BS117" s="341"/>
      <c r="BT117" s="341"/>
      <c r="BU117" s="208"/>
      <c r="BV117" s="208"/>
      <c r="BW117" s="341"/>
      <c r="BX117" s="341"/>
      <c r="BY117" s="341"/>
      <c r="BZ117" s="341"/>
      <c r="CA117" s="208"/>
      <c r="CB117" s="208"/>
      <c r="CC117" s="341"/>
      <c r="CD117" s="341"/>
      <c r="CE117" s="341"/>
      <c r="CF117" s="341"/>
      <c r="CG117" s="209"/>
      <c r="CH117" s="59"/>
      <c r="CI117" s="355"/>
      <c r="CJ117" s="355"/>
      <c r="CK117" s="355"/>
      <c r="CL117" s="355"/>
    </row>
    <row r="118" spans="2:90" ht="71.25" customHeight="1" outlineLevel="1" x14ac:dyDescent="0.25">
      <c r="B118" s="371" t="s">
        <v>448</v>
      </c>
      <c r="C118" s="760" t="s">
        <v>166</v>
      </c>
      <c r="D118" s="221" t="s">
        <v>167</v>
      </c>
      <c r="E118" s="753" t="s">
        <v>285</v>
      </c>
      <c r="F118" s="753"/>
      <c r="G118" s="222">
        <v>2</v>
      </c>
      <c r="H118" s="720">
        <f>SUM(G118:G122)</f>
        <v>9</v>
      </c>
      <c r="I118" s="223"/>
      <c r="J118" s="224"/>
      <c r="K118" s="345"/>
      <c r="L118" s="252"/>
      <c r="M118" s="222">
        <v>1</v>
      </c>
      <c r="N118" s="720">
        <f>SUM(M118:M122)</f>
        <v>8</v>
      </c>
      <c r="O118" s="438" t="s">
        <v>449</v>
      </c>
      <c r="P118" s="347"/>
      <c r="Q118" s="226"/>
      <c r="R118" s="252"/>
      <c r="S118" s="222">
        <v>2</v>
      </c>
      <c r="T118" s="720">
        <f>SUM(S118:S122)</f>
        <v>9</v>
      </c>
      <c r="U118" s="223"/>
      <c r="V118" s="224"/>
      <c r="W118" s="252"/>
      <c r="X118" s="252"/>
      <c r="Y118" s="222">
        <v>2</v>
      </c>
      <c r="Z118" s="720">
        <f>SUM(Y118:Y122)</f>
        <v>10</v>
      </c>
      <c r="AA118" s="223"/>
      <c r="AB118" s="226"/>
      <c r="AC118" s="253"/>
      <c r="AD118" s="253"/>
      <c r="AE118" s="222">
        <v>2</v>
      </c>
      <c r="AF118" s="720">
        <f ca="1">SUM(AE118:AF122)</f>
        <v>0</v>
      </c>
      <c r="AG118" s="223"/>
      <c r="AH118" s="224"/>
      <c r="AI118" s="252"/>
      <c r="AJ118" s="252"/>
      <c r="AK118" s="222">
        <v>2</v>
      </c>
      <c r="AL118" s="720">
        <v>8</v>
      </c>
      <c r="AM118" s="225"/>
      <c r="AN118" s="224"/>
      <c r="AO118" s="252"/>
      <c r="AP118" s="252"/>
      <c r="AQ118" s="222">
        <v>2</v>
      </c>
      <c r="AR118" s="720">
        <f>SUM(AQ118:AQ122)</f>
        <v>9</v>
      </c>
      <c r="AS118" s="225"/>
      <c r="AU118" s="252"/>
      <c r="AV118" s="252"/>
      <c r="AW118" s="222">
        <v>1</v>
      </c>
      <c r="AX118" s="720">
        <f>SUM(AW118:AW122)</f>
        <v>7</v>
      </c>
      <c r="AY118" s="225"/>
      <c r="AZ118" s="225" t="s">
        <v>450</v>
      </c>
      <c r="BA118" s="252"/>
      <c r="BB118" s="252"/>
      <c r="BC118" s="222">
        <v>2</v>
      </c>
      <c r="BD118" s="720">
        <f>SUM(BC118:BC122)</f>
        <v>10</v>
      </c>
      <c r="BE118" s="738"/>
      <c r="BF118" s="739"/>
      <c r="BG118" s="739"/>
      <c r="BH118" s="740"/>
      <c r="BI118" s="222">
        <v>2</v>
      </c>
      <c r="BJ118" s="720">
        <f>SUM(BI118:BI122)</f>
        <v>9</v>
      </c>
      <c r="BK118" s="225"/>
      <c r="BL118" s="224"/>
      <c r="BM118" s="252"/>
      <c r="BN118" s="252"/>
      <c r="BO118" s="222"/>
      <c r="BP118" s="720">
        <v>9</v>
      </c>
      <c r="BQ118" s="225"/>
      <c r="BR118" s="224"/>
      <c r="BS118" s="252"/>
      <c r="BT118" s="252"/>
      <c r="BU118" s="222"/>
      <c r="BV118" s="720">
        <v>8</v>
      </c>
      <c r="BW118" s="227"/>
      <c r="BX118" s="224"/>
      <c r="BY118" s="252"/>
      <c r="BZ118" s="252"/>
      <c r="CA118" s="222"/>
      <c r="CB118" s="720">
        <f>SUM(CA118:CA122)</f>
        <v>0</v>
      </c>
      <c r="CC118" s="228"/>
      <c r="CD118" s="161"/>
      <c r="CE118" s="253"/>
      <c r="CF118" s="252"/>
      <c r="CG118" s="229"/>
      <c r="CH118" s="788">
        <f>SUM(CG118:CG122)</f>
        <v>0</v>
      </c>
      <c r="CI118" s="144"/>
      <c r="CJ118" s="145"/>
      <c r="CK118" s="159"/>
      <c r="CL118" s="159"/>
    </row>
    <row r="119" spans="2:90" ht="64.5" customHeight="1" outlineLevel="1" x14ac:dyDescent="0.2">
      <c r="B119" s="372" t="s">
        <v>451</v>
      </c>
      <c r="C119" s="761"/>
      <c r="D119" s="207" t="s">
        <v>175</v>
      </c>
      <c r="E119" s="782" t="s">
        <v>368</v>
      </c>
      <c r="F119" s="782"/>
      <c r="G119" s="197">
        <v>2</v>
      </c>
      <c r="H119" s="721"/>
      <c r="I119" s="198"/>
      <c r="J119" s="148"/>
      <c r="K119" s="161"/>
      <c r="L119" s="161"/>
      <c r="M119" s="197">
        <v>2</v>
      </c>
      <c r="N119" s="721"/>
      <c r="O119" s="198"/>
      <c r="P119" s="348"/>
      <c r="Q119" s="348"/>
      <c r="R119" s="161"/>
      <c r="S119" s="197">
        <v>2</v>
      </c>
      <c r="T119" s="721"/>
      <c r="U119" s="198"/>
      <c r="V119" s="148"/>
      <c r="W119" s="161"/>
      <c r="X119" s="161"/>
      <c r="Y119" s="197">
        <v>2</v>
      </c>
      <c r="Z119" s="721"/>
      <c r="AA119" s="198"/>
      <c r="AB119" s="167"/>
      <c r="AC119" s="183"/>
      <c r="AD119" s="183"/>
      <c r="AE119" s="197">
        <v>2</v>
      </c>
      <c r="AF119" s="721"/>
      <c r="AG119" s="198"/>
      <c r="AH119" s="148"/>
      <c r="AI119" s="161"/>
      <c r="AJ119" s="161"/>
      <c r="AK119" s="197">
        <v>1</v>
      </c>
      <c r="AL119" s="721"/>
      <c r="AM119" s="149" t="s">
        <v>452</v>
      </c>
      <c r="AN119" s="148"/>
      <c r="AO119" s="161"/>
      <c r="AP119" s="161"/>
      <c r="AQ119" s="197">
        <v>1</v>
      </c>
      <c r="AR119" s="721"/>
      <c r="AS119" s="149"/>
      <c r="AT119" s="148" t="s">
        <v>453</v>
      </c>
      <c r="AU119" s="161"/>
      <c r="AV119" s="161"/>
      <c r="AW119" s="197">
        <v>2</v>
      </c>
      <c r="AX119" s="721"/>
      <c r="AY119" s="149"/>
      <c r="AZ119" s="148"/>
      <c r="BA119" s="161"/>
      <c r="BB119" s="161"/>
      <c r="BC119" s="197">
        <v>2</v>
      </c>
      <c r="BD119" s="721"/>
      <c r="BE119" s="149"/>
      <c r="BF119" s="148"/>
      <c r="BG119" s="161"/>
      <c r="BH119" s="161"/>
      <c r="BI119" s="197">
        <v>2</v>
      </c>
      <c r="BJ119" s="721"/>
      <c r="BK119" s="149"/>
      <c r="BL119" s="148"/>
      <c r="BM119" s="161"/>
      <c r="BN119" s="161"/>
      <c r="BO119" s="197"/>
      <c r="BP119" s="721"/>
      <c r="BQ119" s="149"/>
      <c r="BR119" s="148"/>
      <c r="BS119" s="161"/>
      <c r="BT119" s="161"/>
      <c r="BU119" s="197"/>
      <c r="BV119" s="721"/>
      <c r="BW119" s="149"/>
      <c r="BX119" s="148"/>
      <c r="BY119" s="161"/>
      <c r="BZ119" s="161"/>
      <c r="CA119" s="197"/>
      <c r="CB119" s="721"/>
      <c r="CC119" s="199"/>
      <c r="CD119" s="161"/>
      <c r="CE119" s="161"/>
      <c r="CF119" s="161"/>
      <c r="CG119" s="230"/>
      <c r="CH119" s="789"/>
      <c r="CI119" s="147"/>
      <c r="CJ119" s="148"/>
      <c r="CK119" s="161"/>
      <c r="CL119" s="161"/>
    </row>
    <row r="120" spans="2:90" ht="36" outlineLevel="1" x14ac:dyDescent="0.25">
      <c r="B120" s="372" t="s">
        <v>454</v>
      </c>
      <c r="C120" s="761"/>
      <c r="D120" s="207" t="s">
        <v>261</v>
      </c>
      <c r="E120" s="782" t="s">
        <v>455</v>
      </c>
      <c r="F120" s="782"/>
      <c r="G120" s="197">
        <v>1</v>
      </c>
      <c r="H120" s="721"/>
      <c r="I120" s="465" t="s">
        <v>456</v>
      </c>
      <c r="J120" s="148"/>
      <c r="K120" s="161"/>
      <c r="L120" s="161"/>
      <c r="M120" s="197">
        <v>1</v>
      </c>
      <c r="N120" s="721"/>
      <c r="O120" s="438" t="s">
        <v>457</v>
      </c>
      <c r="P120" s="167"/>
      <c r="Q120" s="348"/>
      <c r="R120" s="161"/>
      <c r="S120" s="197">
        <v>2</v>
      </c>
      <c r="T120" s="721"/>
      <c r="U120" s="149"/>
      <c r="V120" s="148"/>
      <c r="W120" s="161"/>
      <c r="X120" s="161"/>
      <c r="Y120" s="197">
        <v>2</v>
      </c>
      <c r="Z120" s="721"/>
      <c r="AA120" s="179"/>
      <c r="AB120" s="167"/>
      <c r="AC120" s="183"/>
      <c r="AD120" s="183"/>
      <c r="AE120" s="197">
        <v>0</v>
      </c>
      <c r="AF120" s="721"/>
      <c r="AG120" s="198" t="s">
        <v>458</v>
      </c>
      <c r="AH120" s="148"/>
      <c r="AI120" s="161"/>
      <c r="AJ120" s="161"/>
      <c r="AK120" s="197">
        <v>1</v>
      </c>
      <c r="AL120" s="721"/>
      <c r="AM120" s="198" t="s">
        <v>459</v>
      </c>
      <c r="AN120" s="186"/>
      <c r="AO120" s="161"/>
      <c r="AP120" s="161"/>
      <c r="AQ120" s="197">
        <v>2</v>
      </c>
      <c r="AR120" s="721"/>
      <c r="AS120" s="149"/>
      <c r="AT120" s="148"/>
      <c r="AU120" s="161"/>
      <c r="AV120" s="161"/>
      <c r="AW120" s="197">
        <v>1</v>
      </c>
      <c r="AX120" s="721"/>
      <c r="AY120" s="412"/>
      <c r="AZ120" s="225" t="s">
        <v>460</v>
      </c>
      <c r="BA120" s="161"/>
      <c r="BB120" s="161"/>
      <c r="BC120" s="197">
        <v>2</v>
      </c>
      <c r="BD120" s="721"/>
      <c r="BE120" s="149"/>
      <c r="BF120" s="148"/>
      <c r="BG120" s="161"/>
      <c r="BH120" s="161"/>
      <c r="BI120" s="197">
        <v>1</v>
      </c>
      <c r="BJ120" s="721"/>
      <c r="BK120" s="149"/>
      <c r="BL120" s="148"/>
      <c r="BM120" s="161"/>
      <c r="BN120" s="161"/>
      <c r="BO120" s="197"/>
      <c r="BP120" s="721"/>
      <c r="BQ120" s="149"/>
      <c r="BR120" s="148"/>
      <c r="BS120" s="161"/>
      <c r="BT120" s="161"/>
      <c r="BU120" s="197"/>
      <c r="BV120" s="721"/>
      <c r="BW120" s="149"/>
      <c r="BX120" s="148"/>
      <c r="BY120" s="161"/>
      <c r="BZ120" s="161"/>
      <c r="CA120" s="197"/>
      <c r="CB120" s="721"/>
      <c r="CC120" s="199"/>
      <c r="CD120" s="161"/>
      <c r="CE120" s="161"/>
      <c r="CF120" s="161"/>
      <c r="CG120" s="230"/>
      <c r="CH120" s="789"/>
      <c r="CI120" s="147"/>
      <c r="CJ120" s="148"/>
      <c r="CK120" s="161"/>
      <c r="CL120" s="161"/>
    </row>
    <row r="121" spans="2:90" ht="44.25" customHeight="1" outlineLevel="1" x14ac:dyDescent="0.2">
      <c r="B121" s="372" t="s">
        <v>461</v>
      </c>
      <c r="C121" s="761"/>
      <c r="D121" s="207" t="s">
        <v>181</v>
      </c>
      <c r="E121" s="782" t="s">
        <v>462</v>
      </c>
      <c r="F121" s="782"/>
      <c r="G121" s="197">
        <v>2</v>
      </c>
      <c r="H121" s="721"/>
      <c r="I121" s="149"/>
      <c r="J121" s="148"/>
      <c r="K121" s="161"/>
      <c r="L121" s="161"/>
      <c r="M121" s="197">
        <v>2</v>
      </c>
      <c r="N121" s="721"/>
      <c r="O121" s="438"/>
      <c r="P121" s="167"/>
      <c r="Q121" s="348"/>
      <c r="R121" s="161"/>
      <c r="S121" s="197">
        <v>1</v>
      </c>
      <c r="T121" s="721"/>
      <c r="U121" s="149"/>
      <c r="V121" s="148" t="s">
        <v>463</v>
      </c>
      <c r="W121" s="161"/>
      <c r="X121" s="161"/>
      <c r="Y121" s="197">
        <v>2</v>
      </c>
      <c r="Z121" s="721"/>
      <c r="AA121" s="179"/>
      <c r="AB121" s="167"/>
      <c r="AC121" s="183"/>
      <c r="AD121" s="183"/>
      <c r="AE121" s="197">
        <v>2</v>
      </c>
      <c r="AF121" s="721"/>
      <c r="AG121" s="149"/>
      <c r="AH121" s="148"/>
      <c r="AI121" s="161"/>
      <c r="AJ121" s="161"/>
      <c r="AK121" s="197">
        <v>2</v>
      </c>
      <c r="AL121" s="721"/>
      <c r="AM121" s="149"/>
      <c r="AN121" s="148"/>
      <c r="AO121" s="161"/>
      <c r="AP121" s="161"/>
      <c r="AQ121" s="197">
        <v>2</v>
      </c>
      <c r="AR121" s="721"/>
      <c r="AS121" s="149"/>
      <c r="AT121" s="148"/>
      <c r="AU121" s="161"/>
      <c r="AV121" s="161"/>
      <c r="AW121" s="197">
        <v>2</v>
      </c>
      <c r="AX121" s="721"/>
      <c r="AY121" s="149"/>
      <c r="AZ121" s="148"/>
      <c r="BA121" s="161"/>
      <c r="BB121" s="161"/>
      <c r="BC121" s="197">
        <v>2</v>
      </c>
      <c r="BD121" s="721"/>
      <c r="BE121" s="149"/>
      <c r="BF121" s="148"/>
      <c r="BG121" s="161"/>
      <c r="BH121" s="161"/>
      <c r="BI121" s="197">
        <v>2</v>
      </c>
      <c r="BJ121" s="721"/>
      <c r="BK121" s="149"/>
      <c r="BL121" s="148"/>
      <c r="BM121" s="161"/>
      <c r="BN121" s="161"/>
      <c r="BO121" s="197"/>
      <c r="BP121" s="721"/>
      <c r="BQ121" s="149"/>
      <c r="BR121" s="148"/>
      <c r="BS121" s="161"/>
      <c r="BT121" s="161"/>
      <c r="BU121" s="197"/>
      <c r="BV121" s="721"/>
      <c r="BW121" s="179"/>
      <c r="BX121" s="148"/>
      <c r="BY121" s="161"/>
      <c r="BZ121" s="161"/>
      <c r="CA121" s="197"/>
      <c r="CB121" s="721"/>
      <c r="CC121" s="199"/>
      <c r="CD121" s="161"/>
      <c r="CE121" s="161"/>
      <c r="CF121" s="161"/>
      <c r="CG121" s="230"/>
      <c r="CH121" s="789"/>
      <c r="CI121" s="147"/>
      <c r="CJ121" s="148"/>
      <c r="CK121" s="161"/>
      <c r="CL121" s="161"/>
    </row>
    <row r="122" spans="2:90" ht="24" customHeight="1" outlineLevel="1" x14ac:dyDescent="0.2">
      <c r="B122" s="373" t="s">
        <v>464</v>
      </c>
      <c r="C122" s="762"/>
      <c r="D122" s="231" t="s">
        <v>198</v>
      </c>
      <c r="E122" s="783" t="s">
        <v>465</v>
      </c>
      <c r="F122" s="783"/>
      <c r="G122" s="232">
        <v>2</v>
      </c>
      <c r="H122" s="722"/>
      <c r="I122" s="243"/>
      <c r="J122" s="234"/>
      <c r="K122" s="255"/>
      <c r="L122" s="255"/>
      <c r="M122" s="232">
        <v>2</v>
      </c>
      <c r="N122" s="722"/>
      <c r="O122" s="438"/>
      <c r="P122" s="234"/>
      <c r="Q122" s="255"/>
      <c r="R122" s="255"/>
      <c r="S122" s="232">
        <v>2</v>
      </c>
      <c r="T122" s="722"/>
      <c r="U122" s="243"/>
      <c r="V122" s="234"/>
      <c r="W122" s="255"/>
      <c r="X122" s="255"/>
      <c r="Y122" s="232">
        <v>2</v>
      </c>
      <c r="Z122" s="722"/>
      <c r="AA122" s="243"/>
      <c r="AB122" s="236"/>
      <c r="AC122" s="256"/>
      <c r="AD122" s="256"/>
      <c r="AE122" s="232">
        <v>1</v>
      </c>
      <c r="AF122" s="722"/>
      <c r="AG122" s="243" t="s">
        <v>466</v>
      </c>
      <c r="AH122" s="234"/>
      <c r="AI122" s="255"/>
      <c r="AJ122" s="255"/>
      <c r="AK122" s="232">
        <v>2</v>
      </c>
      <c r="AL122" s="722"/>
      <c r="AM122" s="243"/>
      <c r="AN122" s="234"/>
      <c r="AO122" s="255"/>
      <c r="AP122" s="255"/>
      <c r="AQ122" s="232">
        <v>2</v>
      </c>
      <c r="AR122" s="722"/>
      <c r="AS122" s="233"/>
      <c r="AU122" s="255"/>
      <c r="AV122" s="255"/>
      <c r="AW122" s="232">
        <v>1</v>
      </c>
      <c r="AX122" s="722"/>
      <c r="AY122" s="233"/>
      <c r="AZ122" s="233" t="s">
        <v>467</v>
      </c>
      <c r="BA122" s="255"/>
      <c r="BB122" s="255"/>
      <c r="BC122" s="232">
        <v>2</v>
      </c>
      <c r="BD122" s="722"/>
      <c r="BE122" s="233"/>
      <c r="BF122" s="234"/>
      <c r="BG122" s="255"/>
      <c r="BH122" s="255"/>
      <c r="BI122" s="232">
        <v>2</v>
      </c>
      <c r="BJ122" s="722"/>
      <c r="BK122" s="233"/>
      <c r="BL122" s="234"/>
      <c r="BM122" s="255"/>
      <c r="BN122" s="255"/>
      <c r="BO122" s="232"/>
      <c r="BP122" s="722"/>
      <c r="BQ122" s="233"/>
      <c r="BR122" s="234"/>
      <c r="BS122" s="255"/>
      <c r="BT122" s="255"/>
      <c r="BU122" s="232"/>
      <c r="BV122" s="722"/>
      <c r="BW122" s="233"/>
      <c r="BX122" s="234"/>
      <c r="BY122" s="255"/>
      <c r="BZ122" s="255"/>
      <c r="CA122" s="232"/>
      <c r="CB122" s="722"/>
      <c r="CC122" s="237"/>
      <c r="CD122" s="234"/>
      <c r="CE122" s="255"/>
      <c r="CF122" s="255"/>
      <c r="CG122" s="238"/>
      <c r="CH122" s="790"/>
      <c r="CI122" s="147"/>
      <c r="CJ122" s="234"/>
      <c r="CK122" s="161"/>
      <c r="CL122" s="161"/>
    </row>
    <row r="123" spans="2:90" ht="52.5" customHeight="1" outlineLevel="1" x14ac:dyDescent="0.2">
      <c r="B123" s="374" t="s">
        <v>468</v>
      </c>
      <c r="C123" s="769" t="s">
        <v>202</v>
      </c>
      <c r="D123" s="270" t="s">
        <v>469</v>
      </c>
      <c r="E123" s="747" t="s">
        <v>470</v>
      </c>
      <c r="F123" s="747"/>
      <c r="G123" s="222">
        <v>0</v>
      </c>
      <c r="H123" s="720">
        <f>SUM(G123:G127)</f>
        <v>5</v>
      </c>
      <c r="I123" s="225" t="s">
        <v>471</v>
      </c>
      <c r="J123" s="224"/>
      <c r="K123" s="252"/>
      <c r="L123" s="252"/>
      <c r="M123" s="222">
        <v>2</v>
      </c>
      <c r="N123" s="720">
        <f>SUM(M123:M127)</f>
        <v>8</v>
      </c>
      <c r="O123" s="223"/>
      <c r="P123" s="224"/>
      <c r="Q123" s="252"/>
      <c r="R123" s="252"/>
      <c r="S123" s="222">
        <v>1</v>
      </c>
      <c r="T123" s="720">
        <f>SUM(S123:S127)</f>
        <v>8</v>
      </c>
      <c r="U123" s="200"/>
      <c r="V123" s="224" t="s">
        <v>472</v>
      </c>
      <c r="W123" s="252"/>
      <c r="X123" s="252"/>
      <c r="Y123" s="222">
        <v>1</v>
      </c>
      <c r="Z123" s="720">
        <f>SUM(Y123:Y127)</f>
        <v>5</v>
      </c>
      <c r="AA123" s="227"/>
      <c r="AB123" s="226"/>
      <c r="AC123" s="253"/>
      <c r="AD123" s="253" t="s">
        <v>473</v>
      </c>
      <c r="AE123" s="222">
        <v>2</v>
      </c>
      <c r="AF123" s="720">
        <f>SUM(AE123:AE127)</f>
        <v>10</v>
      </c>
      <c r="AG123" s="225"/>
      <c r="AH123" s="224"/>
      <c r="AI123" s="252"/>
      <c r="AJ123" s="252"/>
      <c r="AK123" s="222">
        <v>2</v>
      </c>
      <c r="AL123" s="720">
        <v>6</v>
      </c>
      <c r="AM123" s="225"/>
      <c r="AN123" s="224"/>
      <c r="AO123" s="252"/>
      <c r="AP123" s="252"/>
      <c r="AQ123" s="222">
        <v>2</v>
      </c>
      <c r="AR123" s="720">
        <f>SUM(AQ123:AQ127)</f>
        <v>8</v>
      </c>
      <c r="AS123" s="179"/>
      <c r="AU123" s="252"/>
      <c r="AV123" s="252"/>
      <c r="AW123" s="222">
        <v>1</v>
      </c>
      <c r="AX123" s="720">
        <f>SUM(AW123:AW127)</f>
        <v>9</v>
      </c>
      <c r="AY123" s="149"/>
      <c r="AZ123" s="149" t="s">
        <v>474</v>
      </c>
      <c r="BA123" s="252"/>
      <c r="BB123" s="252"/>
      <c r="BC123" s="222">
        <v>2</v>
      </c>
      <c r="BD123" s="720">
        <f>SUM(BC123:BC127)</f>
        <v>10</v>
      </c>
      <c r="BE123" s="225"/>
      <c r="BF123" s="224"/>
      <c r="BG123" s="252"/>
      <c r="BH123" s="252"/>
      <c r="BI123" s="222">
        <v>1</v>
      </c>
      <c r="BJ123" s="720">
        <f>SUM(BI123:BI127)</f>
        <v>7</v>
      </c>
      <c r="BK123" s="225"/>
      <c r="BL123" s="224"/>
      <c r="BM123" s="252"/>
      <c r="BN123" s="252"/>
      <c r="BO123" s="222"/>
      <c r="BP123" s="720">
        <v>5</v>
      </c>
      <c r="BQ123" s="225"/>
      <c r="BR123" s="224"/>
      <c r="BS123" s="252"/>
      <c r="BT123" s="252"/>
      <c r="BU123" s="222"/>
      <c r="BV123" s="720">
        <v>9</v>
      </c>
      <c r="BW123" s="227"/>
      <c r="BX123" s="224"/>
      <c r="BY123" s="252"/>
      <c r="BZ123" s="252"/>
      <c r="CA123" s="222"/>
      <c r="CB123" s="720">
        <f>SUM(CA123:CA127)</f>
        <v>0</v>
      </c>
      <c r="CC123" s="228"/>
      <c r="CD123" s="253"/>
      <c r="CE123" s="253"/>
      <c r="CF123" s="252"/>
      <c r="CG123" s="229"/>
      <c r="CH123" s="789">
        <f>SUM(CG123:CG127)</f>
        <v>0</v>
      </c>
      <c r="CI123" s="147"/>
      <c r="CJ123" s="224"/>
      <c r="CK123" s="161"/>
      <c r="CL123" s="161"/>
    </row>
    <row r="124" spans="2:90" ht="71.25" customHeight="1" outlineLevel="1" x14ac:dyDescent="0.25">
      <c r="B124" s="375" t="s">
        <v>475</v>
      </c>
      <c r="C124" s="770"/>
      <c r="D124" s="210" t="s">
        <v>209</v>
      </c>
      <c r="E124" s="748" t="s">
        <v>315</v>
      </c>
      <c r="F124" s="748"/>
      <c r="G124" s="197">
        <v>0</v>
      </c>
      <c r="H124" s="721"/>
      <c r="I124" s="198" t="s">
        <v>476</v>
      </c>
      <c r="J124" s="148"/>
      <c r="K124" s="161"/>
      <c r="L124" s="161"/>
      <c r="M124" s="197">
        <v>2</v>
      </c>
      <c r="N124" s="721"/>
      <c r="O124" s="439"/>
      <c r="P124" s="148"/>
      <c r="Q124" s="161"/>
      <c r="R124" s="161"/>
      <c r="S124" s="197">
        <v>2</v>
      </c>
      <c r="T124" s="721"/>
      <c r="U124" s="198"/>
      <c r="V124" s="148"/>
      <c r="W124" s="161"/>
      <c r="X124" s="161"/>
      <c r="Y124" s="197">
        <v>1</v>
      </c>
      <c r="Z124" s="721"/>
      <c r="AA124" s="179"/>
      <c r="AB124" s="167"/>
      <c r="AC124" s="183"/>
      <c r="AD124" s="183" t="s">
        <v>477</v>
      </c>
      <c r="AE124" s="197">
        <v>2</v>
      </c>
      <c r="AF124" s="721"/>
      <c r="AG124" s="149"/>
      <c r="AH124" s="148"/>
      <c r="AI124" s="161"/>
      <c r="AJ124" s="161"/>
      <c r="AK124" s="197">
        <v>0</v>
      </c>
      <c r="AL124" s="721"/>
      <c r="AM124" s="149" t="s">
        <v>478</v>
      </c>
      <c r="AN124" s="429"/>
      <c r="AO124" s="161"/>
      <c r="AP124" s="161"/>
      <c r="AQ124" s="197">
        <v>1</v>
      </c>
      <c r="AR124" s="721"/>
      <c r="AS124" s="179"/>
      <c r="AT124" s="136" t="s">
        <v>479</v>
      </c>
      <c r="AU124" s="161"/>
      <c r="AV124" s="161"/>
      <c r="AW124" s="197">
        <v>2</v>
      </c>
      <c r="AX124" s="721"/>
      <c r="AY124" s="149"/>
      <c r="AZ124" s="148"/>
      <c r="BA124" s="161"/>
      <c r="BB124" s="161"/>
      <c r="BC124" s="197">
        <v>2</v>
      </c>
      <c r="BD124" s="721"/>
      <c r="BE124" s="149"/>
      <c r="BF124" s="148"/>
      <c r="BG124" s="161"/>
      <c r="BH124" s="161"/>
      <c r="BI124" s="197">
        <v>0</v>
      </c>
      <c r="BJ124" s="721"/>
      <c r="BK124" s="149"/>
      <c r="BL124" s="148"/>
      <c r="BM124" s="161"/>
      <c r="BN124" s="161"/>
      <c r="BO124" s="197"/>
      <c r="BP124" s="721"/>
      <c r="BQ124" s="149"/>
      <c r="BR124" s="148"/>
      <c r="BS124" s="161"/>
      <c r="BT124" s="161"/>
      <c r="BU124" s="197"/>
      <c r="BV124" s="721"/>
      <c r="BW124" s="179"/>
      <c r="BX124" s="148"/>
      <c r="BY124" s="161"/>
      <c r="BZ124" s="161"/>
      <c r="CA124" s="197"/>
      <c r="CB124" s="721"/>
      <c r="CC124" s="199"/>
      <c r="CD124" s="444"/>
      <c r="CE124" s="167"/>
      <c r="CF124" s="161"/>
      <c r="CG124" s="230"/>
      <c r="CH124" s="789"/>
      <c r="CI124" s="147"/>
      <c r="CJ124" s="148"/>
      <c r="CK124" s="161"/>
      <c r="CL124" s="161"/>
    </row>
    <row r="125" spans="2:90" ht="15" outlineLevel="1" x14ac:dyDescent="0.2">
      <c r="B125" s="375" t="s">
        <v>480</v>
      </c>
      <c r="C125" s="770"/>
      <c r="D125" s="212" t="s">
        <v>213</v>
      </c>
      <c r="E125" s="748" t="s">
        <v>321</v>
      </c>
      <c r="F125" s="748"/>
      <c r="G125" s="197">
        <v>1</v>
      </c>
      <c r="H125" s="721"/>
      <c r="I125" s="149" t="s">
        <v>481</v>
      </c>
      <c r="J125" s="148"/>
      <c r="K125" s="161"/>
      <c r="L125" s="161"/>
      <c r="M125" s="197">
        <v>2</v>
      </c>
      <c r="N125" s="721"/>
      <c r="O125" s="438"/>
      <c r="P125" s="148"/>
      <c r="Q125" s="161"/>
      <c r="R125" s="161"/>
      <c r="S125" s="197">
        <v>2</v>
      </c>
      <c r="T125" s="721"/>
      <c r="U125" s="149"/>
      <c r="V125" s="148"/>
      <c r="W125" s="161"/>
      <c r="X125" s="161"/>
      <c r="Y125" s="197">
        <v>2</v>
      </c>
      <c r="Z125" s="721"/>
      <c r="AA125" s="179"/>
      <c r="AB125" s="167"/>
      <c r="AC125" s="183"/>
      <c r="AD125" s="183"/>
      <c r="AE125" s="197">
        <v>2</v>
      </c>
      <c r="AF125" s="721"/>
      <c r="AG125" s="149"/>
      <c r="AH125" s="148"/>
      <c r="AI125" s="161"/>
      <c r="AJ125" s="161"/>
      <c r="AK125" s="197">
        <v>2</v>
      </c>
      <c r="AL125" s="721"/>
      <c r="AM125" s="149"/>
      <c r="AN125" s="148"/>
      <c r="AO125" s="161"/>
      <c r="AP125" s="161"/>
      <c r="AQ125" s="197">
        <v>2</v>
      </c>
      <c r="AR125" s="721"/>
      <c r="AS125" s="149"/>
      <c r="AT125" s="148"/>
      <c r="AU125" s="161"/>
      <c r="AV125" s="161"/>
      <c r="AW125" s="197">
        <v>2</v>
      </c>
      <c r="AX125" s="721"/>
      <c r="AY125" s="149"/>
      <c r="AZ125" s="148"/>
      <c r="BA125" s="161"/>
      <c r="BB125" s="161"/>
      <c r="BC125" s="197">
        <v>2</v>
      </c>
      <c r="BD125" s="721"/>
      <c r="BE125" s="149"/>
      <c r="BF125" s="148"/>
      <c r="BG125" s="161"/>
      <c r="BH125" s="161"/>
      <c r="BI125" s="197">
        <v>2</v>
      </c>
      <c r="BJ125" s="721"/>
      <c r="BK125" s="149"/>
      <c r="BL125" s="148"/>
      <c r="BM125" s="161"/>
      <c r="BN125" s="161"/>
      <c r="BO125" s="197"/>
      <c r="BP125" s="721"/>
      <c r="BQ125" s="149"/>
      <c r="BR125" s="148"/>
      <c r="BS125" s="161"/>
      <c r="BT125" s="161"/>
      <c r="BU125" s="197"/>
      <c r="BV125" s="721"/>
      <c r="BW125" s="149"/>
      <c r="BX125" s="148"/>
      <c r="BY125" s="161"/>
      <c r="BZ125" s="161"/>
      <c r="CA125" s="197"/>
      <c r="CB125" s="721"/>
      <c r="CC125" s="199"/>
      <c r="CD125" s="148"/>
      <c r="CE125" s="161"/>
      <c r="CF125" s="161"/>
      <c r="CG125" s="230"/>
      <c r="CH125" s="789"/>
      <c r="CI125" s="147"/>
      <c r="CJ125" s="148"/>
      <c r="CK125" s="161"/>
      <c r="CL125" s="161"/>
    </row>
    <row r="126" spans="2:90" ht="58.5" customHeight="1" outlineLevel="1" x14ac:dyDescent="0.2">
      <c r="B126" s="375" t="s">
        <v>482</v>
      </c>
      <c r="C126" s="770"/>
      <c r="D126" s="212" t="s">
        <v>220</v>
      </c>
      <c r="E126" s="748" t="s">
        <v>221</v>
      </c>
      <c r="F126" s="748"/>
      <c r="G126" s="197">
        <v>2</v>
      </c>
      <c r="H126" s="721"/>
      <c r="I126" s="149"/>
      <c r="J126" s="148"/>
      <c r="K126" s="161"/>
      <c r="L126" s="161"/>
      <c r="M126" s="197">
        <v>2</v>
      </c>
      <c r="N126" s="721"/>
      <c r="O126" s="439"/>
      <c r="P126" s="148"/>
      <c r="Q126" s="161"/>
      <c r="R126" s="161"/>
      <c r="S126" s="197">
        <v>2</v>
      </c>
      <c r="T126" s="721"/>
      <c r="U126" s="149"/>
      <c r="V126" s="148"/>
      <c r="W126" s="161"/>
      <c r="X126" s="161"/>
      <c r="Y126" s="197">
        <v>1</v>
      </c>
      <c r="Z126" s="721"/>
      <c r="AA126" s="179"/>
      <c r="AB126" s="167"/>
      <c r="AC126" s="183"/>
      <c r="AD126" s="183" t="s">
        <v>483</v>
      </c>
      <c r="AE126" s="197">
        <v>2</v>
      </c>
      <c r="AF126" s="721"/>
      <c r="AG126" s="198"/>
      <c r="AH126" s="148"/>
      <c r="AI126" s="161"/>
      <c r="AJ126" s="161"/>
      <c r="AK126" s="197">
        <v>1</v>
      </c>
      <c r="AL126" s="721"/>
      <c r="AM126" s="198" t="s">
        <v>484</v>
      </c>
      <c r="AN126" s="188"/>
      <c r="AO126" s="161"/>
      <c r="AP126" s="161"/>
      <c r="AQ126" s="197">
        <v>2</v>
      </c>
      <c r="AR126" s="721"/>
      <c r="AS126" s="152"/>
      <c r="AT126" s="148"/>
      <c r="AU126" s="161"/>
      <c r="AV126" s="161"/>
      <c r="AW126" s="197">
        <v>2</v>
      </c>
      <c r="AX126" s="721"/>
      <c r="AY126" s="149"/>
      <c r="AZ126" s="148"/>
      <c r="BA126" s="161"/>
      <c r="BB126" s="161"/>
      <c r="BC126" s="197">
        <v>2</v>
      </c>
      <c r="BD126" s="721"/>
      <c r="BE126" s="149"/>
      <c r="BF126" s="148"/>
      <c r="BG126" s="161"/>
      <c r="BH126" s="161"/>
      <c r="BI126" s="197">
        <v>2</v>
      </c>
      <c r="BJ126" s="721"/>
      <c r="BK126" s="149"/>
      <c r="BL126" s="148"/>
      <c r="BM126" s="161"/>
      <c r="BN126" s="161"/>
      <c r="BO126" s="197"/>
      <c r="BP126" s="721"/>
      <c r="BQ126" s="149"/>
      <c r="BR126" s="148"/>
      <c r="BS126" s="161"/>
      <c r="BT126" s="161"/>
      <c r="BU126" s="197"/>
      <c r="BV126" s="721"/>
      <c r="BW126" s="149"/>
      <c r="BX126" s="148"/>
      <c r="BY126" s="161"/>
      <c r="BZ126" s="161"/>
      <c r="CA126" s="197"/>
      <c r="CB126" s="721"/>
      <c r="CC126" s="199"/>
      <c r="CD126" s="148"/>
      <c r="CE126" s="161"/>
      <c r="CF126" s="161"/>
      <c r="CG126" s="230"/>
      <c r="CH126" s="789"/>
      <c r="CI126" s="147"/>
      <c r="CJ126" s="148"/>
      <c r="CK126" s="161"/>
      <c r="CL126" s="161"/>
    </row>
    <row r="127" spans="2:90" ht="43.5" customHeight="1" outlineLevel="1" x14ac:dyDescent="0.2">
      <c r="B127" s="376" t="s">
        <v>485</v>
      </c>
      <c r="C127" s="771"/>
      <c r="D127" s="240" t="s">
        <v>223</v>
      </c>
      <c r="E127" s="751" t="s">
        <v>224</v>
      </c>
      <c r="F127" s="751"/>
      <c r="G127" s="232">
        <v>2</v>
      </c>
      <c r="H127" s="722"/>
      <c r="I127" s="233"/>
      <c r="J127" s="234"/>
      <c r="K127" s="255"/>
      <c r="L127" s="255"/>
      <c r="M127" s="232">
        <v>0</v>
      </c>
      <c r="N127" s="722"/>
      <c r="O127" s="438" t="s">
        <v>486</v>
      </c>
      <c r="P127" s="234"/>
      <c r="Q127" s="255"/>
      <c r="R127" s="255"/>
      <c r="S127" s="232">
        <v>1</v>
      </c>
      <c r="T127" s="722"/>
      <c r="U127" s="233"/>
      <c r="V127" s="234" t="s">
        <v>487</v>
      </c>
      <c r="W127" s="255"/>
      <c r="X127" s="255"/>
      <c r="Y127" s="232">
        <v>0</v>
      </c>
      <c r="Z127" s="722"/>
      <c r="AA127" s="235"/>
      <c r="AB127" s="236"/>
      <c r="AC127" s="256"/>
      <c r="AD127" s="256" t="s">
        <v>488</v>
      </c>
      <c r="AE127" s="232">
        <v>2</v>
      </c>
      <c r="AF127" s="722"/>
      <c r="AG127" s="233"/>
      <c r="AH127" s="234"/>
      <c r="AI127" s="255"/>
      <c r="AJ127" s="255"/>
      <c r="AK127" s="232">
        <v>1</v>
      </c>
      <c r="AL127" s="722"/>
      <c r="AM127" s="233" t="s">
        <v>489</v>
      </c>
      <c r="AN127" s="234"/>
      <c r="AO127" s="255"/>
      <c r="AP127" s="255"/>
      <c r="AQ127" s="232">
        <v>1</v>
      </c>
      <c r="AR127" s="722"/>
      <c r="AS127" s="233"/>
      <c r="AT127" s="234" t="s">
        <v>490</v>
      </c>
      <c r="AU127" s="255"/>
      <c r="AV127" s="255"/>
      <c r="AW127" s="232">
        <v>2</v>
      </c>
      <c r="AX127" s="722"/>
      <c r="AY127" s="233"/>
      <c r="AZ127" s="234"/>
      <c r="BA127" s="255"/>
      <c r="BB127" s="255"/>
      <c r="BC127" s="232">
        <v>2</v>
      </c>
      <c r="BD127" s="722"/>
      <c r="BE127" s="233"/>
      <c r="BF127" s="234"/>
      <c r="BG127" s="255"/>
      <c r="BH127" s="255"/>
      <c r="BI127" s="232">
        <v>2</v>
      </c>
      <c r="BJ127" s="722"/>
      <c r="BK127" s="233"/>
      <c r="BL127" s="234"/>
      <c r="BM127" s="255"/>
      <c r="BN127" s="255"/>
      <c r="BO127" s="232"/>
      <c r="BP127" s="722"/>
      <c r="BQ127" s="233"/>
      <c r="BR127" s="234"/>
      <c r="BS127" s="255"/>
      <c r="BT127" s="255"/>
      <c r="BU127" s="232"/>
      <c r="BV127" s="722"/>
      <c r="BW127" s="233"/>
      <c r="BX127" s="234"/>
      <c r="BY127" s="255"/>
      <c r="BZ127" s="255"/>
      <c r="CA127" s="232"/>
      <c r="CB127" s="722"/>
      <c r="CC127" s="434"/>
      <c r="CD127" s="450"/>
      <c r="CE127" s="255"/>
      <c r="CF127" s="255"/>
      <c r="CG127" s="238"/>
      <c r="CH127" s="789"/>
      <c r="CI127" s="147"/>
      <c r="CJ127" s="234"/>
      <c r="CK127" s="161"/>
      <c r="CL127" s="161"/>
    </row>
    <row r="128" spans="2:90" ht="57" customHeight="1" outlineLevel="1" x14ac:dyDescent="0.2">
      <c r="B128" s="377" t="s">
        <v>491</v>
      </c>
      <c r="C128" s="754" t="s">
        <v>227</v>
      </c>
      <c r="D128" s="241" t="s">
        <v>166</v>
      </c>
      <c r="E128" s="752" t="s">
        <v>228</v>
      </c>
      <c r="F128" s="752"/>
      <c r="G128" s="222">
        <v>2</v>
      </c>
      <c r="H128" s="720">
        <f>SUM(G128:G134)</f>
        <v>13</v>
      </c>
      <c r="I128" s="223"/>
      <c r="J128" s="346"/>
      <c r="K128" s="252"/>
      <c r="L128" s="252"/>
      <c r="M128" s="222">
        <v>2</v>
      </c>
      <c r="N128" s="720">
        <f>SUM(M128:M134)</f>
        <v>12</v>
      </c>
      <c r="O128" s="438"/>
      <c r="P128" s="226"/>
      <c r="Q128" s="252"/>
      <c r="R128" s="252"/>
      <c r="S128" s="222">
        <v>1</v>
      </c>
      <c r="T128" s="720">
        <f>SUM(S128:S134)</f>
        <v>12</v>
      </c>
      <c r="U128" s="223"/>
      <c r="V128" s="224" t="s">
        <v>492</v>
      </c>
      <c r="W128" s="252"/>
      <c r="X128" s="252"/>
      <c r="Y128" s="222">
        <v>2</v>
      </c>
      <c r="Z128" s="720">
        <f>SUM(Y128:Y134)</f>
        <v>14</v>
      </c>
      <c r="AA128" s="223"/>
      <c r="AB128" s="226"/>
      <c r="AC128" s="253"/>
      <c r="AD128" s="253"/>
      <c r="AE128" s="222">
        <v>2</v>
      </c>
      <c r="AF128" s="720">
        <f>SUM(AE128:AE133)</f>
        <v>12</v>
      </c>
      <c r="AG128" s="223"/>
      <c r="AH128" s="224"/>
      <c r="AI128" s="252"/>
      <c r="AJ128" s="252"/>
      <c r="AK128" s="222">
        <v>2</v>
      </c>
      <c r="AL128" s="720">
        <v>12</v>
      </c>
      <c r="AM128" s="223"/>
      <c r="AN128" s="224"/>
      <c r="AO128" s="252"/>
      <c r="AP128" s="252"/>
      <c r="AQ128" s="222">
        <v>0</v>
      </c>
      <c r="AR128" s="720">
        <f>SUM(AQ128:AQ134)</f>
        <v>10</v>
      </c>
      <c r="AS128" s="225"/>
      <c r="AU128" s="252" t="s">
        <v>493</v>
      </c>
      <c r="AV128" s="252"/>
      <c r="AW128" s="222">
        <v>2</v>
      </c>
      <c r="AX128" s="720">
        <f>SUM(AW128:AW134)</f>
        <v>14</v>
      </c>
      <c r="AY128" s="225"/>
      <c r="AZ128" s="224"/>
      <c r="BA128" s="252"/>
      <c r="BB128" s="252"/>
      <c r="BC128" s="222">
        <v>1</v>
      </c>
      <c r="BD128" s="720">
        <f>SUM(BC128:BC134)</f>
        <v>13</v>
      </c>
      <c r="BE128" s="225" t="s">
        <v>494</v>
      </c>
      <c r="BF128" s="224"/>
      <c r="BG128" s="252"/>
      <c r="BH128" s="252"/>
      <c r="BI128" s="222">
        <v>1</v>
      </c>
      <c r="BJ128" s="720">
        <f>SUM(BI128:BI134)</f>
        <v>12</v>
      </c>
      <c r="BK128" s="225"/>
      <c r="BL128" s="224"/>
      <c r="BM128" s="252"/>
      <c r="BN128" s="252"/>
      <c r="BO128" s="222"/>
      <c r="BP128" s="720">
        <v>12</v>
      </c>
      <c r="BQ128" s="225"/>
      <c r="BR128" s="224"/>
      <c r="BS128" s="252"/>
      <c r="BT128" s="252"/>
      <c r="BU128" s="222"/>
      <c r="BV128" s="720">
        <v>12</v>
      </c>
      <c r="BW128" s="225"/>
      <c r="BX128" s="224"/>
      <c r="BY128" s="252"/>
      <c r="BZ128" s="252"/>
      <c r="CA128" s="222"/>
      <c r="CB128" s="720">
        <f>SUM(CA128:CA134)</f>
        <v>0</v>
      </c>
      <c r="CC128" s="228"/>
      <c r="CD128" s="449"/>
      <c r="CE128" s="252"/>
      <c r="CF128" s="252"/>
      <c r="CG128" s="229"/>
      <c r="CH128" s="788">
        <f>SUM(CG128:CG134)</f>
        <v>0</v>
      </c>
      <c r="CI128" s="147"/>
      <c r="CJ128" s="224"/>
      <c r="CK128" s="161"/>
      <c r="CL128" s="161"/>
    </row>
    <row r="129" spans="1:90" ht="38.25" outlineLevel="1" x14ac:dyDescent="0.2">
      <c r="B129" s="378" t="s">
        <v>495</v>
      </c>
      <c r="C129" s="755"/>
      <c r="D129" s="216" t="s">
        <v>389</v>
      </c>
      <c r="E129" s="749" t="s">
        <v>236</v>
      </c>
      <c r="F129" s="749"/>
      <c r="G129" s="197">
        <v>2</v>
      </c>
      <c r="H129" s="721"/>
      <c r="I129" s="198"/>
      <c r="J129" s="148"/>
      <c r="K129" s="161"/>
      <c r="L129" s="161"/>
      <c r="M129" s="197">
        <v>2</v>
      </c>
      <c r="N129" s="721"/>
      <c r="O129" s="438"/>
      <c r="P129" s="167"/>
      <c r="Q129" s="161"/>
      <c r="R129" s="161"/>
      <c r="S129" s="197">
        <v>2</v>
      </c>
      <c r="T129" s="721"/>
      <c r="U129" s="200"/>
      <c r="V129" s="148"/>
      <c r="W129" s="161"/>
      <c r="X129" s="161"/>
      <c r="Y129" s="197">
        <v>2</v>
      </c>
      <c r="Z129" s="721"/>
      <c r="AA129" s="179"/>
      <c r="AB129" s="167"/>
      <c r="AC129" s="183"/>
      <c r="AD129" s="183"/>
      <c r="AE129" s="197">
        <v>2</v>
      </c>
      <c r="AF129" s="721"/>
      <c r="AG129" s="198"/>
      <c r="AH129" s="148"/>
      <c r="AI129" s="161"/>
      <c r="AJ129" s="161"/>
      <c r="AK129" s="197">
        <v>2</v>
      </c>
      <c r="AL129" s="721"/>
      <c r="AM129" s="149"/>
      <c r="AN129" s="148"/>
      <c r="AO129" s="161"/>
      <c r="AP129" s="161"/>
      <c r="AQ129" s="197">
        <v>2</v>
      </c>
      <c r="AR129" s="721"/>
      <c r="AS129" s="179"/>
      <c r="AT129" s="148"/>
      <c r="AU129" s="161"/>
      <c r="AV129" s="161"/>
      <c r="AW129" s="197">
        <v>2</v>
      </c>
      <c r="AX129" s="721"/>
      <c r="AY129" s="149"/>
      <c r="AZ129" s="148"/>
      <c r="BA129" s="161"/>
      <c r="BB129" s="161"/>
      <c r="BC129" s="197">
        <v>2</v>
      </c>
      <c r="BD129" s="721"/>
      <c r="BE129" s="149"/>
      <c r="BF129" s="148"/>
      <c r="BG129" s="161"/>
      <c r="BH129" s="161"/>
      <c r="BI129" s="197">
        <v>2</v>
      </c>
      <c r="BJ129" s="721"/>
      <c r="BK129" s="149"/>
      <c r="BL129" s="148"/>
      <c r="BM129" s="161"/>
      <c r="BN129" s="161"/>
      <c r="BO129" s="197"/>
      <c r="BP129" s="721"/>
      <c r="BQ129" s="149"/>
      <c r="BR129" s="148"/>
      <c r="BS129" s="161"/>
      <c r="BT129" s="161"/>
      <c r="BU129" s="197"/>
      <c r="BV129" s="721"/>
      <c r="BW129" s="149"/>
      <c r="BX129" s="148"/>
      <c r="BY129" s="161"/>
      <c r="BZ129" s="161"/>
      <c r="CA129" s="197"/>
      <c r="CB129" s="721"/>
      <c r="CC129" s="179"/>
      <c r="CD129" s="148"/>
      <c r="CE129" s="161"/>
      <c r="CF129" s="161"/>
      <c r="CG129" s="230"/>
      <c r="CH129" s="789"/>
      <c r="CI129" s="147"/>
      <c r="CJ129" s="148"/>
      <c r="CK129" s="161"/>
      <c r="CL129" s="161"/>
    </row>
    <row r="130" spans="1:90" ht="61.5" customHeight="1" outlineLevel="1" x14ac:dyDescent="0.2">
      <c r="B130" s="378" t="s">
        <v>496</v>
      </c>
      <c r="C130" s="755"/>
      <c r="D130" s="215" t="s">
        <v>238</v>
      </c>
      <c r="E130" s="749" t="s">
        <v>497</v>
      </c>
      <c r="F130" s="749"/>
      <c r="G130" s="197">
        <v>2</v>
      </c>
      <c r="H130" s="721"/>
      <c r="I130" s="362"/>
      <c r="J130" s="342"/>
      <c r="K130" s="161"/>
      <c r="L130" s="161"/>
      <c r="M130" s="197">
        <v>0</v>
      </c>
      <c r="N130" s="721"/>
      <c r="O130" s="438" t="s">
        <v>498</v>
      </c>
      <c r="P130" s="148"/>
      <c r="Q130" s="161"/>
      <c r="R130" s="161"/>
      <c r="S130" s="197">
        <v>1</v>
      </c>
      <c r="T130" s="721"/>
      <c r="U130" s="200"/>
      <c r="V130" s="148" t="s">
        <v>499</v>
      </c>
      <c r="W130" s="161"/>
      <c r="X130" s="161"/>
      <c r="Y130" s="197">
        <v>2</v>
      </c>
      <c r="Z130" s="721"/>
      <c r="AA130" s="179"/>
      <c r="AB130" s="167"/>
      <c r="AC130" s="183"/>
      <c r="AD130" s="183"/>
      <c r="AE130" s="197">
        <v>2</v>
      </c>
      <c r="AF130" s="721"/>
      <c r="AG130" s="198"/>
      <c r="AH130" s="148"/>
      <c r="AI130" s="161"/>
      <c r="AJ130" s="161"/>
      <c r="AK130" s="197">
        <v>2</v>
      </c>
      <c r="AL130" s="721"/>
      <c r="AM130" s="198"/>
      <c r="AN130" s="188"/>
      <c r="AO130" s="161"/>
      <c r="AP130" s="161"/>
      <c r="AQ130" s="197">
        <v>1</v>
      </c>
      <c r="AR130" s="721"/>
      <c r="AS130" s="179"/>
      <c r="AT130" s="148" t="s">
        <v>500</v>
      </c>
      <c r="AU130" s="161"/>
      <c r="AV130" s="161"/>
      <c r="AW130" s="197">
        <v>2</v>
      </c>
      <c r="AX130" s="721"/>
      <c r="AY130" s="149"/>
      <c r="AZ130" s="148"/>
      <c r="BA130" s="161"/>
      <c r="BB130" s="161"/>
      <c r="BC130" s="197">
        <v>2</v>
      </c>
      <c r="BD130" s="721"/>
      <c r="BE130" s="149"/>
      <c r="BF130" s="148"/>
      <c r="BG130" s="161"/>
      <c r="BH130" s="161"/>
      <c r="BI130" s="197">
        <v>2</v>
      </c>
      <c r="BJ130" s="721"/>
      <c r="BK130" s="149"/>
      <c r="BL130" s="148"/>
      <c r="BM130" s="161"/>
      <c r="BN130" s="161"/>
      <c r="BO130" s="197"/>
      <c r="BP130" s="721"/>
      <c r="BQ130" s="149"/>
      <c r="BR130" s="148"/>
      <c r="BS130" s="161"/>
      <c r="BT130" s="161"/>
      <c r="BU130" s="197"/>
      <c r="BV130" s="721"/>
      <c r="BW130" s="149"/>
      <c r="BX130" s="148"/>
      <c r="BY130" s="161"/>
      <c r="BZ130" s="161"/>
      <c r="CA130" s="197"/>
      <c r="CB130" s="721"/>
      <c r="CC130" s="199"/>
      <c r="CD130" s="445"/>
      <c r="CE130" s="148"/>
      <c r="CF130" s="161"/>
      <c r="CG130" s="230"/>
      <c r="CH130" s="789"/>
      <c r="CI130" s="147"/>
      <c r="CJ130" s="148"/>
      <c r="CK130" s="161"/>
      <c r="CL130" s="161"/>
    </row>
    <row r="131" spans="1:90" ht="63" customHeight="1" outlineLevel="1" x14ac:dyDescent="0.2">
      <c r="B131" s="378" t="s">
        <v>501</v>
      </c>
      <c r="C131" s="755"/>
      <c r="D131" s="215" t="s">
        <v>242</v>
      </c>
      <c r="E131" s="749" t="s">
        <v>243</v>
      </c>
      <c r="F131" s="749"/>
      <c r="G131" s="197">
        <v>1</v>
      </c>
      <c r="H131" s="721"/>
      <c r="I131" s="198" t="s">
        <v>502</v>
      </c>
      <c r="J131" s="148"/>
      <c r="K131" s="161"/>
      <c r="L131" s="161"/>
      <c r="M131" s="197">
        <v>2</v>
      </c>
      <c r="N131" s="721"/>
      <c r="O131" s="438"/>
      <c r="P131" s="148"/>
      <c r="Q131" s="161"/>
      <c r="R131" s="161"/>
      <c r="S131" s="197">
        <v>2</v>
      </c>
      <c r="T131" s="721"/>
      <c r="U131" s="149"/>
      <c r="V131" s="148"/>
      <c r="W131" s="161"/>
      <c r="X131" s="161"/>
      <c r="Y131" s="197">
        <v>2</v>
      </c>
      <c r="Z131" s="721"/>
      <c r="AA131" s="179"/>
      <c r="AB131" s="167"/>
      <c r="AC131" s="183"/>
      <c r="AD131" s="183"/>
      <c r="AE131" s="197">
        <v>2</v>
      </c>
      <c r="AF131" s="721"/>
      <c r="AG131" s="149"/>
      <c r="AH131" s="148"/>
      <c r="AI131" s="161"/>
      <c r="AJ131" s="161"/>
      <c r="AK131" s="197">
        <v>1</v>
      </c>
      <c r="AL131" s="721"/>
      <c r="AM131" s="149" t="s">
        <v>503</v>
      </c>
      <c r="AN131" s="148"/>
      <c r="AO131" s="161"/>
      <c r="AP131" s="161"/>
      <c r="AQ131" s="197">
        <v>2</v>
      </c>
      <c r="AR131" s="721"/>
      <c r="AS131" s="179"/>
      <c r="AT131" s="148"/>
      <c r="AU131" s="161"/>
      <c r="AV131" s="161"/>
      <c r="AW131" s="197">
        <v>2</v>
      </c>
      <c r="AX131" s="721"/>
      <c r="AY131" s="149"/>
      <c r="AZ131" s="148"/>
      <c r="BA131" s="161"/>
      <c r="BB131" s="161"/>
      <c r="BC131" s="197">
        <v>2</v>
      </c>
      <c r="BD131" s="721"/>
      <c r="BE131" s="149"/>
      <c r="BF131" s="148"/>
      <c r="BG131" s="161"/>
      <c r="BH131" s="161"/>
      <c r="BI131" s="197">
        <v>1</v>
      </c>
      <c r="BJ131" s="721"/>
      <c r="BK131" s="149"/>
      <c r="BL131" s="148"/>
      <c r="BM131" s="161"/>
      <c r="BN131" s="161"/>
      <c r="BO131" s="197"/>
      <c r="BP131" s="721"/>
      <c r="BQ131" s="149"/>
      <c r="BR131" s="148"/>
      <c r="BS131" s="161"/>
      <c r="BT131" s="161"/>
      <c r="BU131" s="197"/>
      <c r="BV131" s="721"/>
      <c r="BW131" s="179"/>
      <c r="BX131" s="148"/>
      <c r="BY131" s="161"/>
      <c r="BZ131" s="161"/>
      <c r="CA131" s="197"/>
      <c r="CB131" s="721"/>
      <c r="CC131" s="179"/>
      <c r="CD131" s="148"/>
      <c r="CE131" s="148"/>
      <c r="CF131" s="161"/>
      <c r="CG131" s="230"/>
      <c r="CH131" s="789"/>
      <c r="CI131" s="147"/>
      <c r="CJ131" s="148"/>
      <c r="CK131" s="161"/>
      <c r="CL131" s="161"/>
    </row>
    <row r="132" spans="1:90" ht="32.25" customHeight="1" outlineLevel="1" x14ac:dyDescent="0.2">
      <c r="B132" s="378" t="s">
        <v>504</v>
      </c>
      <c r="C132" s="755"/>
      <c r="D132" s="215" t="s">
        <v>209</v>
      </c>
      <c r="E132" s="749" t="s">
        <v>396</v>
      </c>
      <c r="F132" s="749"/>
      <c r="G132" s="197">
        <v>2</v>
      </c>
      <c r="H132" s="721"/>
      <c r="I132" s="149"/>
      <c r="J132" s="148"/>
      <c r="K132" s="161"/>
      <c r="L132" s="161"/>
      <c r="M132" s="197">
        <v>2</v>
      </c>
      <c r="N132" s="721"/>
      <c r="O132" s="203"/>
      <c r="P132" s="148"/>
      <c r="Q132" s="161"/>
      <c r="R132" s="161"/>
      <c r="S132" s="197">
        <v>2</v>
      </c>
      <c r="T132" s="721"/>
      <c r="U132" s="149"/>
      <c r="V132" s="148"/>
      <c r="W132" s="161"/>
      <c r="X132" s="161"/>
      <c r="Y132" s="197">
        <v>2</v>
      </c>
      <c r="Z132" s="721"/>
      <c r="AA132" s="179"/>
      <c r="AB132" s="167"/>
      <c r="AC132" s="183"/>
      <c r="AD132" s="183"/>
      <c r="AE132" s="197">
        <v>2</v>
      </c>
      <c r="AF132" s="721"/>
      <c r="AG132" s="149"/>
      <c r="AH132" s="148"/>
      <c r="AI132" s="161"/>
      <c r="AJ132" s="161"/>
      <c r="AK132" s="197">
        <v>1</v>
      </c>
      <c r="AL132" s="721"/>
      <c r="AM132" s="149" t="s">
        <v>505</v>
      </c>
      <c r="AN132" s="148"/>
      <c r="AO132" s="161"/>
      <c r="AP132" s="161"/>
      <c r="AQ132" s="197">
        <v>1</v>
      </c>
      <c r="AR132" s="721"/>
      <c r="AS132" s="179"/>
      <c r="AT132" s="148" t="s">
        <v>506</v>
      </c>
      <c r="AU132" s="161"/>
      <c r="AV132" s="161"/>
      <c r="AW132" s="197">
        <v>2</v>
      </c>
      <c r="AX132" s="721"/>
      <c r="AY132" s="149"/>
      <c r="AZ132" s="148"/>
      <c r="BA132" s="161"/>
      <c r="BB132" s="161"/>
      <c r="BC132" s="197">
        <v>2</v>
      </c>
      <c r="BD132" s="721"/>
      <c r="BE132" s="149"/>
      <c r="BF132" s="148"/>
      <c r="BG132" s="161"/>
      <c r="BH132" s="161"/>
      <c r="BI132" s="197">
        <v>2</v>
      </c>
      <c r="BJ132" s="721"/>
      <c r="BK132" s="149"/>
      <c r="BL132" s="148"/>
      <c r="BM132" s="161"/>
      <c r="BN132" s="161"/>
      <c r="BO132" s="197"/>
      <c r="BP132" s="721"/>
      <c r="BQ132" s="149"/>
      <c r="BR132" s="148"/>
      <c r="BS132" s="161"/>
      <c r="BT132" s="161"/>
      <c r="BU132" s="197"/>
      <c r="BV132" s="721"/>
      <c r="BW132" s="149"/>
      <c r="BX132" s="148"/>
      <c r="BY132" s="161"/>
      <c r="BZ132" s="161"/>
      <c r="CA132" s="197"/>
      <c r="CB132" s="721"/>
      <c r="CC132" s="199"/>
      <c r="CD132" s="148"/>
      <c r="CE132" s="148"/>
      <c r="CF132" s="161"/>
      <c r="CG132" s="230"/>
      <c r="CH132" s="789"/>
      <c r="CI132" s="147"/>
      <c r="CJ132" s="148"/>
      <c r="CK132" s="161"/>
      <c r="CL132" s="161"/>
    </row>
    <row r="133" spans="1:90" ht="43.5" customHeight="1" outlineLevel="1" x14ac:dyDescent="0.2">
      <c r="B133" s="378" t="s">
        <v>507</v>
      </c>
      <c r="C133" s="755"/>
      <c r="D133" s="215" t="s">
        <v>245</v>
      </c>
      <c r="E133" s="749" t="s">
        <v>352</v>
      </c>
      <c r="F133" s="749"/>
      <c r="G133" s="197">
        <v>2</v>
      </c>
      <c r="H133" s="721"/>
      <c r="I133" s="149"/>
      <c r="J133" s="148"/>
      <c r="K133" s="161"/>
      <c r="L133" s="161"/>
      <c r="M133" s="197">
        <v>2</v>
      </c>
      <c r="N133" s="721"/>
      <c r="O133" s="203"/>
      <c r="P133" s="148"/>
      <c r="Q133" s="161"/>
      <c r="R133" s="161"/>
      <c r="S133" s="197">
        <v>2</v>
      </c>
      <c r="T133" s="721"/>
      <c r="U133" s="198"/>
      <c r="V133" s="148"/>
      <c r="W133" s="161"/>
      <c r="X133" s="161"/>
      <c r="Y133" s="197">
        <v>2</v>
      </c>
      <c r="Z133" s="721"/>
      <c r="AA133" s="179"/>
      <c r="AB133" s="167"/>
      <c r="AC133" s="183"/>
      <c r="AD133" s="183"/>
      <c r="AE133" s="197">
        <v>2</v>
      </c>
      <c r="AF133" s="721"/>
      <c r="AG133" s="149"/>
      <c r="AH133" s="148"/>
      <c r="AI133" s="161"/>
      <c r="AJ133" s="161"/>
      <c r="AK133" s="197">
        <v>2</v>
      </c>
      <c r="AL133" s="721"/>
      <c r="AM133" s="149"/>
      <c r="AN133" s="148"/>
      <c r="AO133" s="161"/>
      <c r="AP133" s="161"/>
      <c r="AQ133" s="197">
        <v>2</v>
      </c>
      <c r="AR133" s="721"/>
      <c r="AS133" s="179"/>
      <c r="AT133" s="148"/>
      <c r="AU133" s="161"/>
      <c r="AV133" s="161"/>
      <c r="AW133" s="197">
        <v>2</v>
      </c>
      <c r="AX133" s="721"/>
      <c r="AY133" s="149"/>
      <c r="AZ133" s="148"/>
      <c r="BA133" s="161"/>
      <c r="BB133" s="161"/>
      <c r="BC133" s="197">
        <v>2</v>
      </c>
      <c r="BD133" s="721"/>
      <c r="BE133" s="149"/>
      <c r="BF133" s="148"/>
      <c r="BG133" s="161"/>
      <c r="BH133" s="161"/>
      <c r="BI133" s="197">
        <v>2</v>
      </c>
      <c r="BJ133" s="721"/>
      <c r="BK133" s="149"/>
      <c r="BL133" s="148"/>
      <c r="BM133" s="161"/>
      <c r="BN133" s="161"/>
      <c r="BO133" s="197"/>
      <c r="BP133" s="721"/>
      <c r="BQ133" s="149"/>
      <c r="BR133" s="148"/>
      <c r="BS133" s="161"/>
      <c r="BT133" s="161"/>
      <c r="BU133" s="197"/>
      <c r="BV133" s="721"/>
      <c r="BW133" s="149"/>
      <c r="BX133" s="148"/>
      <c r="BY133" s="161"/>
      <c r="BZ133" s="161"/>
      <c r="CA133" s="197"/>
      <c r="CB133" s="721"/>
      <c r="CC133" s="179"/>
      <c r="CD133" s="148"/>
      <c r="CE133" s="148"/>
      <c r="CF133" s="161"/>
      <c r="CG133" s="230"/>
      <c r="CH133" s="789"/>
      <c r="CI133" s="147"/>
      <c r="CJ133" s="148"/>
      <c r="CK133" s="161"/>
      <c r="CL133" s="161"/>
    </row>
    <row r="134" spans="1:90" ht="34.5" customHeight="1" outlineLevel="1" x14ac:dyDescent="0.2">
      <c r="B134" s="379" t="s">
        <v>508</v>
      </c>
      <c r="C134" s="806"/>
      <c r="D134" s="260" t="s">
        <v>220</v>
      </c>
      <c r="E134" s="807" t="s">
        <v>221</v>
      </c>
      <c r="F134" s="807"/>
      <c r="G134" s="261">
        <v>2</v>
      </c>
      <c r="H134" s="737"/>
      <c r="I134" s="152"/>
      <c r="J134" s="151"/>
      <c r="K134" s="163"/>
      <c r="L134" s="163"/>
      <c r="M134" s="261">
        <v>2</v>
      </c>
      <c r="N134" s="737"/>
      <c r="O134" s="262"/>
      <c r="P134" s="151"/>
      <c r="Q134" s="163"/>
      <c r="R134" s="163"/>
      <c r="S134" s="261">
        <v>2</v>
      </c>
      <c r="T134" s="737"/>
      <c r="U134" s="152"/>
      <c r="V134" s="151"/>
      <c r="W134" s="163"/>
      <c r="X134" s="163"/>
      <c r="Y134" s="261">
        <v>2</v>
      </c>
      <c r="Z134" s="737"/>
      <c r="AA134" s="180"/>
      <c r="AB134" s="169"/>
      <c r="AC134" s="184"/>
      <c r="AD134" s="184"/>
      <c r="AE134" s="261">
        <v>2</v>
      </c>
      <c r="AF134" s="737"/>
      <c r="AG134" s="275"/>
      <c r="AH134" s="151"/>
      <c r="AI134" s="163"/>
      <c r="AJ134" s="163"/>
      <c r="AK134" s="261">
        <v>2</v>
      </c>
      <c r="AL134" s="737"/>
      <c r="AM134" s="275"/>
      <c r="AN134" s="276"/>
      <c r="AO134" s="163"/>
      <c r="AP134" s="163"/>
      <c r="AQ134" s="261">
        <v>2</v>
      </c>
      <c r="AR134" s="737"/>
      <c r="AS134" s="180"/>
      <c r="AT134" s="151"/>
      <c r="AU134" s="163"/>
      <c r="AV134" s="163"/>
      <c r="AW134" s="261">
        <v>2</v>
      </c>
      <c r="AX134" s="737"/>
      <c r="AY134" s="152"/>
      <c r="AZ134" s="151"/>
      <c r="BA134" s="163"/>
      <c r="BB134" s="163"/>
      <c r="BC134" s="261">
        <v>2</v>
      </c>
      <c r="BD134" s="737"/>
      <c r="BE134" s="152"/>
      <c r="BF134" s="151"/>
      <c r="BG134" s="163"/>
      <c r="BH134" s="163"/>
      <c r="BI134" s="261">
        <v>2</v>
      </c>
      <c r="BJ134" s="737"/>
      <c r="BK134" s="152"/>
      <c r="BL134" s="151"/>
      <c r="BM134" s="163"/>
      <c r="BN134" s="163"/>
      <c r="BO134" s="261"/>
      <c r="BP134" s="737"/>
      <c r="BQ134" s="152"/>
      <c r="BR134" s="151"/>
      <c r="BS134" s="163"/>
      <c r="BT134" s="163"/>
      <c r="BU134" s="261"/>
      <c r="BV134" s="737"/>
      <c r="BW134" s="152"/>
      <c r="BX134" s="151"/>
      <c r="BY134" s="163"/>
      <c r="BZ134" s="163"/>
      <c r="CA134" s="261"/>
      <c r="CB134" s="737"/>
      <c r="CC134" s="277"/>
      <c r="CD134" s="151"/>
      <c r="CE134" s="163"/>
      <c r="CF134" s="163"/>
      <c r="CG134" s="263"/>
      <c r="CH134" s="789"/>
      <c r="CI134" s="150"/>
      <c r="CJ134" s="151"/>
      <c r="CK134" s="163"/>
      <c r="CL134" s="163"/>
    </row>
    <row r="135" spans="1:90" s="266" customFormat="1" ht="40.5" customHeight="1" outlineLevel="1" x14ac:dyDescent="0.2">
      <c r="A135" s="136"/>
      <c r="B135" s="369" t="s">
        <v>509</v>
      </c>
      <c r="C135" s="757" t="s">
        <v>254</v>
      </c>
      <c r="D135" s="249" t="s">
        <v>255</v>
      </c>
      <c r="E135" s="744" t="s">
        <v>356</v>
      </c>
      <c r="F135" s="744"/>
      <c r="G135" s="222">
        <v>2</v>
      </c>
      <c r="H135" s="720">
        <f>SUM(G135:G139)</f>
        <v>10</v>
      </c>
      <c r="I135" s="225"/>
      <c r="J135" s="224"/>
      <c r="K135" s="252"/>
      <c r="L135" s="252"/>
      <c r="M135" s="222">
        <v>2</v>
      </c>
      <c r="N135" s="720">
        <f>SUM(M135:M139)</f>
        <v>10</v>
      </c>
      <c r="O135" s="257"/>
      <c r="P135" s="224"/>
      <c r="Q135" s="252"/>
      <c r="R135" s="252"/>
      <c r="S135" s="222">
        <v>2</v>
      </c>
      <c r="T135" s="720">
        <f>SUM(S135:S139)</f>
        <v>10</v>
      </c>
      <c r="U135" s="225"/>
      <c r="V135" s="224"/>
      <c r="W135" s="252"/>
      <c r="X135" s="252"/>
      <c r="Y135" s="222">
        <v>2</v>
      </c>
      <c r="Z135" s="720">
        <f>SUM(Y135:Y139)</f>
        <v>10</v>
      </c>
      <c r="AA135" s="227"/>
      <c r="AB135" s="226"/>
      <c r="AC135" s="253"/>
      <c r="AD135" s="253"/>
      <c r="AE135" s="222">
        <v>2</v>
      </c>
      <c r="AF135" s="720">
        <f>SUM(AE135:AE139)</f>
        <v>10</v>
      </c>
      <c r="AG135" s="225"/>
      <c r="AH135" s="224"/>
      <c r="AI135" s="252"/>
      <c r="AJ135" s="252"/>
      <c r="AK135" s="222">
        <v>2</v>
      </c>
      <c r="AL135" s="720">
        <v>10</v>
      </c>
      <c r="AM135" s="225"/>
      <c r="AN135" s="224"/>
      <c r="AO135" s="252"/>
      <c r="AP135" s="252"/>
      <c r="AQ135" s="222">
        <v>2</v>
      </c>
      <c r="AR135" s="720">
        <f>SUM(AQ135:AQ139)</f>
        <v>10</v>
      </c>
      <c r="AS135" s="225"/>
      <c r="AT135" s="224"/>
      <c r="AU135" s="252"/>
      <c r="AV135" s="252"/>
      <c r="AW135" s="222">
        <v>2</v>
      </c>
      <c r="AX135" s="720">
        <f>SUM(AW135:AW139)</f>
        <v>10</v>
      </c>
      <c r="AY135" s="225"/>
      <c r="AZ135" s="224"/>
      <c r="BA135" s="252"/>
      <c r="BB135" s="252"/>
      <c r="BC135" s="222">
        <v>2</v>
      </c>
      <c r="BD135" s="720">
        <f>SUM(BC135:BC139)</f>
        <v>10</v>
      </c>
      <c r="BE135" s="225"/>
      <c r="BF135" s="224"/>
      <c r="BG135" s="252"/>
      <c r="BH135" s="252"/>
      <c r="BI135" s="222">
        <v>2</v>
      </c>
      <c r="BJ135" s="720">
        <v>8</v>
      </c>
      <c r="BK135" s="225"/>
      <c r="BL135" s="224"/>
      <c r="BM135" s="252"/>
      <c r="BN135" s="252"/>
      <c r="BO135" s="222"/>
      <c r="BP135" s="720">
        <v>10</v>
      </c>
      <c r="BQ135" s="225"/>
      <c r="BR135" s="224"/>
      <c r="BS135" s="252"/>
      <c r="BT135" s="252"/>
      <c r="BU135" s="222"/>
      <c r="BV135" s="720">
        <v>10</v>
      </c>
      <c r="BW135" s="225"/>
      <c r="BX135" s="224"/>
      <c r="BY135" s="252"/>
      <c r="BZ135" s="252"/>
      <c r="CA135" s="222"/>
      <c r="CB135" s="720">
        <f>SUM(CA135:CA139)</f>
        <v>0</v>
      </c>
      <c r="CC135" s="228"/>
      <c r="CD135" s="224"/>
      <c r="CE135" s="252"/>
      <c r="CF135" s="252"/>
      <c r="CG135" s="222"/>
      <c r="CH135" s="788">
        <f>SUM(CG135:CG139)</f>
        <v>0</v>
      </c>
      <c r="CI135" s="160"/>
      <c r="CJ135" s="224"/>
      <c r="CK135" s="252"/>
      <c r="CL135" s="252"/>
    </row>
    <row r="136" spans="1:90" ht="36" customHeight="1" outlineLevel="1" x14ac:dyDescent="0.2">
      <c r="B136" s="370" t="s">
        <v>510</v>
      </c>
      <c r="C136" s="758"/>
      <c r="D136" s="219" t="s">
        <v>258</v>
      </c>
      <c r="E136" s="745" t="s">
        <v>259</v>
      </c>
      <c r="F136" s="745"/>
      <c r="G136" s="197">
        <v>2</v>
      </c>
      <c r="H136" s="721"/>
      <c r="I136" s="149"/>
      <c r="J136" s="148"/>
      <c r="K136" s="161"/>
      <c r="L136" s="161"/>
      <c r="M136" s="197">
        <v>2</v>
      </c>
      <c r="N136" s="721"/>
      <c r="O136" s="203"/>
      <c r="P136" s="148"/>
      <c r="Q136" s="161"/>
      <c r="R136" s="161"/>
      <c r="S136" s="197">
        <v>2</v>
      </c>
      <c r="T136" s="721"/>
      <c r="U136" s="149"/>
      <c r="V136" s="148"/>
      <c r="W136" s="161"/>
      <c r="X136" s="161"/>
      <c r="Y136" s="197">
        <v>2</v>
      </c>
      <c r="Z136" s="721"/>
      <c r="AA136" s="179"/>
      <c r="AB136" s="167"/>
      <c r="AC136" s="183"/>
      <c r="AD136" s="183"/>
      <c r="AE136" s="197">
        <v>2</v>
      </c>
      <c r="AF136" s="721"/>
      <c r="AG136" s="149"/>
      <c r="AH136" s="148"/>
      <c r="AI136" s="161"/>
      <c r="AJ136" s="161"/>
      <c r="AK136" s="197">
        <v>2</v>
      </c>
      <c r="AL136" s="721"/>
      <c r="AM136" s="149"/>
      <c r="AN136" s="148"/>
      <c r="AO136" s="161"/>
      <c r="AP136" s="161"/>
      <c r="AQ136" s="197">
        <v>2</v>
      </c>
      <c r="AR136" s="721"/>
      <c r="AS136" s="149"/>
      <c r="AT136" s="148"/>
      <c r="AU136" s="161"/>
      <c r="AV136" s="161"/>
      <c r="AW136" s="197">
        <v>2</v>
      </c>
      <c r="AX136" s="721"/>
      <c r="AY136" s="149"/>
      <c r="AZ136" s="148"/>
      <c r="BA136" s="161"/>
      <c r="BB136" s="161"/>
      <c r="BC136" s="197">
        <v>2</v>
      </c>
      <c r="BD136" s="721"/>
      <c r="BE136" s="149"/>
      <c r="BF136" s="148"/>
      <c r="BG136" s="161"/>
      <c r="BH136" s="161"/>
      <c r="BI136" s="197">
        <v>2</v>
      </c>
      <c r="BJ136" s="721"/>
      <c r="BK136" s="149"/>
      <c r="BL136" s="148"/>
      <c r="BM136" s="161"/>
      <c r="BN136" s="161"/>
      <c r="BO136" s="197"/>
      <c r="BP136" s="721"/>
      <c r="BQ136" s="149"/>
      <c r="BR136" s="148"/>
      <c r="BS136" s="161"/>
      <c r="BT136" s="161"/>
      <c r="BU136" s="197"/>
      <c r="BV136" s="721"/>
      <c r="BW136" s="149"/>
      <c r="BX136" s="148"/>
      <c r="BY136" s="161"/>
      <c r="BZ136" s="161"/>
      <c r="CA136" s="197"/>
      <c r="CB136" s="721"/>
      <c r="CC136" s="179"/>
      <c r="CD136" s="448"/>
      <c r="CE136" s="161"/>
      <c r="CF136" s="161"/>
      <c r="CG136" s="197"/>
      <c r="CH136" s="789"/>
      <c r="CI136" s="147"/>
      <c r="CJ136" s="148"/>
      <c r="CK136" s="161"/>
      <c r="CL136" s="161"/>
    </row>
    <row r="137" spans="1:90" ht="31.5" customHeight="1" outlineLevel="1" x14ac:dyDescent="0.2">
      <c r="B137" s="370" t="s">
        <v>511</v>
      </c>
      <c r="C137" s="758"/>
      <c r="D137" s="219" t="s">
        <v>261</v>
      </c>
      <c r="E137" s="745" t="s">
        <v>512</v>
      </c>
      <c r="F137" s="745"/>
      <c r="G137" s="197">
        <v>2</v>
      </c>
      <c r="H137" s="721"/>
      <c r="I137" s="149"/>
      <c r="J137" s="148"/>
      <c r="K137" s="161"/>
      <c r="L137" s="161"/>
      <c r="M137" s="197">
        <v>2</v>
      </c>
      <c r="N137" s="721"/>
      <c r="O137" s="203"/>
      <c r="P137" s="148"/>
      <c r="Q137" s="161"/>
      <c r="R137" s="161"/>
      <c r="S137" s="197">
        <v>2</v>
      </c>
      <c r="T137" s="721"/>
      <c r="U137" s="149"/>
      <c r="V137" s="148"/>
      <c r="W137" s="161"/>
      <c r="X137" s="161"/>
      <c r="Y137" s="197">
        <v>2</v>
      </c>
      <c r="Z137" s="721"/>
      <c r="AA137" s="179"/>
      <c r="AB137" s="167"/>
      <c r="AC137" s="183"/>
      <c r="AD137" s="183"/>
      <c r="AE137" s="197">
        <v>2</v>
      </c>
      <c r="AF137" s="721"/>
      <c r="AG137" s="149"/>
      <c r="AH137" s="148"/>
      <c r="AI137" s="161"/>
      <c r="AJ137" s="161"/>
      <c r="AK137" s="197">
        <v>2</v>
      </c>
      <c r="AL137" s="721"/>
      <c r="AM137" s="149"/>
      <c r="AN137" s="148"/>
      <c r="AO137" s="161"/>
      <c r="AP137" s="161"/>
      <c r="AQ137" s="197">
        <v>2</v>
      </c>
      <c r="AR137" s="721"/>
      <c r="AS137" s="149"/>
      <c r="AT137" s="148"/>
      <c r="AU137" s="161"/>
      <c r="AV137" s="161"/>
      <c r="AW137" s="197">
        <v>2</v>
      </c>
      <c r="AX137" s="721"/>
      <c r="AY137" s="149"/>
      <c r="AZ137" s="148"/>
      <c r="BA137" s="161"/>
      <c r="BB137" s="161"/>
      <c r="BC137" s="197">
        <v>2</v>
      </c>
      <c r="BD137" s="721"/>
      <c r="BE137" s="149"/>
      <c r="BF137" s="148"/>
      <c r="BG137" s="161"/>
      <c r="BH137" s="161"/>
      <c r="BI137" s="197">
        <v>2</v>
      </c>
      <c r="BJ137" s="721"/>
      <c r="BK137" s="149"/>
      <c r="BL137" s="148"/>
      <c r="BM137" s="161"/>
      <c r="BN137" s="161"/>
      <c r="BO137" s="197"/>
      <c r="BP137" s="721"/>
      <c r="BQ137" s="149"/>
      <c r="BR137" s="148"/>
      <c r="BS137" s="161"/>
      <c r="BT137" s="161"/>
      <c r="BU137" s="197"/>
      <c r="BV137" s="721"/>
      <c r="BW137" s="149"/>
      <c r="BX137" s="148"/>
      <c r="BY137" s="161"/>
      <c r="BZ137" s="161"/>
      <c r="CA137" s="197"/>
      <c r="CB137" s="721"/>
      <c r="CC137" s="179"/>
      <c r="CD137" s="148"/>
      <c r="CE137" s="161"/>
      <c r="CF137" s="161"/>
      <c r="CG137" s="197"/>
      <c r="CH137" s="789"/>
      <c r="CI137" s="147"/>
      <c r="CJ137" s="148"/>
      <c r="CK137" s="161"/>
      <c r="CL137" s="161"/>
    </row>
    <row r="138" spans="1:90" ht="33.75" customHeight="1" outlineLevel="1" x14ac:dyDescent="0.2">
      <c r="B138" s="370" t="s">
        <v>513</v>
      </c>
      <c r="C138" s="758"/>
      <c r="D138" s="219" t="s">
        <v>264</v>
      </c>
      <c r="E138" s="745" t="s">
        <v>265</v>
      </c>
      <c r="F138" s="745"/>
      <c r="G138" s="197">
        <v>2</v>
      </c>
      <c r="H138" s="721"/>
      <c r="I138" s="149"/>
      <c r="J138" s="148"/>
      <c r="K138" s="161"/>
      <c r="L138" s="161"/>
      <c r="M138" s="197">
        <v>2</v>
      </c>
      <c r="N138" s="721"/>
      <c r="O138" s="203"/>
      <c r="P138" s="148"/>
      <c r="Q138" s="161"/>
      <c r="R138" s="161"/>
      <c r="S138" s="197">
        <v>2</v>
      </c>
      <c r="T138" s="721"/>
      <c r="U138" s="149"/>
      <c r="V138" s="148"/>
      <c r="W138" s="161"/>
      <c r="X138" s="161"/>
      <c r="Y138" s="197">
        <v>2</v>
      </c>
      <c r="Z138" s="721"/>
      <c r="AA138" s="179"/>
      <c r="AB138" s="167"/>
      <c r="AC138" s="183"/>
      <c r="AD138" s="183"/>
      <c r="AE138" s="197">
        <v>2</v>
      </c>
      <c r="AF138" s="721"/>
      <c r="AG138" s="149"/>
      <c r="AH138" s="148"/>
      <c r="AI138" s="161"/>
      <c r="AJ138" s="161"/>
      <c r="AK138" s="197">
        <v>2</v>
      </c>
      <c r="AL138" s="721"/>
      <c r="AM138" s="149"/>
      <c r="AN138" s="148"/>
      <c r="AO138" s="161"/>
      <c r="AP138" s="161"/>
      <c r="AQ138" s="197">
        <v>2</v>
      </c>
      <c r="AR138" s="721"/>
      <c r="AS138" s="149"/>
      <c r="AT138" s="148"/>
      <c r="AU138" s="161"/>
      <c r="AV138" s="161"/>
      <c r="AW138" s="197">
        <v>2</v>
      </c>
      <c r="AX138" s="721"/>
      <c r="AY138" s="149"/>
      <c r="AZ138" s="148"/>
      <c r="BA138" s="161"/>
      <c r="BB138" s="161"/>
      <c r="BC138" s="197">
        <v>2</v>
      </c>
      <c r="BD138" s="721"/>
      <c r="BE138" s="149"/>
      <c r="BF138" s="148"/>
      <c r="BG138" s="161"/>
      <c r="BH138" s="161"/>
      <c r="BI138" s="197">
        <v>2</v>
      </c>
      <c r="BJ138" s="721"/>
      <c r="BK138" s="149"/>
      <c r="BL138" s="148"/>
      <c r="BM138" s="161"/>
      <c r="BN138" s="161"/>
      <c r="BO138" s="197"/>
      <c r="BP138" s="721"/>
      <c r="BQ138" s="149"/>
      <c r="BR138" s="148"/>
      <c r="BS138" s="161"/>
      <c r="BT138" s="161"/>
      <c r="BU138" s="197"/>
      <c r="BV138" s="721"/>
      <c r="BW138" s="149"/>
      <c r="BX138" s="148"/>
      <c r="BY138" s="161"/>
      <c r="BZ138" s="161"/>
      <c r="CA138" s="197"/>
      <c r="CB138" s="721"/>
      <c r="CC138" s="179"/>
      <c r="CD138" s="148"/>
      <c r="CE138" s="161"/>
      <c r="CF138" s="161"/>
      <c r="CG138" s="197"/>
      <c r="CH138" s="789"/>
      <c r="CI138" s="147"/>
      <c r="CJ138" s="148"/>
      <c r="CK138" s="161"/>
      <c r="CL138" s="161"/>
    </row>
    <row r="139" spans="1:90" s="269" customFormat="1" ht="65.25" customHeight="1" outlineLevel="1" x14ac:dyDescent="0.2">
      <c r="A139" s="136"/>
      <c r="B139" s="368" t="s">
        <v>514</v>
      </c>
      <c r="C139" s="759"/>
      <c r="D139" s="250" t="s">
        <v>270</v>
      </c>
      <c r="E139" s="746" t="s">
        <v>515</v>
      </c>
      <c r="F139" s="746"/>
      <c r="G139" s="232">
        <v>2</v>
      </c>
      <c r="H139" s="722"/>
      <c r="I139" s="233"/>
      <c r="J139" s="234"/>
      <c r="K139" s="255"/>
      <c r="L139" s="255"/>
      <c r="M139" s="232">
        <v>2</v>
      </c>
      <c r="N139" s="722"/>
      <c r="O139" s="259"/>
      <c r="P139" s="234"/>
      <c r="Q139" s="255"/>
      <c r="R139" s="255"/>
      <c r="S139" s="232">
        <v>2</v>
      </c>
      <c r="T139" s="722"/>
      <c r="U139" s="233"/>
      <c r="V139" s="234"/>
      <c r="W139" s="255"/>
      <c r="X139" s="255"/>
      <c r="Y139" s="232">
        <v>2</v>
      </c>
      <c r="Z139" s="722"/>
      <c r="AA139" s="235"/>
      <c r="AB139" s="236"/>
      <c r="AC139" s="256"/>
      <c r="AD139" s="256"/>
      <c r="AE139" s="232">
        <v>2</v>
      </c>
      <c r="AF139" s="722"/>
      <c r="AG139" s="233"/>
      <c r="AH139" s="234"/>
      <c r="AI139" s="255"/>
      <c r="AJ139" s="255"/>
      <c r="AK139" s="232">
        <v>2</v>
      </c>
      <c r="AL139" s="722"/>
      <c r="AM139" s="233"/>
      <c r="AN139" s="234"/>
      <c r="AO139" s="255"/>
      <c r="AP139" s="255"/>
      <c r="AQ139" s="232">
        <v>2</v>
      </c>
      <c r="AR139" s="722"/>
      <c r="AS139" s="233"/>
      <c r="AT139" s="234"/>
      <c r="AU139" s="255"/>
      <c r="AV139" s="255"/>
      <c r="AW139" s="232">
        <v>2</v>
      </c>
      <c r="AX139" s="722"/>
      <c r="AY139" s="233"/>
      <c r="AZ139" s="234"/>
      <c r="BA139" s="255"/>
      <c r="BB139" s="255"/>
      <c r="BC139" s="232">
        <v>2</v>
      </c>
      <c r="BD139" s="722"/>
      <c r="BE139" s="233"/>
      <c r="BF139" s="234"/>
      <c r="BG139" s="255"/>
      <c r="BH139" s="255"/>
      <c r="BI139" s="232">
        <v>2</v>
      </c>
      <c r="BJ139" s="722"/>
      <c r="BK139" s="233"/>
      <c r="BL139" s="234"/>
      <c r="BM139" s="255"/>
      <c r="BN139" s="255"/>
      <c r="BO139" s="232"/>
      <c r="BP139" s="722"/>
      <c r="BQ139" s="233"/>
      <c r="BR139" s="234"/>
      <c r="BS139" s="255"/>
      <c r="BT139" s="255"/>
      <c r="BU139" s="232"/>
      <c r="BV139" s="722"/>
      <c r="BW139" s="233"/>
      <c r="BX139" s="234"/>
      <c r="BY139" s="255"/>
      <c r="BZ139" s="255"/>
      <c r="CA139" s="232"/>
      <c r="CB139" s="722"/>
      <c r="CC139" s="237"/>
      <c r="CD139" s="450"/>
      <c r="CE139" s="255"/>
      <c r="CF139" s="255"/>
      <c r="CG139" s="232"/>
      <c r="CH139" s="790"/>
      <c r="CI139" s="267"/>
      <c r="CJ139" s="234"/>
      <c r="CK139" s="255"/>
      <c r="CL139" s="255"/>
    </row>
    <row r="140" spans="1:90" ht="27.75" customHeight="1" outlineLevel="1" x14ac:dyDescent="0.2">
      <c r="B140" s="380"/>
      <c r="C140" s="779" t="s">
        <v>272</v>
      </c>
      <c r="D140" s="264" t="s">
        <v>273</v>
      </c>
      <c r="E140" s="781" t="s">
        <v>274</v>
      </c>
      <c r="F140" s="781"/>
      <c r="G140" s="246">
        <v>2</v>
      </c>
      <c r="H140" s="732">
        <f>SUM(G140:G142)</f>
        <v>6</v>
      </c>
      <c r="I140" s="194"/>
      <c r="J140" s="193"/>
      <c r="K140" s="194"/>
      <c r="L140" s="194"/>
      <c r="M140" s="246">
        <v>2</v>
      </c>
      <c r="N140" s="732">
        <f>SUM(M140:M142)</f>
        <v>6</v>
      </c>
      <c r="O140" s="194"/>
      <c r="P140" s="193"/>
      <c r="Q140" s="194"/>
      <c r="R140" s="194"/>
      <c r="S140" s="246">
        <v>2</v>
      </c>
      <c r="T140" s="732">
        <f>SUM(S140:S142)</f>
        <v>6</v>
      </c>
      <c r="U140" s="194"/>
      <c r="V140" s="193"/>
      <c r="W140" s="194"/>
      <c r="X140" s="194"/>
      <c r="Y140" s="246">
        <v>2</v>
      </c>
      <c r="Z140" s="732">
        <f>SUM(Y140:Y142)</f>
        <v>6</v>
      </c>
      <c r="AA140" s="247"/>
      <c r="AB140" s="248"/>
      <c r="AC140" s="247"/>
      <c r="AD140" s="247"/>
      <c r="AE140" s="220">
        <v>2</v>
      </c>
      <c r="AF140" s="732">
        <f>AE140+AE141+AE142</f>
        <v>6</v>
      </c>
      <c r="AG140" s="194"/>
      <c r="AH140" s="193"/>
      <c r="AI140" s="194"/>
      <c r="AJ140" s="194"/>
      <c r="AK140" s="220">
        <v>2</v>
      </c>
      <c r="AL140" s="732">
        <v>6</v>
      </c>
      <c r="AM140" s="194"/>
      <c r="AN140" s="194"/>
      <c r="AO140" s="194"/>
      <c r="AP140" s="194"/>
      <c r="AQ140" s="220">
        <v>2</v>
      </c>
      <c r="AR140" s="726">
        <f>SUM(AQ140:AQ142)</f>
        <v>6</v>
      </c>
      <c r="AS140" s="194"/>
      <c r="AT140" s="194"/>
      <c r="AU140" s="194"/>
      <c r="AV140" s="194"/>
      <c r="AW140" s="220">
        <v>2</v>
      </c>
      <c r="AX140" s="726">
        <f>SUM(AW140:AW142)</f>
        <v>6</v>
      </c>
      <c r="AY140" s="155"/>
      <c r="AZ140" s="155"/>
      <c r="BA140" s="155"/>
      <c r="BB140" s="155"/>
      <c r="BC140" s="220">
        <v>2</v>
      </c>
      <c r="BD140" s="726">
        <f>SUM(BC140:BC142)</f>
        <v>6</v>
      </c>
      <c r="BE140" s="155"/>
      <c r="BF140" s="155"/>
      <c r="BG140" s="155"/>
      <c r="BH140" s="155"/>
      <c r="BI140" s="220">
        <v>2</v>
      </c>
      <c r="BJ140" s="726">
        <v>6</v>
      </c>
      <c r="BK140" s="155"/>
      <c r="BL140" s="155"/>
      <c r="BM140" s="155"/>
      <c r="BN140" s="155"/>
      <c r="BO140" s="220"/>
      <c r="BP140" s="726">
        <v>6</v>
      </c>
      <c r="BQ140" s="155"/>
      <c r="BR140" s="155"/>
      <c r="BS140" s="155"/>
      <c r="BT140" s="155"/>
      <c r="BU140" s="220"/>
      <c r="BV140" s="726">
        <v>6</v>
      </c>
      <c r="BW140" s="155"/>
      <c r="BX140" s="155"/>
      <c r="BY140" s="155"/>
      <c r="BZ140" s="155"/>
      <c r="CA140" s="220"/>
      <c r="CB140" s="728">
        <f>SUM(CA140:CA142)</f>
        <v>0</v>
      </c>
      <c r="CC140" s="353"/>
      <c r="CD140" s="179"/>
      <c r="CE140" s="179"/>
      <c r="CF140" s="351"/>
      <c r="CG140" s="220"/>
      <c r="CH140" s="774">
        <f>SUM(CG140:CG142)</f>
        <v>0</v>
      </c>
      <c r="CI140" s="192"/>
      <c r="CJ140" s="193"/>
      <c r="CK140" s="194"/>
      <c r="CL140" s="194"/>
    </row>
    <row r="141" spans="1:90" ht="24.75" customHeight="1" outlineLevel="1" x14ac:dyDescent="0.2">
      <c r="B141" s="381"/>
      <c r="C141" s="780"/>
      <c r="D141" s="204" t="s">
        <v>275</v>
      </c>
      <c r="E141" s="772" t="s">
        <v>276</v>
      </c>
      <c r="F141" s="772"/>
      <c r="G141" s="202">
        <v>2</v>
      </c>
      <c r="H141" s="733"/>
      <c r="I141" s="155"/>
      <c r="J141" s="154"/>
      <c r="K141" s="155"/>
      <c r="L141" s="155"/>
      <c r="M141" s="202">
        <v>2</v>
      </c>
      <c r="N141" s="733"/>
      <c r="O141" s="155"/>
      <c r="P141" s="154"/>
      <c r="Q141" s="155"/>
      <c r="R141" s="155"/>
      <c r="S141" s="202">
        <v>2</v>
      </c>
      <c r="T141" s="733"/>
      <c r="U141" s="155"/>
      <c r="V141" s="154"/>
      <c r="W141" s="155"/>
      <c r="X141" s="155"/>
      <c r="Y141" s="202">
        <v>2</v>
      </c>
      <c r="Z141" s="733"/>
      <c r="AA141" s="182"/>
      <c r="AB141" s="181"/>
      <c r="AC141" s="182"/>
      <c r="AD141" s="182"/>
      <c r="AE141" s="197">
        <v>2</v>
      </c>
      <c r="AF141" s="733"/>
      <c r="AG141" s="155"/>
      <c r="AH141" s="154"/>
      <c r="AI141" s="155"/>
      <c r="AJ141" s="155"/>
      <c r="AK141" s="197">
        <v>2</v>
      </c>
      <c r="AL141" s="733"/>
      <c r="AM141" s="194"/>
      <c r="AN141" s="194"/>
      <c r="AO141" s="194"/>
      <c r="AP141" s="194"/>
      <c r="AQ141" s="197">
        <v>2</v>
      </c>
      <c r="AR141" s="727"/>
      <c r="AS141" s="194"/>
      <c r="AT141" s="194"/>
      <c r="AU141" s="194"/>
      <c r="AV141" s="194"/>
      <c r="AW141" s="197">
        <v>2</v>
      </c>
      <c r="AX141" s="727"/>
      <c r="AY141" s="155"/>
      <c r="AZ141" s="155"/>
      <c r="BA141" s="155"/>
      <c r="BB141" s="155"/>
      <c r="BC141" s="197">
        <v>2</v>
      </c>
      <c r="BD141" s="727"/>
      <c r="BE141" s="155"/>
      <c r="BF141" s="155"/>
      <c r="BG141" s="155"/>
      <c r="BH141" s="155"/>
      <c r="BI141" s="197">
        <v>2</v>
      </c>
      <c r="BJ141" s="727"/>
      <c r="BK141" s="155"/>
      <c r="BL141" s="155"/>
      <c r="BM141" s="155"/>
      <c r="BN141" s="155"/>
      <c r="BO141" s="197"/>
      <c r="BP141" s="727"/>
      <c r="BQ141" s="155"/>
      <c r="BR141" s="155"/>
      <c r="BS141" s="155"/>
      <c r="BT141" s="155"/>
      <c r="BU141" s="197"/>
      <c r="BV141" s="727"/>
      <c r="BW141" s="155"/>
      <c r="BX141" s="155"/>
      <c r="BY141" s="155"/>
      <c r="BZ141" s="155"/>
      <c r="CA141" s="197"/>
      <c r="CB141" s="847"/>
      <c r="CC141" s="354"/>
      <c r="CD141" s="179"/>
      <c r="CE141" s="179"/>
      <c r="CF141" s="352"/>
      <c r="CG141" s="197"/>
      <c r="CH141" s="774"/>
      <c r="CI141" s="153"/>
      <c r="CJ141" s="154"/>
      <c r="CK141" s="155"/>
      <c r="CL141" s="155"/>
    </row>
    <row r="142" spans="1:90" ht="25.5" customHeight="1" outlineLevel="1" x14ac:dyDescent="0.2">
      <c r="B142" s="381"/>
      <c r="C142" s="780"/>
      <c r="D142" s="204" t="s">
        <v>281</v>
      </c>
      <c r="E142" s="772" t="s">
        <v>361</v>
      </c>
      <c r="F142" s="772"/>
      <c r="G142" s="202">
        <v>2</v>
      </c>
      <c r="H142" s="733"/>
      <c r="I142" s="155"/>
      <c r="J142" s="154"/>
      <c r="K142" s="340"/>
      <c r="L142" s="155"/>
      <c r="M142" s="202">
        <v>2</v>
      </c>
      <c r="N142" s="733"/>
      <c r="O142" s="155"/>
      <c r="P142" s="154"/>
      <c r="Q142" s="340"/>
      <c r="R142" s="155"/>
      <c r="S142" s="202">
        <v>2</v>
      </c>
      <c r="T142" s="733"/>
      <c r="U142" s="155"/>
      <c r="V142" s="154"/>
      <c r="W142" s="340"/>
      <c r="X142" s="155"/>
      <c r="Y142" s="202">
        <v>2</v>
      </c>
      <c r="Z142" s="733"/>
      <c r="AA142" s="182"/>
      <c r="AB142" s="181"/>
      <c r="AC142" s="340"/>
      <c r="AD142" s="182"/>
      <c r="AE142" s="197">
        <v>2</v>
      </c>
      <c r="AF142" s="733"/>
      <c r="AG142" s="155"/>
      <c r="AH142" s="154"/>
      <c r="AI142" s="340"/>
      <c r="AJ142" s="155"/>
      <c r="AK142" s="197">
        <v>2</v>
      </c>
      <c r="AL142" s="733"/>
      <c r="AM142" s="194"/>
      <c r="AN142" s="194"/>
      <c r="AO142" s="194"/>
      <c r="AP142" s="194"/>
      <c r="AQ142" s="197">
        <v>2</v>
      </c>
      <c r="AR142" s="728"/>
      <c r="AS142" s="194"/>
      <c r="AT142" s="194"/>
      <c r="AU142" s="194"/>
      <c r="AV142" s="194"/>
      <c r="AW142" s="197">
        <v>2</v>
      </c>
      <c r="AX142" s="728"/>
      <c r="AY142" s="155"/>
      <c r="AZ142" s="155"/>
      <c r="BA142" s="155"/>
      <c r="BB142" s="155"/>
      <c r="BC142" s="197">
        <v>2</v>
      </c>
      <c r="BD142" s="728"/>
      <c r="BE142" s="155"/>
      <c r="BF142" s="155"/>
      <c r="BG142" s="155"/>
      <c r="BH142" s="155"/>
      <c r="BI142" s="197">
        <v>2</v>
      </c>
      <c r="BJ142" s="728"/>
      <c r="BK142" s="155"/>
      <c r="BL142" s="155"/>
      <c r="BM142" s="155"/>
      <c r="BN142" s="155"/>
      <c r="BO142" s="197"/>
      <c r="BP142" s="728"/>
      <c r="BQ142" s="155"/>
      <c r="BR142" s="155"/>
      <c r="BS142" s="155"/>
      <c r="BT142" s="155"/>
      <c r="BU142" s="197"/>
      <c r="BV142" s="728"/>
      <c r="BW142" s="155"/>
      <c r="BX142" s="155"/>
      <c r="BY142" s="155"/>
      <c r="BZ142" s="155"/>
      <c r="CA142" s="197"/>
      <c r="CB142" s="847"/>
      <c r="CC142" s="354"/>
      <c r="CD142" s="179"/>
      <c r="CE142" s="179"/>
      <c r="CF142" s="352"/>
      <c r="CG142" s="197"/>
      <c r="CH142" s="774"/>
      <c r="CI142" s="153"/>
      <c r="CJ142" s="154"/>
      <c r="CK142" s="356"/>
      <c r="CL142" s="155"/>
    </row>
    <row r="143" spans="1:90" x14ac:dyDescent="0.2">
      <c r="B143" s="382" t="s">
        <v>516</v>
      </c>
      <c r="C143" s="208"/>
      <c r="D143" s="208"/>
      <c r="E143" s="208"/>
      <c r="F143" s="208"/>
      <c r="G143" s="208"/>
      <c r="H143" s="208"/>
      <c r="I143" s="341"/>
      <c r="J143" s="341"/>
      <c r="K143" s="341"/>
      <c r="L143" s="341"/>
      <c r="M143" s="208"/>
      <c r="N143" s="208"/>
      <c r="O143" s="341"/>
      <c r="P143" s="341"/>
      <c r="Q143" s="341"/>
      <c r="R143" s="341"/>
      <c r="S143" s="208"/>
      <c r="T143" s="208"/>
      <c r="U143" s="341"/>
      <c r="V143" s="341"/>
      <c r="W143" s="341"/>
      <c r="X143" s="341"/>
      <c r="Y143" s="208"/>
      <c r="Z143" s="208"/>
      <c r="AA143" s="341"/>
      <c r="AB143" s="341"/>
      <c r="AC143" s="341"/>
      <c r="AD143" s="341"/>
      <c r="AE143" s="208"/>
      <c r="AF143" s="208"/>
      <c r="AG143" s="341"/>
      <c r="AH143" s="341"/>
      <c r="AI143" s="341"/>
      <c r="AJ143" s="341"/>
      <c r="AK143" s="208"/>
      <c r="AL143" s="208"/>
      <c r="AM143" s="341"/>
      <c r="AN143" s="341"/>
      <c r="AO143" s="341"/>
      <c r="AP143" s="341"/>
      <c r="AQ143" s="208"/>
      <c r="AR143" s="208"/>
      <c r="AS143" s="341"/>
      <c r="AT143" s="341"/>
      <c r="AU143" s="341"/>
      <c r="AV143" s="341"/>
      <c r="AW143" s="208"/>
      <c r="AX143" s="208"/>
      <c r="AY143" s="341"/>
      <c r="AZ143" s="341"/>
      <c r="BA143" s="341"/>
      <c r="BB143" s="341"/>
      <c r="BC143" s="208"/>
      <c r="BD143" s="208"/>
      <c r="BE143" s="341"/>
      <c r="BF143" s="341"/>
      <c r="BG143" s="341"/>
      <c r="BH143" s="341"/>
      <c r="BI143" s="208"/>
      <c r="BJ143" s="208"/>
      <c r="BK143" s="341"/>
      <c r="BL143" s="341"/>
      <c r="BM143" s="341"/>
      <c r="BN143" s="341"/>
      <c r="BO143" s="208"/>
      <c r="BP143" s="208"/>
      <c r="BQ143" s="341"/>
      <c r="BR143" s="341"/>
      <c r="BS143" s="341"/>
      <c r="BT143" s="341"/>
      <c r="BU143" s="208"/>
      <c r="BV143" s="208"/>
      <c r="BW143" s="341"/>
      <c r="BX143" s="341"/>
      <c r="BY143" s="341"/>
      <c r="BZ143" s="341"/>
      <c r="CA143" s="208"/>
      <c r="CB143" s="208"/>
      <c r="CC143" s="341"/>
      <c r="CD143" s="341"/>
      <c r="CE143" s="341"/>
      <c r="CF143" s="341"/>
      <c r="CG143" s="209"/>
      <c r="CH143" s="59"/>
      <c r="CI143" s="355"/>
      <c r="CJ143" s="355"/>
      <c r="CK143" s="355"/>
      <c r="CL143" s="355"/>
    </row>
    <row r="144" spans="1:90" ht="21.75" customHeight="1" outlineLevel="1" x14ac:dyDescent="0.25">
      <c r="B144" s="371" t="s">
        <v>517</v>
      </c>
      <c r="C144" s="760" t="s">
        <v>166</v>
      </c>
      <c r="D144" s="221" t="s">
        <v>518</v>
      </c>
      <c r="E144" s="753" t="s">
        <v>519</v>
      </c>
      <c r="F144" s="753"/>
      <c r="G144" s="222">
        <v>2</v>
      </c>
      <c r="H144" s="720">
        <f>SUM(G144:G147)</f>
        <v>8</v>
      </c>
      <c r="I144" s="225"/>
      <c r="J144" s="224"/>
      <c r="K144" s="278"/>
      <c r="L144" s="278"/>
      <c r="M144" s="222">
        <v>2</v>
      </c>
      <c r="N144" s="720">
        <f>SUM(M144:M147)</f>
        <v>7</v>
      </c>
      <c r="O144" s="257"/>
      <c r="P144" s="224"/>
      <c r="Q144" s="226"/>
      <c r="R144" s="226"/>
      <c r="S144" s="222">
        <v>2</v>
      </c>
      <c r="T144" s="720">
        <f>SUM(S144:S147)</f>
        <v>7</v>
      </c>
      <c r="U144" s="223"/>
      <c r="V144" s="224"/>
      <c r="W144" s="278"/>
      <c r="X144" s="278"/>
      <c r="Y144" s="222">
        <v>2</v>
      </c>
      <c r="Z144" s="720">
        <f>SUM(Y144:Y147)</f>
        <v>8</v>
      </c>
      <c r="AA144" s="227"/>
      <c r="AB144" s="226"/>
      <c r="AC144" s="278"/>
      <c r="AD144" s="278"/>
      <c r="AE144" s="222">
        <v>2</v>
      </c>
      <c r="AF144" s="720">
        <f>AE147+AE146+AE145+AE144</f>
        <v>8</v>
      </c>
      <c r="AG144" s="225"/>
      <c r="AH144" s="224"/>
      <c r="AI144" s="278"/>
      <c r="AJ144" s="278"/>
      <c r="AK144" s="222">
        <v>1</v>
      </c>
      <c r="AL144" s="720">
        <v>6</v>
      </c>
      <c r="AM144" s="225" t="s">
        <v>520</v>
      </c>
      <c r="AN144" s="224"/>
      <c r="AO144" s="278"/>
      <c r="AP144" s="278"/>
      <c r="AQ144" s="222">
        <v>2</v>
      </c>
      <c r="AR144" s="720">
        <f>SUM(AQ144:AQ147)</f>
        <v>8</v>
      </c>
      <c r="AS144" s="225"/>
      <c r="AT144" s="224"/>
      <c r="AU144" s="278"/>
      <c r="AV144" s="278"/>
      <c r="AW144" s="222">
        <v>2</v>
      </c>
      <c r="AX144" s="720">
        <f>SUM(AW144:AW147)</f>
        <v>8</v>
      </c>
      <c r="AY144" s="225"/>
      <c r="AZ144" s="224"/>
      <c r="BA144" s="278"/>
      <c r="BB144" s="278"/>
      <c r="BC144" s="222">
        <v>2</v>
      </c>
      <c r="BD144" s="720">
        <f>SUM(BC144:BC147)</f>
        <v>8</v>
      </c>
      <c r="BE144" s="738"/>
      <c r="BF144" s="739"/>
      <c r="BG144" s="739"/>
      <c r="BH144" s="740"/>
      <c r="BI144" s="222">
        <v>2</v>
      </c>
      <c r="BJ144" s="720">
        <v>8</v>
      </c>
      <c r="BK144" s="225"/>
      <c r="BL144" s="224"/>
      <c r="BM144" s="278"/>
      <c r="BN144" s="278"/>
      <c r="BO144" s="222"/>
      <c r="BP144" s="720">
        <v>8</v>
      </c>
      <c r="BQ144" s="225"/>
      <c r="BR144" s="224"/>
      <c r="BS144" s="278"/>
      <c r="BT144" s="278"/>
      <c r="BU144" s="222"/>
      <c r="BV144" s="720">
        <v>6</v>
      </c>
      <c r="BW144" s="225"/>
      <c r="BX144" s="225"/>
      <c r="BY144" s="278"/>
      <c r="BZ144" s="278"/>
      <c r="CA144" s="222"/>
      <c r="CB144" s="799">
        <f>SUM(CA144:CA147)</f>
        <v>0</v>
      </c>
      <c r="CC144" s="228"/>
      <c r="CD144" s="445"/>
      <c r="CE144" s="278"/>
      <c r="CF144" s="278"/>
      <c r="CG144" s="229"/>
      <c r="CH144" s="788">
        <f>SUM(CG144:CG147)</f>
        <v>0</v>
      </c>
      <c r="CI144" s="144"/>
      <c r="CJ144" s="224"/>
      <c r="CK144" s="165"/>
      <c r="CL144" s="165"/>
    </row>
    <row r="145" spans="2:90" ht="45" customHeight="1" outlineLevel="1" x14ac:dyDescent="0.2">
      <c r="B145" s="372" t="s">
        <v>521</v>
      </c>
      <c r="C145" s="761"/>
      <c r="D145" s="207" t="s">
        <v>522</v>
      </c>
      <c r="E145" s="782" t="s">
        <v>523</v>
      </c>
      <c r="F145" s="782"/>
      <c r="G145" s="197">
        <v>2</v>
      </c>
      <c r="H145" s="721"/>
      <c r="I145" s="360"/>
      <c r="J145" s="148"/>
      <c r="K145" s="166"/>
      <c r="L145" s="166"/>
      <c r="M145" s="197">
        <v>1</v>
      </c>
      <c r="N145" s="721"/>
      <c r="O145" s="203" t="s">
        <v>524</v>
      </c>
      <c r="P145" s="167"/>
      <c r="Q145" s="167"/>
      <c r="R145" s="167"/>
      <c r="S145" s="197">
        <v>1</v>
      </c>
      <c r="T145" s="721"/>
      <c r="U145" s="149"/>
      <c r="V145" s="148" t="s">
        <v>525</v>
      </c>
      <c r="W145" s="166"/>
      <c r="X145" s="166"/>
      <c r="Y145" s="197">
        <v>2</v>
      </c>
      <c r="Z145" s="721"/>
      <c r="AA145" s="179"/>
      <c r="AB145" s="167"/>
      <c r="AC145" s="166"/>
      <c r="AD145" s="166"/>
      <c r="AE145" s="197">
        <v>2</v>
      </c>
      <c r="AF145" s="721"/>
      <c r="AG145" s="198"/>
      <c r="AH145" s="148"/>
      <c r="AI145" s="166"/>
      <c r="AJ145" s="166"/>
      <c r="AK145" s="197">
        <v>2</v>
      </c>
      <c r="AL145" s="721"/>
      <c r="AM145" s="198"/>
      <c r="AN145" s="188"/>
      <c r="AO145" s="166"/>
      <c r="AP145" s="166"/>
      <c r="AQ145" s="197">
        <v>2</v>
      </c>
      <c r="AR145" s="721"/>
      <c r="AS145" s="149"/>
      <c r="AT145" s="148"/>
      <c r="AU145" s="166"/>
      <c r="AV145" s="166"/>
      <c r="AW145" s="197">
        <v>2</v>
      </c>
      <c r="AX145" s="721"/>
      <c r="AY145" s="149"/>
      <c r="AZ145" s="148"/>
      <c r="BA145" s="166"/>
      <c r="BB145" s="166"/>
      <c r="BC145" s="197">
        <v>2</v>
      </c>
      <c r="BD145" s="721"/>
      <c r="BE145" s="149"/>
      <c r="BF145" s="148"/>
      <c r="BG145" s="166"/>
      <c r="BH145" s="166"/>
      <c r="BI145" s="197">
        <v>2</v>
      </c>
      <c r="BJ145" s="721"/>
      <c r="BK145" s="149"/>
      <c r="BL145" s="148"/>
      <c r="BM145" s="166"/>
      <c r="BN145" s="166"/>
      <c r="BO145" s="197"/>
      <c r="BP145" s="721"/>
      <c r="BQ145" s="149"/>
      <c r="BR145" s="148"/>
      <c r="BS145" s="166"/>
      <c r="BT145" s="166"/>
      <c r="BU145" s="197"/>
      <c r="BV145" s="721"/>
      <c r="BW145" s="149"/>
      <c r="BX145" s="148"/>
      <c r="BY145" s="166"/>
      <c r="BZ145" s="166"/>
      <c r="CA145" s="197"/>
      <c r="CB145" s="800"/>
      <c r="CC145" s="199"/>
      <c r="CD145" s="167"/>
      <c r="CE145" s="166"/>
      <c r="CF145" s="166"/>
      <c r="CG145" s="230"/>
      <c r="CH145" s="789"/>
      <c r="CI145" s="147"/>
      <c r="CJ145" s="148"/>
      <c r="CK145" s="166"/>
      <c r="CL145" s="166"/>
    </row>
    <row r="146" spans="2:90" ht="33" customHeight="1" outlineLevel="1" x14ac:dyDescent="0.2">
      <c r="B146" s="372" t="s">
        <v>526</v>
      </c>
      <c r="C146" s="761"/>
      <c r="D146" s="207" t="s">
        <v>527</v>
      </c>
      <c r="E146" s="782" t="s">
        <v>528</v>
      </c>
      <c r="F146" s="782"/>
      <c r="G146" s="197">
        <v>2</v>
      </c>
      <c r="H146" s="721"/>
      <c r="I146" s="149"/>
      <c r="J146" s="148"/>
      <c r="K146" s="166"/>
      <c r="L146" s="166"/>
      <c r="M146" s="197">
        <v>2</v>
      </c>
      <c r="N146" s="721"/>
      <c r="O146" s="203"/>
      <c r="P146" s="148"/>
      <c r="Q146" s="167"/>
      <c r="R146" s="167"/>
      <c r="S146" s="197">
        <v>2</v>
      </c>
      <c r="T146" s="721"/>
      <c r="U146" s="149"/>
      <c r="V146" s="148"/>
      <c r="W146" s="166"/>
      <c r="X146" s="166"/>
      <c r="Y146" s="197">
        <v>2</v>
      </c>
      <c r="Z146" s="721"/>
      <c r="AA146" s="179"/>
      <c r="AB146" s="167"/>
      <c r="AC146" s="166"/>
      <c r="AD146" s="166"/>
      <c r="AE146" s="197">
        <v>2</v>
      </c>
      <c r="AF146" s="721"/>
      <c r="AG146" s="149"/>
      <c r="AH146" s="148"/>
      <c r="AI146" s="166"/>
      <c r="AJ146" s="166"/>
      <c r="AK146" s="197">
        <v>1</v>
      </c>
      <c r="AL146" s="721"/>
      <c r="AM146" s="149" t="s">
        <v>529</v>
      </c>
      <c r="AN146" s="148"/>
      <c r="AO146" s="166"/>
      <c r="AP146" s="166"/>
      <c r="AQ146" s="197">
        <v>2</v>
      </c>
      <c r="AR146" s="721"/>
      <c r="AS146" s="149"/>
      <c r="AT146" s="148"/>
      <c r="AU146" s="166"/>
      <c r="AV146" s="166"/>
      <c r="AW146" s="197">
        <v>2</v>
      </c>
      <c r="AX146" s="721"/>
      <c r="AY146" s="149"/>
      <c r="AZ146" s="148"/>
      <c r="BA146" s="166"/>
      <c r="BB146" s="166"/>
      <c r="BC146" s="197">
        <v>2</v>
      </c>
      <c r="BD146" s="721"/>
      <c r="BE146" s="149"/>
      <c r="BF146" s="148"/>
      <c r="BG146" s="166"/>
      <c r="BH146" s="166"/>
      <c r="BI146" s="197">
        <v>2</v>
      </c>
      <c r="BJ146" s="721"/>
      <c r="BK146" s="149"/>
      <c r="BL146" s="148"/>
      <c r="BM146" s="166"/>
      <c r="BN146" s="166"/>
      <c r="BO146" s="197"/>
      <c r="BP146" s="721"/>
      <c r="BQ146" s="149"/>
      <c r="BR146" s="148"/>
      <c r="BS146" s="166"/>
      <c r="BT146" s="166"/>
      <c r="BU146" s="197"/>
      <c r="BV146" s="721"/>
      <c r="BW146" s="149"/>
      <c r="BX146" s="148"/>
      <c r="BY146" s="166"/>
      <c r="BZ146" s="166"/>
      <c r="CA146" s="197"/>
      <c r="CB146" s="800"/>
      <c r="CC146" s="179"/>
      <c r="CD146" s="167"/>
      <c r="CE146" s="166"/>
      <c r="CF146" s="166"/>
      <c r="CG146" s="230"/>
      <c r="CH146" s="789"/>
      <c r="CI146" s="147"/>
      <c r="CJ146" s="148"/>
      <c r="CK146" s="166"/>
      <c r="CL146" s="166"/>
    </row>
    <row r="147" spans="2:90" ht="36.75" customHeight="1" outlineLevel="1" x14ac:dyDescent="0.2">
      <c r="B147" s="373" t="s">
        <v>530</v>
      </c>
      <c r="C147" s="762"/>
      <c r="D147" s="254" t="s">
        <v>531</v>
      </c>
      <c r="E147" s="783" t="s">
        <v>199</v>
      </c>
      <c r="F147" s="783"/>
      <c r="G147" s="232">
        <v>2</v>
      </c>
      <c r="H147" s="722"/>
      <c r="I147" s="233"/>
      <c r="J147" s="234"/>
      <c r="K147" s="279"/>
      <c r="L147" s="279"/>
      <c r="M147" s="232">
        <v>2</v>
      </c>
      <c r="N147" s="722"/>
      <c r="O147" s="259"/>
      <c r="P147" s="234"/>
      <c r="Q147" s="236"/>
      <c r="R147" s="236"/>
      <c r="S147" s="232">
        <v>2</v>
      </c>
      <c r="T147" s="722"/>
      <c r="U147" s="233"/>
      <c r="V147" s="234"/>
      <c r="W147" s="279"/>
      <c r="X147" s="279"/>
      <c r="Y147" s="232">
        <v>2</v>
      </c>
      <c r="Z147" s="722"/>
      <c r="AA147" s="235"/>
      <c r="AB147" s="236"/>
      <c r="AC147" s="279"/>
      <c r="AD147" s="279"/>
      <c r="AE147" s="232">
        <v>2</v>
      </c>
      <c r="AF147" s="722"/>
      <c r="AG147" s="233"/>
      <c r="AH147" s="234"/>
      <c r="AI147" s="279"/>
      <c r="AJ147" s="279"/>
      <c r="AK147" s="232">
        <v>2</v>
      </c>
      <c r="AL147" s="722"/>
      <c r="AM147" s="233"/>
      <c r="AN147" s="234"/>
      <c r="AO147" s="279"/>
      <c r="AP147" s="279"/>
      <c r="AQ147" s="232">
        <v>2</v>
      </c>
      <c r="AR147" s="722"/>
      <c r="AS147" s="233"/>
      <c r="AT147" s="234"/>
      <c r="AU147" s="279"/>
      <c r="AV147" s="279"/>
      <c r="AW147" s="232">
        <v>2</v>
      </c>
      <c r="AX147" s="722"/>
      <c r="AY147" s="233"/>
      <c r="AZ147" s="234"/>
      <c r="BA147" s="279"/>
      <c r="BB147" s="279"/>
      <c r="BC147" s="232">
        <v>2</v>
      </c>
      <c r="BD147" s="722"/>
      <c r="BE147" s="233"/>
      <c r="BF147" s="234"/>
      <c r="BG147" s="279"/>
      <c r="BH147" s="279"/>
      <c r="BI147" s="232">
        <v>2</v>
      </c>
      <c r="BJ147" s="722"/>
      <c r="BK147" s="233"/>
      <c r="BL147" s="234"/>
      <c r="BM147" s="279"/>
      <c r="BN147" s="279"/>
      <c r="BO147" s="232"/>
      <c r="BP147" s="722"/>
      <c r="BQ147" s="233"/>
      <c r="BR147" s="234"/>
      <c r="BS147" s="279"/>
      <c r="BT147" s="279"/>
      <c r="BU147" s="232"/>
      <c r="BV147" s="722"/>
      <c r="BW147" s="233"/>
      <c r="BX147" s="233"/>
      <c r="BY147" s="279"/>
      <c r="BZ147" s="279"/>
      <c r="CA147" s="232"/>
      <c r="CB147" s="801"/>
      <c r="CC147" s="237"/>
      <c r="CD147" s="236"/>
      <c r="CE147" s="279"/>
      <c r="CF147" s="279"/>
      <c r="CG147" s="238"/>
      <c r="CH147" s="790"/>
      <c r="CI147" s="147"/>
      <c r="CJ147" s="234"/>
      <c r="CK147" s="166"/>
      <c r="CL147" s="166"/>
    </row>
    <row r="148" spans="2:90" ht="20.25" customHeight="1" outlineLevel="1" x14ac:dyDescent="0.2">
      <c r="B148" s="374" t="s">
        <v>532</v>
      </c>
      <c r="C148" s="769" t="s">
        <v>202</v>
      </c>
      <c r="D148" s="239" t="s">
        <v>203</v>
      </c>
      <c r="E148" s="747" t="s">
        <v>533</v>
      </c>
      <c r="F148" s="747"/>
      <c r="G148" s="222">
        <v>2</v>
      </c>
      <c r="H148" s="720">
        <f>SUM(G148:G151)</f>
        <v>7</v>
      </c>
      <c r="I148" s="225"/>
      <c r="J148" s="224"/>
      <c r="K148" s="278"/>
      <c r="L148" s="278"/>
      <c r="M148" s="222">
        <v>2</v>
      </c>
      <c r="N148" s="720">
        <f>SUM(M148:M151)</f>
        <v>8</v>
      </c>
      <c r="O148" s="257"/>
      <c r="P148" s="224"/>
      <c r="Q148" s="226"/>
      <c r="R148" s="226"/>
      <c r="S148" s="222">
        <v>2</v>
      </c>
      <c r="T148" s="720">
        <f>SUM(S148:S151)</f>
        <v>7</v>
      </c>
      <c r="U148" s="225"/>
      <c r="V148" s="224"/>
      <c r="W148" s="278"/>
      <c r="X148" s="278"/>
      <c r="Y148" s="222">
        <v>2</v>
      </c>
      <c r="Z148" s="720">
        <f>SUM(Y148:Y151)</f>
        <v>7</v>
      </c>
      <c r="AA148" s="227"/>
      <c r="AB148" s="226"/>
      <c r="AC148" s="278"/>
      <c r="AD148" s="278"/>
      <c r="AE148" s="222">
        <v>2</v>
      </c>
      <c r="AF148" s="720">
        <f>AE148+AE149+AE150+AE151</f>
        <v>8</v>
      </c>
      <c r="AG148" s="225"/>
      <c r="AH148" s="224"/>
      <c r="AI148" s="278"/>
      <c r="AJ148" s="278"/>
      <c r="AK148" s="222">
        <v>1</v>
      </c>
      <c r="AL148" s="720">
        <v>6</v>
      </c>
      <c r="AM148" s="227" t="s">
        <v>534</v>
      </c>
      <c r="AN148" s="224"/>
      <c r="AO148" s="278"/>
      <c r="AP148" s="278"/>
      <c r="AQ148" s="222">
        <v>1</v>
      </c>
      <c r="AR148" s="720">
        <f>SUM(AQ148:AQ151)</f>
        <v>7</v>
      </c>
      <c r="AS148" s="225"/>
      <c r="AT148" s="224" t="s">
        <v>535</v>
      </c>
      <c r="AU148" s="278"/>
      <c r="AV148" s="278"/>
      <c r="AW148" s="222">
        <v>2</v>
      </c>
      <c r="AX148" s="720">
        <f>SUM(AW148:AW151)</f>
        <v>8</v>
      </c>
      <c r="AY148" s="225"/>
      <c r="AZ148" s="224"/>
      <c r="BA148" s="278"/>
      <c r="BB148" s="278"/>
      <c r="BC148" s="222">
        <v>2</v>
      </c>
      <c r="BD148" s="720">
        <f>SUM(BC148:BC151)</f>
        <v>8</v>
      </c>
      <c r="BE148" s="225"/>
      <c r="BF148" s="224"/>
      <c r="BG148" s="278"/>
      <c r="BH148" s="278"/>
      <c r="BI148" s="222">
        <v>2</v>
      </c>
      <c r="BJ148" s="720">
        <f>SUM(BI148:BI151)</f>
        <v>7</v>
      </c>
      <c r="BK148" s="225"/>
      <c r="BL148" s="224"/>
      <c r="BM148" s="278"/>
      <c r="BN148" s="278"/>
      <c r="BO148" s="222"/>
      <c r="BP148" s="720">
        <v>5</v>
      </c>
      <c r="BQ148" s="225"/>
      <c r="BR148" s="224"/>
      <c r="BS148" s="278"/>
      <c r="BT148" s="278"/>
      <c r="BU148" s="222"/>
      <c r="BV148" s="720">
        <v>6</v>
      </c>
      <c r="BW148" s="225"/>
      <c r="BX148" s="224"/>
      <c r="BY148" s="278"/>
      <c r="BZ148" s="278"/>
      <c r="CA148" s="222"/>
      <c r="CB148" s="799">
        <f>SUM(CA148:CA151)</f>
        <v>0</v>
      </c>
      <c r="CC148" s="228"/>
      <c r="CD148" s="226"/>
      <c r="CE148" s="278"/>
      <c r="CF148" s="278"/>
      <c r="CG148" s="229"/>
      <c r="CH148" s="788">
        <f>SUM(CG148:CG151)</f>
        <v>0</v>
      </c>
      <c r="CI148" s="147"/>
      <c r="CJ148" s="224"/>
      <c r="CK148" s="166"/>
      <c r="CL148" s="166"/>
    </row>
    <row r="149" spans="2:90" ht="54.75" customHeight="1" outlineLevel="1" x14ac:dyDescent="0.25">
      <c r="B149" s="375" t="s">
        <v>536</v>
      </c>
      <c r="C149" s="770"/>
      <c r="D149" s="212" t="s">
        <v>209</v>
      </c>
      <c r="E149" s="748" t="s">
        <v>315</v>
      </c>
      <c r="F149" s="748"/>
      <c r="G149" s="197">
        <v>2</v>
      </c>
      <c r="H149" s="721"/>
      <c r="I149" s="198"/>
      <c r="J149" s="149"/>
      <c r="K149" s="149"/>
      <c r="L149" s="166"/>
      <c r="M149" s="197">
        <v>2</v>
      </c>
      <c r="N149" s="721"/>
      <c r="O149" s="203"/>
      <c r="P149" s="167"/>
      <c r="S149" s="197">
        <v>1</v>
      </c>
      <c r="T149" s="721"/>
      <c r="U149" s="149"/>
      <c r="V149" s="148" t="s">
        <v>537</v>
      </c>
      <c r="W149" s="166"/>
      <c r="X149" s="166"/>
      <c r="Y149" s="197">
        <v>1</v>
      </c>
      <c r="Z149" s="721"/>
      <c r="AA149" s="179"/>
      <c r="AB149" s="167"/>
      <c r="AC149" s="166"/>
      <c r="AD149" s="166" t="s">
        <v>538</v>
      </c>
      <c r="AE149" s="197">
        <v>2</v>
      </c>
      <c r="AF149" s="721"/>
      <c r="AG149" s="198"/>
      <c r="AH149" s="148"/>
      <c r="AI149" s="166"/>
      <c r="AJ149" s="166"/>
      <c r="AK149" s="197">
        <v>1</v>
      </c>
      <c r="AL149" s="721"/>
      <c r="AM149" s="198" t="s">
        <v>539</v>
      </c>
      <c r="AN149" s="198"/>
      <c r="AO149" s="166"/>
      <c r="AP149" s="166"/>
      <c r="AQ149" s="197">
        <v>2</v>
      </c>
      <c r="AR149" s="721"/>
      <c r="AS149" s="198"/>
      <c r="AT149" s="148"/>
      <c r="AU149" s="166"/>
      <c r="AV149" s="166"/>
      <c r="AW149" s="197">
        <v>2</v>
      </c>
      <c r="AX149" s="721"/>
      <c r="AY149" s="149"/>
      <c r="AZ149" s="148"/>
      <c r="BA149" s="166"/>
      <c r="BB149" s="166"/>
      <c r="BC149" s="197">
        <v>2</v>
      </c>
      <c r="BD149" s="721"/>
      <c r="BE149" s="738"/>
      <c r="BF149" s="739"/>
      <c r="BG149" s="739"/>
      <c r="BH149" s="740"/>
      <c r="BI149" s="197">
        <v>1</v>
      </c>
      <c r="BJ149" s="721"/>
      <c r="BK149" s="149"/>
      <c r="BL149" s="148"/>
      <c r="BM149" s="166"/>
      <c r="BN149" s="166"/>
      <c r="BO149" s="197"/>
      <c r="BP149" s="721"/>
      <c r="BQ149" s="149"/>
      <c r="BR149" s="148"/>
      <c r="BS149" s="166"/>
      <c r="BT149" s="166"/>
      <c r="BU149" s="197"/>
      <c r="BV149" s="721"/>
      <c r="BW149" s="149"/>
      <c r="BX149" s="148"/>
      <c r="BY149" s="166"/>
      <c r="BZ149" s="166"/>
      <c r="CA149" s="197"/>
      <c r="CB149" s="800"/>
      <c r="CC149" s="199"/>
      <c r="CD149" s="167"/>
      <c r="CE149" s="166"/>
      <c r="CF149" s="166"/>
      <c r="CG149" s="230"/>
      <c r="CH149" s="789"/>
      <c r="CI149" s="147"/>
      <c r="CJ149" s="148"/>
      <c r="CK149" s="166"/>
      <c r="CL149" s="166"/>
    </row>
    <row r="150" spans="2:90" ht="24.75" customHeight="1" outlineLevel="1" x14ac:dyDescent="0.2">
      <c r="B150" s="375" t="s">
        <v>540</v>
      </c>
      <c r="C150" s="770"/>
      <c r="D150" s="212" t="s">
        <v>213</v>
      </c>
      <c r="E150" s="748" t="s">
        <v>541</v>
      </c>
      <c r="F150" s="748"/>
      <c r="G150" s="197">
        <v>1</v>
      </c>
      <c r="H150" s="721"/>
      <c r="I150" s="198" t="s">
        <v>542</v>
      </c>
      <c r="J150" s="149"/>
      <c r="K150" s="149"/>
      <c r="L150" s="166"/>
      <c r="M150" s="197">
        <v>2</v>
      </c>
      <c r="N150" s="721"/>
      <c r="O150" s="203"/>
      <c r="P150" s="148"/>
      <c r="Q150" s="167"/>
      <c r="R150" s="167"/>
      <c r="S150" s="197">
        <v>2</v>
      </c>
      <c r="T150" s="721"/>
      <c r="U150" s="149"/>
      <c r="V150" s="148"/>
      <c r="W150" s="166"/>
      <c r="X150" s="166"/>
      <c r="Y150" s="197">
        <v>2</v>
      </c>
      <c r="Z150" s="721"/>
      <c r="AA150" s="179"/>
      <c r="AB150" s="167"/>
      <c r="AC150" s="166"/>
      <c r="AD150" s="166"/>
      <c r="AE150" s="197">
        <v>2</v>
      </c>
      <c r="AF150" s="721"/>
      <c r="AG150" s="149"/>
      <c r="AH150" s="148"/>
      <c r="AI150" s="166"/>
      <c r="AJ150" s="166"/>
      <c r="AK150" s="197">
        <v>2</v>
      </c>
      <c r="AL150" s="721"/>
      <c r="AM150" s="198"/>
      <c r="AN150" s="188"/>
      <c r="AO150" s="166"/>
      <c r="AP150" s="166"/>
      <c r="AQ150" s="197">
        <v>2</v>
      </c>
      <c r="AR150" s="721"/>
      <c r="AS150" s="149"/>
      <c r="AT150" s="148"/>
      <c r="AU150" s="166"/>
      <c r="AV150" s="166"/>
      <c r="AW150" s="197">
        <v>2</v>
      </c>
      <c r="AX150" s="721"/>
      <c r="AY150" s="149"/>
      <c r="AZ150" s="148"/>
      <c r="BA150" s="166"/>
      <c r="BB150" s="166"/>
      <c r="BC150" s="197">
        <v>2</v>
      </c>
      <c r="BD150" s="721"/>
      <c r="BE150" s="149"/>
      <c r="BF150" s="148"/>
      <c r="BG150" s="166"/>
      <c r="BH150" s="166"/>
      <c r="BI150" s="197">
        <v>2</v>
      </c>
      <c r="BJ150" s="721"/>
      <c r="BK150" s="149"/>
      <c r="BL150" s="148"/>
      <c r="BM150" s="166"/>
      <c r="BN150" s="166"/>
      <c r="BO150" s="197"/>
      <c r="BP150" s="721"/>
      <c r="BQ150" s="149"/>
      <c r="BR150" s="148"/>
      <c r="BS150" s="166"/>
      <c r="BT150" s="166"/>
      <c r="BU150" s="197"/>
      <c r="BV150" s="721"/>
      <c r="BW150" s="149"/>
      <c r="BX150" s="149"/>
      <c r="BY150" s="166"/>
      <c r="BZ150" s="166"/>
      <c r="CA150" s="197"/>
      <c r="CB150" s="800"/>
      <c r="CC150" s="179"/>
      <c r="CD150" s="444"/>
      <c r="CE150" s="166"/>
      <c r="CF150" s="166"/>
      <c r="CG150" s="230"/>
      <c r="CH150" s="789"/>
      <c r="CI150" s="147"/>
      <c r="CJ150" s="148"/>
      <c r="CK150" s="166"/>
      <c r="CL150" s="166"/>
    </row>
    <row r="151" spans="2:90" ht="15" outlineLevel="1" x14ac:dyDescent="0.2">
      <c r="B151" s="376" t="s">
        <v>543</v>
      </c>
      <c r="C151" s="771"/>
      <c r="D151" s="240" t="s">
        <v>220</v>
      </c>
      <c r="E151" s="751" t="s">
        <v>544</v>
      </c>
      <c r="F151" s="751"/>
      <c r="G151" s="232">
        <v>2</v>
      </c>
      <c r="H151" s="722"/>
      <c r="I151" s="243"/>
      <c r="J151" s="233"/>
      <c r="K151" s="233"/>
      <c r="L151" s="279"/>
      <c r="M151" s="232">
        <v>2</v>
      </c>
      <c r="N151" s="722"/>
      <c r="O151" s="243"/>
      <c r="P151" s="234"/>
      <c r="Q151" s="236"/>
      <c r="R151" s="236"/>
      <c r="S151" s="232">
        <v>2</v>
      </c>
      <c r="T151" s="722"/>
      <c r="U151" s="243"/>
      <c r="V151" s="234"/>
      <c r="W151" s="279"/>
      <c r="X151" s="279"/>
      <c r="Y151" s="232">
        <v>2</v>
      </c>
      <c r="Z151" s="722"/>
      <c r="AA151" s="243"/>
      <c r="AB151" s="236"/>
      <c r="AC151" s="279"/>
      <c r="AD151" s="279"/>
      <c r="AE151" s="232">
        <v>2</v>
      </c>
      <c r="AF151" s="722"/>
      <c r="AG151" s="243"/>
      <c r="AH151" s="234"/>
      <c r="AI151" s="279"/>
      <c r="AJ151" s="279"/>
      <c r="AK151" s="232">
        <v>2</v>
      </c>
      <c r="AL151" s="722"/>
      <c r="AM151" s="243"/>
      <c r="AN151" s="244"/>
      <c r="AO151" s="279"/>
      <c r="AP151" s="279"/>
      <c r="AQ151" s="232">
        <v>2</v>
      </c>
      <c r="AR151" s="722"/>
      <c r="AS151" s="233"/>
      <c r="AT151" s="234"/>
      <c r="AU151" s="279"/>
      <c r="AV151" s="279"/>
      <c r="AW151" s="232">
        <v>2</v>
      </c>
      <c r="AX151" s="722"/>
      <c r="AY151" s="233"/>
      <c r="AZ151" s="234"/>
      <c r="BA151" s="279"/>
      <c r="BB151" s="279"/>
      <c r="BC151" s="232">
        <v>2</v>
      </c>
      <c r="BD151" s="722"/>
      <c r="BE151" s="233"/>
      <c r="BF151" s="234"/>
      <c r="BG151" s="279"/>
      <c r="BH151" s="279"/>
      <c r="BI151" s="232">
        <v>2</v>
      </c>
      <c r="BJ151" s="722"/>
      <c r="BK151" s="233"/>
      <c r="BL151" s="234"/>
      <c r="BM151" s="279"/>
      <c r="BN151" s="279"/>
      <c r="BO151" s="232"/>
      <c r="BP151" s="722"/>
      <c r="BQ151" s="233"/>
      <c r="BR151" s="234"/>
      <c r="BS151" s="279"/>
      <c r="BT151" s="279"/>
      <c r="BU151" s="232"/>
      <c r="BV151" s="722"/>
      <c r="BW151" s="233"/>
      <c r="BX151" s="234"/>
      <c r="BY151" s="279"/>
      <c r="BZ151" s="279"/>
      <c r="CA151" s="232"/>
      <c r="CB151" s="801"/>
      <c r="CC151" s="237"/>
      <c r="CD151" s="236"/>
      <c r="CE151" s="279"/>
      <c r="CF151" s="279"/>
      <c r="CG151" s="238"/>
      <c r="CH151" s="789"/>
      <c r="CI151" s="147"/>
      <c r="CJ151" s="234"/>
      <c r="CK151" s="166"/>
      <c r="CL151" s="166"/>
    </row>
    <row r="152" spans="2:90" ht="43.5" customHeight="1" outlineLevel="1" x14ac:dyDescent="0.2">
      <c r="B152" s="377" t="s">
        <v>545</v>
      </c>
      <c r="C152" s="754" t="s">
        <v>227</v>
      </c>
      <c r="D152" s="280" t="s">
        <v>166</v>
      </c>
      <c r="E152" s="752" t="s">
        <v>228</v>
      </c>
      <c r="F152" s="752"/>
      <c r="G152" s="222">
        <v>2</v>
      </c>
      <c r="H152" s="720">
        <f>SUM(G152:G158)</f>
        <v>13</v>
      </c>
      <c r="I152" s="225"/>
      <c r="J152" s="224"/>
      <c r="K152" s="278"/>
      <c r="L152" s="278"/>
      <c r="M152" s="222">
        <v>1</v>
      </c>
      <c r="N152" s="720">
        <f>SUM(M152:M158)</f>
        <v>13</v>
      </c>
      <c r="O152" s="257" t="s">
        <v>546</v>
      </c>
      <c r="P152" s="226"/>
      <c r="Q152" s="226"/>
      <c r="R152" s="226"/>
      <c r="S152" s="222">
        <v>2</v>
      </c>
      <c r="T152" s="720">
        <f>SUM(S152:S158)</f>
        <v>12</v>
      </c>
      <c r="U152" s="225"/>
      <c r="V152" s="224"/>
      <c r="W152" s="278"/>
      <c r="X152" s="278"/>
      <c r="Y152" s="222">
        <v>2</v>
      </c>
      <c r="Z152" s="720">
        <f>SUM(Y152:Y158)</f>
        <v>14</v>
      </c>
      <c r="AA152" s="227"/>
      <c r="AB152" s="226"/>
      <c r="AC152" s="278"/>
      <c r="AD152" s="278"/>
      <c r="AE152" s="222">
        <v>2</v>
      </c>
      <c r="AF152" s="720">
        <f>AE152+AE153+AE154+AE155+AE156+AE157+AE158</f>
        <v>11</v>
      </c>
      <c r="AG152" s="223"/>
      <c r="AH152" s="224"/>
      <c r="AI152" s="278"/>
      <c r="AJ152" s="278"/>
      <c r="AK152" s="222">
        <v>2</v>
      </c>
      <c r="AL152" s="720">
        <v>13</v>
      </c>
      <c r="AM152" s="227"/>
      <c r="AN152" s="224"/>
      <c r="AO152" s="278"/>
      <c r="AP152" s="278"/>
      <c r="AQ152" s="222">
        <v>2</v>
      </c>
      <c r="AR152" s="720">
        <f>SUM(AQ152:AQ158)</f>
        <v>13</v>
      </c>
      <c r="AS152" s="225"/>
      <c r="AT152" s="224"/>
      <c r="AU152" s="278"/>
      <c r="AV152" s="278"/>
      <c r="AW152" s="222">
        <v>2</v>
      </c>
      <c r="AX152" s="720">
        <f>SUM(AW152:AW158)</f>
        <v>14</v>
      </c>
      <c r="AY152" s="225"/>
      <c r="AZ152" s="224"/>
      <c r="BA152" s="278"/>
      <c r="BB152" s="278"/>
      <c r="BC152" s="222">
        <v>2</v>
      </c>
      <c r="BD152" s="720">
        <f>SUM(BC152:BC158)</f>
        <v>14</v>
      </c>
      <c r="BE152" s="225"/>
      <c r="BF152" s="224"/>
      <c r="BG152" s="278"/>
      <c r="BH152" s="278"/>
      <c r="BI152" s="222">
        <v>2</v>
      </c>
      <c r="BJ152" s="720">
        <f>SUM(BI152:BI158)</f>
        <v>13</v>
      </c>
      <c r="BK152" s="225"/>
      <c r="BL152" s="224"/>
      <c r="BM152" s="278"/>
      <c r="BN152" s="278"/>
      <c r="BO152" s="222"/>
      <c r="BP152" s="720">
        <v>12</v>
      </c>
      <c r="BQ152" s="225"/>
      <c r="BR152" s="224"/>
      <c r="BS152" s="278"/>
      <c r="BT152" s="278"/>
      <c r="BU152" s="222"/>
      <c r="BV152" s="720">
        <v>14</v>
      </c>
      <c r="BW152" s="225"/>
      <c r="BX152" s="224"/>
      <c r="BY152" s="278"/>
      <c r="BZ152" s="278"/>
      <c r="CA152" s="222"/>
      <c r="CB152" s="799">
        <f>SUM(CA152:CA158)</f>
        <v>0</v>
      </c>
      <c r="CC152" s="228"/>
      <c r="CD152" s="445"/>
      <c r="CE152" s="278"/>
      <c r="CF152" s="278"/>
      <c r="CG152" s="229"/>
      <c r="CH152" s="788">
        <f>SUM(CG152:CG158)</f>
        <v>0</v>
      </c>
      <c r="CI152" s="147"/>
      <c r="CJ152" s="224"/>
      <c r="CK152" s="166"/>
      <c r="CL152" s="166"/>
    </row>
    <row r="153" spans="2:90" ht="39" customHeight="1" outlineLevel="1" x14ac:dyDescent="0.2">
      <c r="B153" s="378" t="s">
        <v>547</v>
      </c>
      <c r="C153" s="755"/>
      <c r="D153" s="215" t="s">
        <v>203</v>
      </c>
      <c r="E153" s="749" t="s">
        <v>548</v>
      </c>
      <c r="F153" s="749"/>
      <c r="G153" s="197">
        <v>2</v>
      </c>
      <c r="H153" s="721"/>
      <c r="I153" s="149"/>
      <c r="J153" s="148"/>
      <c r="K153" s="166"/>
      <c r="L153" s="166"/>
      <c r="M153" s="197">
        <v>2</v>
      </c>
      <c r="N153" s="721"/>
      <c r="O153" s="203"/>
      <c r="P153" s="167"/>
      <c r="Q153" s="167"/>
      <c r="R153" s="167"/>
      <c r="S153" s="197">
        <v>1</v>
      </c>
      <c r="T153" s="721"/>
      <c r="U153" s="149"/>
      <c r="V153" s="148" t="s">
        <v>549</v>
      </c>
      <c r="W153" s="166"/>
      <c r="X153" s="166"/>
      <c r="Y153" s="197">
        <v>2</v>
      </c>
      <c r="Z153" s="721"/>
      <c r="AA153" s="179"/>
      <c r="AB153" s="167"/>
      <c r="AC153" s="166"/>
      <c r="AD153" s="166"/>
      <c r="AE153" s="197">
        <v>2</v>
      </c>
      <c r="AF153" s="721"/>
      <c r="AG153" s="149"/>
      <c r="AH153" s="148"/>
      <c r="AI153" s="166"/>
      <c r="AJ153" s="166"/>
      <c r="AK153" s="197">
        <v>2</v>
      </c>
      <c r="AL153" s="721"/>
      <c r="AM153" s="179"/>
      <c r="AN153" s="148"/>
      <c r="AO153" s="166"/>
      <c r="AP153" s="166"/>
      <c r="AQ153" s="197">
        <v>2</v>
      </c>
      <c r="AR153" s="721"/>
      <c r="AS153" s="149"/>
      <c r="AT153" s="148"/>
      <c r="AU153" s="166"/>
      <c r="AV153" s="166"/>
      <c r="AW153" s="197">
        <v>2</v>
      </c>
      <c r="AX153" s="721"/>
      <c r="AY153" s="149"/>
      <c r="AZ153" s="148"/>
      <c r="BA153" s="166"/>
      <c r="BB153" s="166"/>
      <c r="BC153" s="197">
        <v>2</v>
      </c>
      <c r="BD153" s="721"/>
      <c r="BE153" s="149"/>
      <c r="BF153" s="148"/>
      <c r="BG153" s="166"/>
      <c r="BH153" s="166"/>
      <c r="BI153" s="197">
        <v>2</v>
      </c>
      <c r="BJ153" s="721"/>
      <c r="BK153" s="149"/>
      <c r="BL153" s="148"/>
      <c r="BM153" s="166"/>
      <c r="BN153" s="166"/>
      <c r="BO153" s="197"/>
      <c r="BP153" s="721"/>
      <c r="BQ153" s="149"/>
      <c r="BR153" s="148"/>
      <c r="BS153" s="166"/>
      <c r="BT153" s="166"/>
      <c r="BU153" s="197"/>
      <c r="BV153" s="721"/>
      <c r="BW153" s="149"/>
      <c r="BX153" s="148"/>
      <c r="BY153" s="166"/>
      <c r="BZ153" s="166"/>
      <c r="CA153" s="197"/>
      <c r="CB153" s="800"/>
      <c r="CC153" s="179"/>
      <c r="CD153" s="167"/>
      <c r="CE153" s="166"/>
      <c r="CF153" s="166"/>
      <c r="CG153" s="230"/>
      <c r="CH153" s="789"/>
      <c r="CI153" s="147"/>
      <c r="CJ153" s="148"/>
      <c r="CK153" s="166"/>
      <c r="CL153" s="166"/>
    </row>
    <row r="154" spans="2:90" ht="15" outlineLevel="1" x14ac:dyDescent="0.2">
      <c r="B154" s="378" t="s">
        <v>550</v>
      </c>
      <c r="C154" s="755"/>
      <c r="D154" s="215" t="s">
        <v>238</v>
      </c>
      <c r="E154" s="749" t="s">
        <v>551</v>
      </c>
      <c r="F154" s="749"/>
      <c r="G154" s="197">
        <v>2</v>
      </c>
      <c r="H154" s="721"/>
      <c r="I154" s="198"/>
      <c r="J154" s="148"/>
      <c r="K154" s="166"/>
      <c r="L154" s="166"/>
      <c r="M154" s="197">
        <v>2</v>
      </c>
      <c r="N154" s="721"/>
      <c r="O154" s="203"/>
      <c r="P154" s="148"/>
      <c r="Q154" s="167"/>
      <c r="R154" s="167"/>
      <c r="S154" s="197">
        <v>2</v>
      </c>
      <c r="T154" s="721"/>
      <c r="U154" s="149"/>
      <c r="V154" s="148"/>
      <c r="W154" s="166"/>
      <c r="X154" s="166"/>
      <c r="Y154" s="197">
        <v>2</v>
      </c>
      <c r="Z154" s="721"/>
      <c r="AA154" s="179"/>
      <c r="AB154" s="167"/>
      <c r="AC154" s="166"/>
      <c r="AD154" s="166"/>
      <c r="AE154" s="197">
        <v>2</v>
      </c>
      <c r="AF154" s="721"/>
      <c r="AG154" s="149"/>
      <c r="AH154" s="148"/>
      <c r="AI154" s="166"/>
      <c r="AJ154" s="166"/>
      <c r="AK154" s="197">
        <v>2</v>
      </c>
      <c r="AL154" s="721"/>
      <c r="AM154" s="179"/>
      <c r="AN154" s="148"/>
      <c r="AO154" s="166"/>
      <c r="AP154" s="166"/>
      <c r="AQ154" s="197">
        <v>2</v>
      </c>
      <c r="AR154" s="721"/>
      <c r="AS154" s="149"/>
      <c r="AT154" s="148"/>
      <c r="AU154" s="166"/>
      <c r="AV154" s="166"/>
      <c r="AW154" s="197">
        <v>2</v>
      </c>
      <c r="AX154" s="721"/>
      <c r="AY154" s="149"/>
      <c r="AZ154" s="148"/>
      <c r="BA154" s="166"/>
      <c r="BB154" s="166"/>
      <c r="BC154" s="197">
        <v>2</v>
      </c>
      <c r="BD154" s="721"/>
      <c r="BE154" s="149"/>
      <c r="BF154" s="148"/>
      <c r="BG154" s="166"/>
      <c r="BH154" s="166"/>
      <c r="BI154" s="197">
        <v>2</v>
      </c>
      <c r="BJ154" s="721"/>
      <c r="BK154" s="149"/>
      <c r="BL154" s="148"/>
      <c r="BM154" s="166"/>
      <c r="BN154" s="166"/>
      <c r="BO154" s="197"/>
      <c r="BP154" s="721"/>
      <c r="BQ154" s="149"/>
      <c r="BR154" s="148"/>
      <c r="BS154" s="166"/>
      <c r="BT154" s="166"/>
      <c r="BU154" s="197"/>
      <c r="BV154" s="721"/>
      <c r="BW154" s="149"/>
      <c r="BX154" s="148"/>
      <c r="BY154" s="166"/>
      <c r="BZ154" s="166"/>
      <c r="CA154" s="197"/>
      <c r="CB154" s="800"/>
      <c r="CC154" s="179"/>
      <c r="CD154" s="167"/>
      <c r="CE154" s="166"/>
      <c r="CF154" s="166"/>
      <c r="CG154" s="230"/>
      <c r="CH154" s="789"/>
      <c r="CI154" s="147"/>
      <c r="CJ154" s="148"/>
      <c r="CK154" s="166"/>
      <c r="CL154" s="166"/>
    </row>
    <row r="155" spans="2:90" ht="63.75" customHeight="1" outlineLevel="1" x14ac:dyDescent="0.25">
      <c r="B155" s="378" t="s">
        <v>552</v>
      </c>
      <c r="C155" s="755"/>
      <c r="D155" s="215" t="s">
        <v>242</v>
      </c>
      <c r="E155" s="749" t="s">
        <v>243</v>
      </c>
      <c r="F155" s="749"/>
      <c r="G155" s="197">
        <v>1</v>
      </c>
      <c r="H155" s="721"/>
      <c r="I155" s="200" t="s">
        <v>553</v>
      </c>
      <c r="J155" s="148"/>
      <c r="K155" s="166"/>
      <c r="L155" s="166"/>
      <c r="M155" s="197">
        <v>2</v>
      </c>
      <c r="N155" s="721"/>
      <c r="O155" s="203"/>
      <c r="P155" s="148"/>
      <c r="Q155" s="167"/>
      <c r="R155" s="167"/>
      <c r="S155" s="197">
        <v>1</v>
      </c>
      <c r="T155" s="721"/>
      <c r="U155" s="149"/>
      <c r="V155" s="148" t="s">
        <v>554</v>
      </c>
      <c r="W155" s="166"/>
      <c r="X155" s="166"/>
      <c r="Y155" s="197">
        <v>2</v>
      </c>
      <c r="Z155" s="721"/>
      <c r="AA155" s="179"/>
      <c r="AB155" s="167"/>
      <c r="AC155" s="166"/>
      <c r="AD155" s="166"/>
      <c r="AE155" s="197">
        <v>0</v>
      </c>
      <c r="AF155" s="721"/>
      <c r="AG155" s="149" t="s">
        <v>555</v>
      </c>
      <c r="AH155" s="148"/>
      <c r="AI155" s="166"/>
      <c r="AJ155" s="166"/>
      <c r="AK155" s="197">
        <v>1</v>
      </c>
      <c r="AL155" s="721"/>
      <c r="AM155" s="179" t="s">
        <v>556</v>
      </c>
      <c r="AN155" s="148"/>
      <c r="AO155" s="166"/>
      <c r="AP155" s="166"/>
      <c r="AQ155" s="197">
        <v>2</v>
      </c>
      <c r="AR155" s="721"/>
      <c r="AS155" s="149"/>
      <c r="AT155" s="148"/>
      <c r="AU155" s="166"/>
      <c r="AV155" s="166"/>
      <c r="AW155" s="197">
        <v>2</v>
      </c>
      <c r="AX155" s="721"/>
      <c r="AY155" s="149"/>
      <c r="AZ155" s="148"/>
      <c r="BA155" s="166"/>
      <c r="BB155" s="166"/>
      <c r="BC155" s="197">
        <v>2</v>
      </c>
      <c r="BD155" s="721"/>
      <c r="BE155" s="738"/>
      <c r="BF155" s="739"/>
      <c r="BG155" s="739"/>
      <c r="BH155" s="740"/>
      <c r="BI155" s="197">
        <v>1</v>
      </c>
      <c r="BJ155" s="721"/>
      <c r="BK155" s="149"/>
      <c r="BL155" s="148"/>
      <c r="BM155" s="166"/>
      <c r="BN155" s="166"/>
      <c r="BO155" s="197"/>
      <c r="BP155" s="721"/>
      <c r="BQ155" s="149"/>
      <c r="BR155" s="148"/>
      <c r="BS155" s="166"/>
      <c r="BT155" s="166"/>
      <c r="BU155" s="197"/>
      <c r="BV155" s="721"/>
      <c r="BW155" s="149"/>
      <c r="BX155" s="148"/>
      <c r="BY155" s="166"/>
      <c r="BZ155" s="166"/>
      <c r="CA155" s="197"/>
      <c r="CB155" s="800"/>
      <c r="CC155" s="199"/>
      <c r="CD155" s="167"/>
      <c r="CE155" s="166"/>
      <c r="CF155" s="166"/>
      <c r="CG155" s="230"/>
      <c r="CH155" s="789"/>
      <c r="CI155" s="147"/>
      <c r="CJ155" s="148"/>
      <c r="CK155" s="166"/>
      <c r="CL155" s="166"/>
    </row>
    <row r="156" spans="2:90" ht="51" customHeight="1" outlineLevel="1" x14ac:dyDescent="0.2">
      <c r="B156" s="378" t="s">
        <v>557</v>
      </c>
      <c r="C156" s="755"/>
      <c r="D156" s="215" t="s">
        <v>209</v>
      </c>
      <c r="E156" s="749" t="s">
        <v>558</v>
      </c>
      <c r="F156" s="749"/>
      <c r="G156" s="197">
        <v>2</v>
      </c>
      <c r="H156" s="721"/>
      <c r="I156" s="149"/>
      <c r="J156" s="148"/>
      <c r="K156" s="166"/>
      <c r="L156" s="166"/>
      <c r="M156" s="197">
        <v>2</v>
      </c>
      <c r="N156" s="721"/>
      <c r="O156" s="203"/>
      <c r="P156" s="148"/>
      <c r="R156" s="167"/>
      <c r="S156" s="197">
        <v>2</v>
      </c>
      <c r="T156" s="721"/>
      <c r="U156" s="149"/>
      <c r="V156" s="148"/>
      <c r="W156" s="166"/>
      <c r="X156" s="166"/>
      <c r="Y156" s="197">
        <v>2</v>
      </c>
      <c r="Z156" s="721"/>
      <c r="AA156" s="179"/>
      <c r="AB156" s="167"/>
      <c r="AC156" s="166"/>
      <c r="AD156" s="166"/>
      <c r="AE156" s="197">
        <v>1</v>
      </c>
      <c r="AF156" s="721"/>
      <c r="AG156" s="149" t="s">
        <v>559</v>
      </c>
      <c r="AH156" s="148"/>
      <c r="AI156" s="166"/>
      <c r="AJ156" s="166"/>
      <c r="AK156" s="197">
        <v>2</v>
      </c>
      <c r="AL156" s="721"/>
      <c r="AM156" s="179"/>
      <c r="AN156" s="148"/>
      <c r="AO156" s="166"/>
      <c r="AP156" s="166"/>
      <c r="AQ156" s="197">
        <v>1</v>
      </c>
      <c r="AR156" s="721"/>
      <c r="AS156" s="149"/>
      <c r="AT156" s="148" t="s">
        <v>560</v>
      </c>
      <c r="AU156" s="166"/>
      <c r="AV156" s="166"/>
      <c r="AW156" s="197">
        <v>2</v>
      </c>
      <c r="AX156" s="721"/>
      <c r="AY156" s="149"/>
      <c r="AZ156" s="148"/>
      <c r="BA156" s="166"/>
      <c r="BB156" s="166"/>
      <c r="BC156" s="197">
        <v>2</v>
      </c>
      <c r="BD156" s="721"/>
      <c r="BE156" s="149"/>
      <c r="BF156" s="148"/>
      <c r="BG156" s="166"/>
      <c r="BH156" s="166"/>
      <c r="BI156" s="197">
        <v>2</v>
      </c>
      <c r="BJ156" s="721"/>
      <c r="BK156" s="149"/>
      <c r="BL156" s="148"/>
      <c r="BM156" s="166"/>
      <c r="BN156" s="166"/>
      <c r="BO156" s="197"/>
      <c r="BP156" s="721"/>
      <c r="BQ156" s="149"/>
      <c r="BR156" s="148"/>
      <c r="BS156" s="166"/>
      <c r="BT156" s="166"/>
      <c r="BU156" s="197"/>
      <c r="BV156" s="721"/>
      <c r="BW156" s="149"/>
      <c r="BX156" s="148"/>
      <c r="BY156" s="166"/>
      <c r="BZ156" s="166"/>
      <c r="CA156" s="197"/>
      <c r="CB156" s="800"/>
      <c r="CC156" s="179"/>
      <c r="CD156" s="167"/>
      <c r="CE156" s="166"/>
      <c r="CF156" s="166"/>
      <c r="CG156" s="230"/>
      <c r="CH156" s="789"/>
      <c r="CI156" s="147"/>
      <c r="CJ156" s="148"/>
      <c r="CK156" s="166"/>
      <c r="CL156" s="166"/>
    </row>
    <row r="157" spans="2:90" ht="44.25" customHeight="1" outlineLevel="1" x14ac:dyDescent="0.2">
      <c r="B157" s="378" t="s">
        <v>561</v>
      </c>
      <c r="C157" s="755"/>
      <c r="D157" s="215" t="s">
        <v>245</v>
      </c>
      <c r="E157" s="749" t="s">
        <v>562</v>
      </c>
      <c r="F157" s="749"/>
      <c r="G157" s="197">
        <v>2</v>
      </c>
      <c r="H157" s="721"/>
      <c r="I157" s="149"/>
      <c r="J157" s="148"/>
      <c r="K157" s="166"/>
      <c r="L157" s="166"/>
      <c r="M157" s="197">
        <v>2</v>
      </c>
      <c r="N157" s="721"/>
      <c r="O157" s="203"/>
      <c r="P157" s="148"/>
      <c r="Q157" s="167"/>
      <c r="R157" s="167"/>
      <c r="S157" s="197">
        <v>2</v>
      </c>
      <c r="T157" s="721"/>
      <c r="U157" s="149"/>
      <c r="V157" s="148"/>
      <c r="W157" s="166"/>
      <c r="X157" s="166"/>
      <c r="Y157" s="197">
        <v>2</v>
      </c>
      <c r="Z157" s="721"/>
      <c r="AA157" s="179"/>
      <c r="AB157" s="167"/>
      <c r="AC157" s="166"/>
      <c r="AD157" s="166"/>
      <c r="AE157" s="197">
        <v>2</v>
      </c>
      <c r="AF157" s="721"/>
      <c r="AG157" s="198"/>
      <c r="AH157" s="148"/>
      <c r="AI157" s="166"/>
      <c r="AJ157" s="166"/>
      <c r="AK157" s="197">
        <v>2</v>
      </c>
      <c r="AL157" s="721"/>
      <c r="AM157" s="198"/>
      <c r="AN157" s="188"/>
      <c r="AO157" s="166"/>
      <c r="AP157" s="166"/>
      <c r="AQ157" s="197">
        <v>2</v>
      </c>
      <c r="AR157" s="721"/>
      <c r="AS157" s="149"/>
      <c r="AT157" s="148"/>
      <c r="AU157" s="166"/>
      <c r="AV157" s="166"/>
      <c r="AW157" s="197">
        <v>2</v>
      </c>
      <c r="AX157" s="721"/>
      <c r="AY157" s="149"/>
      <c r="AZ157" s="148"/>
      <c r="BA157" s="166"/>
      <c r="BB157" s="166"/>
      <c r="BC157" s="197">
        <v>2</v>
      </c>
      <c r="BD157" s="721"/>
      <c r="BE157" s="149"/>
      <c r="BF157" s="148"/>
      <c r="BG157" s="166"/>
      <c r="BH157" s="166"/>
      <c r="BI157" s="197">
        <v>2</v>
      </c>
      <c r="BJ157" s="721"/>
      <c r="BK157" s="149"/>
      <c r="BL157" s="148"/>
      <c r="BM157" s="166"/>
      <c r="BN157" s="166"/>
      <c r="BO157" s="197"/>
      <c r="BP157" s="721"/>
      <c r="BQ157" s="149"/>
      <c r="BR157" s="148"/>
      <c r="BS157" s="166"/>
      <c r="BT157" s="166"/>
      <c r="BU157" s="197"/>
      <c r="BV157" s="721"/>
      <c r="BW157" s="149"/>
      <c r="BX157" s="148"/>
      <c r="BY157" s="166"/>
      <c r="BZ157" s="166"/>
      <c r="CA157" s="197"/>
      <c r="CB157" s="800"/>
      <c r="CC157" s="179"/>
      <c r="CD157" s="167"/>
      <c r="CE157" s="166"/>
      <c r="CF157" s="166"/>
      <c r="CG157" s="230"/>
      <c r="CH157" s="789"/>
      <c r="CI157" s="147"/>
      <c r="CJ157" s="148"/>
      <c r="CK157" s="166"/>
      <c r="CL157" s="166"/>
    </row>
    <row r="158" spans="2:90" ht="15" outlineLevel="1" x14ac:dyDescent="0.2">
      <c r="B158" s="383" t="s">
        <v>563</v>
      </c>
      <c r="C158" s="756"/>
      <c r="D158" s="281" t="s">
        <v>564</v>
      </c>
      <c r="E158" s="750" t="s">
        <v>565</v>
      </c>
      <c r="F158" s="750"/>
      <c r="G158" s="232">
        <v>2</v>
      </c>
      <c r="H158" s="722"/>
      <c r="I158" s="233"/>
      <c r="J158" s="234"/>
      <c r="K158" s="279"/>
      <c r="L158" s="279"/>
      <c r="M158" s="232">
        <v>2</v>
      </c>
      <c r="N158" s="722"/>
      <c r="O158" s="259"/>
      <c r="P158" s="167"/>
      <c r="R158" s="236"/>
      <c r="S158" s="232">
        <v>2</v>
      </c>
      <c r="T158" s="722"/>
      <c r="U158" s="233"/>
      <c r="V158" s="234"/>
      <c r="W158" s="279"/>
      <c r="X158" s="279"/>
      <c r="Y158" s="232">
        <v>2</v>
      </c>
      <c r="Z158" s="722"/>
      <c r="AA158" s="235"/>
      <c r="AB158" s="236"/>
      <c r="AC158" s="279"/>
      <c r="AD158" s="279"/>
      <c r="AE158" s="232">
        <v>2</v>
      </c>
      <c r="AF158" s="722"/>
      <c r="AG158" s="243"/>
      <c r="AH158" s="234"/>
      <c r="AI158" s="279"/>
      <c r="AJ158" s="279"/>
      <c r="AK158" s="232">
        <v>2</v>
      </c>
      <c r="AL158" s="722"/>
      <c r="AM158" s="233"/>
      <c r="AN158" s="234"/>
      <c r="AO158" s="279"/>
      <c r="AP158" s="279"/>
      <c r="AQ158" s="232">
        <v>2</v>
      </c>
      <c r="AR158" s="722"/>
      <c r="AS158" s="233"/>
      <c r="AT158" s="234"/>
      <c r="AU158" s="279"/>
      <c r="AV158" s="279"/>
      <c r="AW158" s="232">
        <v>2</v>
      </c>
      <c r="AX158" s="722"/>
      <c r="AY158" s="233"/>
      <c r="AZ158" s="234"/>
      <c r="BA158" s="279"/>
      <c r="BB158" s="279"/>
      <c r="BC158" s="232">
        <v>2</v>
      </c>
      <c r="BD158" s="722"/>
      <c r="BE158" s="233"/>
      <c r="BF158" s="234"/>
      <c r="BG158" s="279"/>
      <c r="BH158" s="279"/>
      <c r="BI158" s="232">
        <v>2</v>
      </c>
      <c r="BJ158" s="722"/>
      <c r="BK158" s="233"/>
      <c r="BL158" s="234"/>
      <c r="BM158" s="279"/>
      <c r="BN158" s="279"/>
      <c r="BO158" s="232"/>
      <c r="BP158" s="722"/>
      <c r="BQ158" s="233"/>
      <c r="BR158" s="234"/>
      <c r="BS158" s="279"/>
      <c r="BT158" s="279"/>
      <c r="BU158" s="232"/>
      <c r="BV158" s="722"/>
      <c r="BW158" s="233"/>
      <c r="BX158" s="234"/>
      <c r="BY158" s="279"/>
      <c r="BZ158" s="279"/>
      <c r="CA158" s="232"/>
      <c r="CB158" s="801"/>
      <c r="CC158" s="237"/>
      <c r="CD158" s="236"/>
      <c r="CE158" s="279"/>
      <c r="CF158" s="279"/>
      <c r="CG158" s="238"/>
      <c r="CH158" s="790"/>
      <c r="CI158" s="147"/>
      <c r="CJ158" s="234"/>
      <c r="CK158" s="166"/>
      <c r="CL158" s="166"/>
    </row>
    <row r="159" spans="2:90" ht="21" customHeight="1" outlineLevel="1" x14ac:dyDescent="0.2">
      <c r="B159" s="369" t="s">
        <v>566</v>
      </c>
      <c r="C159" s="757" t="s">
        <v>567</v>
      </c>
      <c r="D159" s="282" t="s">
        <v>255</v>
      </c>
      <c r="E159" s="744" t="s">
        <v>568</v>
      </c>
      <c r="F159" s="744"/>
      <c r="G159" s="222">
        <v>2</v>
      </c>
      <c r="H159" s="720">
        <f>SUM(G159:G162)</f>
        <v>8</v>
      </c>
      <c r="I159" s="225"/>
      <c r="J159" s="224"/>
      <c r="K159" s="278"/>
      <c r="L159" s="278"/>
      <c r="M159" s="222">
        <v>2</v>
      </c>
      <c r="N159" s="720">
        <f>SUM(M159:M162)</f>
        <v>8</v>
      </c>
      <c r="O159" s="257"/>
      <c r="P159" s="224"/>
      <c r="Q159" s="226"/>
      <c r="R159" s="226"/>
      <c r="S159" s="222">
        <v>2</v>
      </c>
      <c r="T159" s="720">
        <f>SUM(S159:S162)</f>
        <v>8</v>
      </c>
      <c r="U159" s="225"/>
      <c r="V159" s="224"/>
      <c r="W159" s="278"/>
      <c r="X159" s="278"/>
      <c r="Y159" s="222">
        <v>2</v>
      </c>
      <c r="Z159" s="720">
        <f>SUM(Y159:Y162)</f>
        <v>8</v>
      </c>
      <c r="AA159" s="227"/>
      <c r="AB159" s="226"/>
      <c r="AC159" s="278"/>
      <c r="AD159" s="278"/>
      <c r="AE159" s="222">
        <v>2</v>
      </c>
      <c r="AF159" s="720">
        <f>AE159+AE160+AE161+AE162</f>
        <v>8</v>
      </c>
      <c r="AG159" s="225"/>
      <c r="AH159" s="224"/>
      <c r="AI159" s="278"/>
      <c r="AJ159" s="278"/>
      <c r="AK159" s="222">
        <v>2</v>
      </c>
      <c r="AL159" s="720">
        <v>8</v>
      </c>
      <c r="AM159" s="225"/>
      <c r="AN159" s="224"/>
      <c r="AO159" s="278"/>
      <c r="AP159" s="278"/>
      <c r="AQ159" s="222">
        <v>2</v>
      </c>
      <c r="AR159" s="720">
        <f>SUM(AQ159:AQ162)</f>
        <v>8</v>
      </c>
      <c r="AS159" s="225"/>
      <c r="AT159" s="224"/>
      <c r="AU159" s="278"/>
      <c r="AV159" s="278"/>
      <c r="AW159" s="222">
        <v>2</v>
      </c>
      <c r="AX159" s="720">
        <f>SUM(AW159:AW162)</f>
        <v>8</v>
      </c>
      <c r="AY159" s="225"/>
      <c r="AZ159" s="224"/>
      <c r="BA159" s="278"/>
      <c r="BB159" s="278"/>
      <c r="BC159" s="222">
        <v>2</v>
      </c>
      <c r="BD159" s="720">
        <f>SUM(BC159:BC162)</f>
        <v>8</v>
      </c>
      <c r="BE159" s="225"/>
      <c r="BF159" s="224"/>
      <c r="BG159" s="278"/>
      <c r="BH159" s="278"/>
      <c r="BI159" s="222">
        <v>2</v>
      </c>
      <c r="BJ159" s="720">
        <v>8</v>
      </c>
      <c r="BK159" s="225"/>
      <c r="BL159" s="224"/>
      <c r="BM159" s="278"/>
      <c r="BN159" s="278"/>
      <c r="BO159" s="222"/>
      <c r="BP159" s="720">
        <v>8</v>
      </c>
      <c r="BQ159" s="225"/>
      <c r="BR159" s="224"/>
      <c r="BS159" s="278"/>
      <c r="BT159" s="278"/>
      <c r="BU159" s="222"/>
      <c r="BV159" s="720">
        <v>8</v>
      </c>
      <c r="BW159" s="225"/>
      <c r="BX159" s="224"/>
      <c r="BY159" s="278"/>
      <c r="BZ159" s="278"/>
      <c r="CA159" s="222"/>
      <c r="CB159" s="799">
        <f>SUM(CA159:CA162)</f>
        <v>0</v>
      </c>
      <c r="CC159" s="227"/>
      <c r="CD159" s="226"/>
      <c r="CE159" s="278"/>
      <c r="CF159" s="278"/>
      <c r="CG159" s="229"/>
      <c r="CH159" s="789">
        <f>SUM(CG159:CG162)</f>
        <v>0</v>
      </c>
      <c r="CI159" s="147"/>
      <c r="CJ159" s="224"/>
      <c r="CK159" s="166"/>
      <c r="CL159" s="166"/>
    </row>
    <row r="160" spans="2:90" ht="22.5" customHeight="1" outlineLevel="1" x14ac:dyDescent="0.2">
      <c r="B160" s="370" t="s">
        <v>569</v>
      </c>
      <c r="C160" s="758"/>
      <c r="D160" s="219" t="s">
        <v>258</v>
      </c>
      <c r="E160" s="745" t="s">
        <v>259</v>
      </c>
      <c r="F160" s="745"/>
      <c r="G160" s="197">
        <v>2</v>
      </c>
      <c r="H160" s="721"/>
      <c r="I160" s="149"/>
      <c r="J160" s="148"/>
      <c r="K160" s="166"/>
      <c r="L160" s="166"/>
      <c r="M160" s="197">
        <v>2</v>
      </c>
      <c r="N160" s="721"/>
      <c r="O160" s="203"/>
      <c r="P160" s="148"/>
      <c r="Q160" s="167"/>
      <c r="R160" s="167"/>
      <c r="S160" s="197">
        <v>2</v>
      </c>
      <c r="T160" s="721"/>
      <c r="U160" s="149"/>
      <c r="V160" s="148"/>
      <c r="W160" s="166"/>
      <c r="X160" s="166"/>
      <c r="Y160" s="197">
        <v>2</v>
      </c>
      <c r="Z160" s="721"/>
      <c r="AA160" s="179"/>
      <c r="AB160" s="167"/>
      <c r="AC160" s="166"/>
      <c r="AD160" s="166"/>
      <c r="AE160" s="197">
        <v>2</v>
      </c>
      <c r="AF160" s="721"/>
      <c r="AG160" s="149"/>
      <c r="AH160" s="148"/>
      <c r="AI160" s="166"/>
      <c r="AJ160" s="166"/>
      <c r="AK160" s="197">
        <v>2</v>
      </c>
      <c r="AL160" s="721"/>
      <c r="AM160" s="149"/>
      <c r="AN160" s="148"/>
      <c r="AO160" s="166"/>
      <c r="AP160" s="166"/>
      <c r="AQ160" s="197">
        <v>2</v>
      </c>
      <c r="AR160" s="721"/>
      <c r="AS160" s="149"/>
      <c r="AT160" s="148"/>
      <c r="AU160" s="166"/>
      <c r="AV160" s="166"/>
      <c r="AW160" s="197">
        <v>2</v>
      </c>
      <c r="AX160" s="721"/>
      <c r="AY160" s="149"/>
      <c r="AZ160" s="148"/>
      <c r="BA160" s="166"/>
      <c r="BB160" s="166"/>
      <c r="BC160" s="197">
        <v>2</v>
      </c>
      <c r="BD160" s="721"/>
      <c r="BE160" s="149"/>
      <c r="BF160" s="148"/>
      <c r="BG160" s="166"/>
      <c r="BH160" s="166"/>
      <c r="BI160" s="197">
        <v>2</v>
      </c>
      <c r="BJ160" s="721"/>
      <c r="BK160" s="149"/>
      <c r="BL160" s="148"/>
      <c r="BM160" s="166"/>
      <c r="BN160" s="166"/>
      <c r="BO160" s="197"/>
      <c r="BP160" s="721"/>
      <c r="BQ160" s="149"/>
      <c r="BR160" s="148"/>
      <c r="BS160" s="166"/>
      <c r="BT160" s="166"/>
      <c r="BU160" s="197"/>
      <c r="BV160" s="721"/>
      <c r="BW160" s="149"/>
      <c r="BX160" s="148"/>
      <c r="BY160" s="166"/>
      <c r="BZ160" s="166"/>
      <c r="CA160" s="197"/>
      <c r="CB160" s="800"/>
      <c r="CC160" s="179"/>
      <c r="CD160" s="167"/>
      <c r="CE160" s="166"/>
      <c r="CF160" s="166"/>
      <c r="CG160" s="230"/>
      <c r="CH160" s="789"/>
      <c r="CI160" s="147"/>
      <c r="CJ160" s="148"/>
      <c r="CK160" s="166"/>
      <c r="CL160" s="166"/>
    </row>
    <row r="161" spans="2:90" ht="20.25" customHeight="1" outlineLevel="1" x14ac:dyDescent="0.2">
      <c r="B161" s="370" t="s">
        <v>570</v>
      </c>
      <c r="C161" s="758"/>
      <c r="D161" s="219" t="s">
        <v>264</v>
      </c>
      <c r="E161" s="745" t="s">
        <v>265</v>
      </c>
      <c r="F161" s="745"/>
      <c r="G161" s="197">
        <v>2</v>
      </c>
      <c r="H161" s="721"/>
      <c r="I161" s="149"/>
      <c r="J161" s="148"/>
      <c r="K161" s="166"/>
      <c r="L161" s="166"/>
      <c r="M161" s="197">
        <v>2</v>
      </c>
      <c r="N161" s="721"/>
      <c r="O161" s="203"/>
      <c r="P161" s="148"/>
      <c r="Q161" s="167"/>
      <c r="R161" s="167"/>
      <c r="S161" s="197">
        <v>2</v>
      </c>
      <c r="T161" s="721"/>
      <c r="U161" s="149"/>
      <c r="V161" s="148"/>
      <c r="W161" s="166"/>
      <c r="X161" s="166"/>
      <c r="Y161" s="197">
        <v>2</v>
      </c>
      <c r="Z161" s="721"/>
      <c r="AA161" s="179"/>
      <c r="AB161" s="167"/>
      <c r="AC161" s="166"/>
      <c r="AD161" s="166"/>
      <c r="AE161" s="197">
        <v>2</v>
      </c>
      <c r="AF161" s="721"/>
      <c r="AG161" s="149"/>
      <c r="AH161" s="148"/>
      <c r="AI161" s="166"/>
      <c r="AJ161" s="166"/>
      <c r="AK161" s="197">
        <v>2</v>
      </c>
      <c r="AL161" s="721"/>
      <c r="AM161" s="149"/>
      <c r="AN161" s="148"/>
      <c r="AO161" s="166"/>
      <c r="AP161" s="166"/>
      <c r="AQ161" s="197">
        <v>2</v>
      </c>
      <c r="AR161" s="721"/>
      <c r="AS161" s="149"/>
      <c r="AT161" s="148"/>
      <c r="AU161" s="166"/>
      <c r="AV161" s="166"/>
      <c r="AW161" s="197">
        <v>2</v>
      </c>
      <c r="AX161" s="721"/>
      <c r="AY161" s="149"/>
      <c r="AZ161" s="148"/>
      <c r="BA161" s="166"/>
      <c r="BB161" s="166"/>
      <c r="BC161" s="197">
        <v>2</v>
      </c>
      <c r="BD161" s="721"/>
      <c r="BE161" s="149"/>
      <c r="BF161" s="148"/>
      <c r="BG161" s="166"/>
      <c r="BH161" s="166"/>
      <c r="BI161" s="197">
        <v>2</v>
      </c>
      <c r="BJ161" s="721"/>
      <c r="BK161" s="149"/>
      <c r="BL161" s="148"/>
      <c r="BM161" s="166"/>
      <c r="BN161" s="166"/>
      <c r="BO161" s="197"/>
      <c r="BP161" s="721"/>
      <c r="BQ161" s="149"/>
      <c r="BR161" s="148"/>
      <c r="BS161" s="166"/>
      <c r="BT161" s="166"/>
      <c r="BU161" s="197"/>
      <c r="BV161" s="721"/>
      <c r="BW161" s="149"/>
      <c r="BX161" s="148"/>
      <c r="BY161" s="166"/>
      <c r="BZ161" s="166"/>
      <c r="CA161" s="197"/>
      <c r="CB161" s="800"/>
      <c r="CC161" s="179"/>
      <c r="CD161" s="167"/>
      <c r="CE161" s="166"/>
      <c r="CF161" s="166"/>
      <c r="CG161" s="230"/>
      <c r="CH161" s="789"/>
      <c r="CI161" s="147"/>
      <c r="CJ161" s="148"/>
      <c r="CK161" s="166"/>
      <c r="CL161" s="166"/>
    </row>
    <row r="162" spans="2:90" ht="25.5" customHeight="1" outlineLevel="1" x14ac:dyDescent="0.2">
      <c r="B162" s="368" t="s">
        <v>571</v>
      </c>
      <c r="C162" s="759"/>
      <c r="D162" s="283" t="s">
        <v>572</v>
      </c>
      <c r="E162" s="746" t="s">
        <v>573</v>
      </c>
      <c r="F162" s="746"/>
      <c r="G162" s="232">
        <v>2</v>
      </c>
      <c r="H162" s="722"/>
      <c r="I162" s="233"/>
      <c r="J162" s="234"/>
      <c r="K162" s="279"/>
      <c r="L162" s="279"/>
      <c r="M162" s="232">
        <v>2</v>
      </c>
      <c r="N162" s="722"/>
      <c r="O162" s="259"/>
      <c r="P162" s="234"/>
      <c r="Q162" s="236"/>
      <c r="R162" s="236"/>
      <c r="S162" s="232">
        <v>2</v>
      </c>
      <c r="T162" s="722"/>
      <c r="U162" s="233"/>
      <c r="V162" s="234"/>
      <c r="W162" s="279"/>
      <c r="X162" s="279"/>
      <c r="Y162" s="232">
        <v>2</v>
      </c>
      <c r="Z162" s="722"/>
      <c r="AA162" s="235"/>
      <c r="AB162" s="236"/>
      <c r="AC162" s="279"/>
      <c r="AD162" s="279"/>
      <c r="AE162" s="232">
        <v>2</v>
      </c>
      <c r="AF162" s="722"/>
      <c r="AG162" s="233"/>
      <c r="AH162" s="234"/>
      <c r="AI162" s="279"/>
      <c r="AJ162" s="279"/>
      <c r="AK162" s="232">
        <v>2</v>
      </c>
      <c r="AL162" s="722"/>
      <c r="AM162" s="233"/>
      <c r="AN162" s="234"/>
      <c r="AO162" s="279"/>
      <c r="AP162" s="279"/>
      <c r="AQ162" s="232">
        <v>2</v>
      </c>
      <c r="AR162" s="722"/>
      <c r="AS162" s="233"/>
      <c r="AT162" s="234"/>
      <c r="AU162" s="279"/>
      <c r="AV162" s="279"/>
      <c r="AW162" s="232">
        <v>2</v>
      </c>
      <c r="AX162" s="722"/>
      <c r="AY162" s="233"/>
      <c r="AZ162" s="234"/>
      <c r="BA162" s="279"/>
      <c r="BB162" s="279"/>
      <c r="BC162" s="232">
        <v>2</v>
      </c>
      <c r="BD162" s="722"/>
      <c r="BE162" s="233"/>
      <c r="BF162" s="234"/>
      <c r="BG162" s="279"/>
      <c r="BH162" s="279"/>
      <c r="BI162" s="232">
        <v>2</v>
      </c>
      <c r="BJ162" s="722"/>
      <c r="BK162" s="233"/>
      <c r="BL162" s="234"/>
      <c r="BM162" s="279"/>
      <c r="BN162" s="279"/>
      <c r="BO162" s="232"/>
      <c r="BP162" s="722"/>
      <c r="BQ162" s="233"/>
      <c r="BR162" s="234"/>
      <c r="BS162" s="279"/>
      <c r="BT162" s="279"/>
      <c r="BU162" s="232"/>
      <c r="BV162" s="722"/>
      <c r="BW162" s="233"/>
      <c r="BX162" s="234"/>
      <c r="BY162" s="279"/>
      <c r="BZ162" s="279"/>
      <c r="CA162" s="232"/>
      <c r="CB162" s="801"/>
      <c r="CC162" s="237"/>
      <c r="CD162" s="236"/>
      <c r="CE162" s="279"/>
      <c r="CF162" s="279"/>
      <c r="CG162" s="238"/>
      <c r="CH162" s="790"/>
      <c r="CI162" s="150"/>
      <c r="CJ162" s="234"/>
      <c r="CK162" s="168"/>
      <c r="CL162" s="168"/>
    </row>
    <row r="163" spans="2:90" ht="27" customHeight="1" outlineLevel="1" x14ac:dyDescent="0.2">
      <c r="B163" s="380"/>
      <c r="C163" s="779" t="s">
        <v>272</v>
      </c>
      <c r="D163" s="264" t="s">
        <v>273</v>
      </c>
      <c r="E163" s="781" t="s">
        <v>274</v>
      </c>
      <c r="F163" s="781"/>
      <c r="G163" s="246">
        <v>2</v>
      </c>
      <c r="H163" s="732">
        <f>SUM(G163:G165)</f>
        <v>6</v>
      </c>
      <c r="I163" s="194"/>
      <c r="J163" s="193"/>
      <c r="K163" s="194"/>
      <c r="L163" s="194"/>
      <c r="M163" s="220">
        <v>2</v>
      </c>
      <c r="N163" s="732">
        <f>SUM(M163:M165)</f>
        <v>6</v>
      </c>
      <c r="O163" s="194"/>
      <c r="P163" s="193"/>
      <c r="Q163" s="194"/>
      <c r="R163" s="194"/>
      <c r="S163" s="220">
        <v>2</v>
      </c>
      <c r="T163" s="732">
        <f>SUM(S163:S165)</f>
        <v>6</v>
      </c>
      <c r="U163" s="194"/>
      <c r="V163" s="193"/>
      <c r="W163" s="194"/>
      <c r="X163" s="194"/>
      <c r="Y163" s="220">
        <v>2</v>
      </c>
      <c r="Z163" s="734">
        <f>SUM(Y163:Y165)</f>
        <v>6</v>
      </c>
      <c r="AA163" s="264"/>
      <c r="AB163" s="264"/>
      <c r="AC163" s="264"/>
      <c r="AD163" s="264"/>
      <c r="AE163" s="220">
        <v>2</v>
      </c>
      <c r="AF163" s="734">
        <f>AE163+AE164+AE165</f>
        <v>6</v>
      </c>
      <c r="AG163" s="264"/>
      <c r="AH163" s="264"/>
      <c r="AI163" s="264"/>
      <c r="AJ163" s="264"/>
      <c r="AK163" s="220">
        <v>2</v>
      </c>
      <c r="AL163" s="732">
        <v>6</v>
      </c>
      <c r="AM163" s="194"/>
      <c r="AN163" s="194"/>
      <c r="AO163" s="194"/>
      <c r="AP163" s="194"/>
      <c r="AQ163" s="220">
        <v>2</v>
      </c>
      <c r="AR163" s="726">
        <f>SUM(AQ163:AQ165)</f>
        <v>6</v>
      </c>
      <c r="AS163" s="194"/>
      <c r="AT163" s="194"/>
      <c r="AU163" s="194"/>
      <c r="AV163" s="194"/>
      <c r="AW163" s="220">
        <v>2</v>
      </c>
      <c r="AX163" s="726">
        <f>SUM(AW163:AW165)</f>
        <v>5</v>
      </c>
      <c r="AY163" s="155"/>
      <c r="AZ163" s="155"/>
      <c r="BA163" s="155"/>
      <c r="BB163" s="155"/>
      <c r="BC163" s="220">
        <v>2</v>
      </c>
      <c r="BD163" s="726">
        <f>SUM(BC163:BC165)</f>
        <v>6</v>
      </c>
      <c r="BE163" s="155"/>
      <c r="BF163" s="155"/>
      <c r="BG163" s="155"/>
      <c r="BH163" s="155"/>
      <c r="BI163" s="220">
        <v>2</v>
      </c>
      <c r="BJ163" s="726">
        <v>6</v>
      </c>
      <c r="BK163" s="155"/>
      <c r="BL163" s="155"/>
      <c r="BM163" s="155"/>
      <c r="BN163" s="155"/>
      <c r="BO163" s="220"/>
      <c r="BP163" s="844">
        <v>6</v>
      </c>
      <c r="BQ163" s="155"/>
      <c r="BR163" s="155"/>
      <c r="BS163" s="155"/>
      <c r="BT163" s="155"/>
      <c r="BU163" s="220"/>
      <c r="BV163" s="726">
        <v>3</v>
      </c>
      <c r="BW163" s="155"/>
      <c r="BX163" s="155"/>
      <c r="BY163" s="155"/>
      <c r="BZ163" s="155"/>
      <c r="CA163" s="220"/>
      <c r="CB163" s="726">
        <f>SUM(CA163:CA165)</f>
        <v>0</v>
      </c>
      <c r="CC163" s="353"/>
      <c r="CD163" s="179"/>
      <c r="CE163" s="351"/>
      <c r="CF163" s="351"/>
      <c r="CG163" s="220"/>
      <c r="CH163" s="773">
        <f>SUM(CG163:CG165)</f>
        <v>0</v>
      </c>
      <c r="CI163" s="153"/>
      <c r="CJ163" s="193"/>
      <c r="CK163" s="155"/>
      <c r="CL163" s="155"/>
    </row>
    <row r="164" spans="2:90" ht="33.75" customHeight="1" outlineLevel="1" x14ac:dyDescent="0.2">
      <c r="B164" s="381"/>
      <c r="C164" s="780"/>
      <c r="D164" s="204" t="s">
        <v>275</v>
      </c>
      <c r="E164" s="772" t="s">
        <v>276</v>
      </c>
      <c r="F164" s="772"/>
      <c r="G164" s="202">
        <v>2</v>
      </c>
      <c r="H164" s="733"/>
      <c r="I164" s="155"/>
      <c r="J164" s="154"/>
      <c r="K164" s="155"/>
      <c r="L164" s="155"/>
      <c r="M164" s="197">
        <v>2</v>
      </c>
      <c r="N164" s="733"/>
      <c r="O164" s="155"/>
      <c r="P164" s="154"/>
      <c r="Q164" s="155"/>
      <c r="R164" s="155"/>
      <c r="S164" s="197">
        <v>2</v>
      </c>
      <c r="T164" s="733"/>
      <c r="U164" s="155"/>
      <c r="V164" s="154"/>
      <c r="W164" s="155"/>
      <c r="X164" s="155"/>
      <c r="Y164" s="197">
        <v>2</v>
      </c>
      <c r="Z164" s="735"/>
      <c r="AA164" s="447"/>
      <c r="AB164" s="264"/>
      <c r="AC164" s="264"/>
      <c r="AD164" s="264"/>
      <c r="AE164" s="197">
        <v>2</v>
      </c>
      <c r="AF164" s="735"/>
      <c r="AG164" s="264"/>
      <c r="AH164" s="264"/>
      <c r="AI164" s="264"/>
      <c r="AJ164" s="264"/>
      <c r="AK164" s="197">
        <v>2</v>
      </c>
      <c r="AL164" s="733"/>
      <c r="AM164" s="194"/>
      <c r="AN164" s="194"/>
      <c r="AO164" s="194"/>
      <c r="AP164" s="194"/>
      <c r="AQ164" s="197">
        <v>2</v>
      </c>
      <c r="AR164" s="727"/>
      <c r="AS164" s="194"/>
      <c r="AT164" s="194"/>
      <c r="AU164" s="194"/>
      <c r="AV164" s="194"/>
      <c r="AW164" s="197">
        <v>2</v>
      </c>
      <c r="AX164" s="727"/>
      <c r="AY164" s="155"/>
      <c r="AZ164" s="155"/>
      <c r="BA164" s="155"/>
      <c r="BB164" s="155"/>
      <c r="BC164" s="197">
        <v>2</v>
      </c>
      <c r="BD164" s="727"/>
      <c r="BE164" s="155"/>
      <c r="BF164" s="155"/>
      <c r="BG164" s="155"/>
      <c r="BH164" s="155"/>
      <c r="BI164" s="197">
        <v>2</v>
      </c>
      <c r="BJ164" s="727"/>
      <c r="BK164" s="155"/>
      <c r="BL164" s="155"/>
      <c r="BM164" s="155"/>
      <c r="BN164" s="155"/>
      <c r="BO164" s="197"/>
      <c r="BP164" s="845"/>
      <c r="BQ164" s="155"/>
      <c r="BR164" s="155"/>
      <c r="BS164" s="155"/>
      <c r="BT164" s="155"/>
      <c r="BU164" s="197"/>
      <c r="BV164" s="727"/>
      <c r="BW164" s="155"/>
      <c r="BX164" s="155"/>
      <c r="BY164" s="155"/>
      <c r="BZ164" s="155"/>
      <c r="CA164" s="197"/>
      <c r="CB164" s="727"/>
      <c r="CC164" s="354"/>
      <c r="CD164" s="179"/>
      <c r="CE164" s="352"/>
      <c r="CF164" s="352"/>
      <c r="CG164" s="197"/>
      <c r="CH164" s="774"/>
      <c r="CI164" s="153"/>
      <c r="CJ164" s="154"/>
      <c r="CK164" s="155"/>
      <c r="CL164" s="155"/>
    </row>
    <row r="165" spans="2:90" ht="24" outlineLevel="1" x14ac:dyDescent="0.2">
      <c r="B165" s="381"/>
      <c r="C165" s="780"/>
      <c r="D165" s="204" t="s">
        <v>281</v>
      </c>
      <c r="E165" s="772" t="s">
        <v>361</v>
      </c>
      <c r="F165" s="772"/>
      <c r="G165" s="202">
        <v>2</v>
      </c>
      <c r="H165" s="733"/>
      <c r="I165" s="155"/>
      <c r="J165" s="154"/>
      <c r="K165" s="340"/>
      <c r="L165" s="155"/>
      <c r="M165" s="197">
        <v>2</v>
      </c>
      <c r="N165" s="733"/>
      <c r="O165" s="155"/>
      <c r="P165" s="154"/>
      <c r="Q165" s="340"/>
      <c r="R165" s="155"/>
      <c r="S165" s="197">
        <v>2</v>
      </c>
      <c r="T165" s="733"/>
      <c r="U165" s="155"/>
      <c r="V165" s="154"/>
      <c r="W165" s="340"/>
      <c r="X165" s="155"/>
      <c r="Y165" s="197">
        <v>2</v>
      </c>
      <c r="Z165" s="736"/>
      <c r="AA165" s="264"/>
      <c r="AB165" s="264"/>
      <c r="AC165" s="264"/>
      <c r="AD165" s="264"/>
      <c r="AE165" s="197">
        <v>2</v>
      </c>
      <c r="AF165" s="736"/>
      <c r="AG165" s="264"/>
      <c r="AH165" s="264"/>
      <c r="AI165" s="264"/>
      <c r="AJ165" s="264"/>
      <c r="AK165" s="197">
        <v>2</v>
      </c>
      <c r="AL165" s="733"/>
      <c r="AM165" s="194"/>
      <c r="AN165" s="194"/>
      <c r="AO165" s="194"/>
      <c r="AP165" s="194"/>
      <c r="AQ165" s="197">
        <v>2</v>
      </c>
      <c r="AR165" s="728"/>
      <c r="AS165" s="194"/>
      <c r="AT165" s="194"/>
      <c r="AU165" s="194"/>
      <c r="AV165" s="194"/>
      <c r="AW165" s="197">
        <v>1</v>
      </c>
      <c r="AX165" s="728"/>
      <c r="AY165" s="155"/>
      <c r="AZ165" s="155" t="s">
        <v>574</v>
      </c>
      <c r="BA165" s="155"/>
      <c r="BB165" s="155"/>
      <c r="BC165" s="197">
        <v>2</v>
      </c>
      <c r="BD165" s="728"/>
      <c r="BE165" s="155"/>
      <c r="BF165" s="155"/>
      <c r="BG165" s="155"/>
      <c r="BH165" s="155"/>
      <c r="BI165" s="197">
        <v>2</v>
      </c>
      <c r="BJ165" s="728"/>
      <c r="BK165" s="155"/>
      <c r="BL165" s="155"/>
      <c r="BM165" s="155"/>
      <c r="BN165" s="155"/>
      <c r="BO165" s="197"/>
      <c r="BP165" s="846"/>
      <c r="BQ165" s="155"/>
      <c r="BR165" s="155"/>
      <c r="BS165" s="155"/>
      <c r="BT165" s="155"/>
      <c r="BU165" s="197"/>
      <c r="BV165" s="728"/>
      <c r="BW165" s="155"/>
      <c r="BX165" s="155"/>
      <c r="BY165" s="155"/>
      <c r="BZ165" s="155"/>
      <c r="CA165" s="197"/>
      <c r="CB165" s="728"/>
      <c r="CC165" s="354"/>
      <c r="CD165" s="179"/>
      <c r="CE165" s="352"/>
      <c r="CF165" s="352"/>
      <c r="CG165" s="197"/>
      <c r="CH165" s="774"/>
      <c r="CI165" s="153"/>
      <c r="CJ165" s="154"/>
      <c r="CK165" s="356"/>
      <c r="CL165" s="155"/>
    </row>
    <row r="166" spans="2:90" x14ac:dyDescent="0.2">
      <c r="B166" s="384" t="s">
        <v>575</v>
      </c>
      <c r="C166" s="208"/>
      <c r="D166" s="208"/>
      <c r="E166" s="208"/>
      <c r="F166" s="208"/>
      <c r="G166" s="208"/>
      <c r="H166" s="208"/>
      <c r="I166" s="341"/>
      <c r="J166" s="341"/>
      <c r="K166" s="341"/>
      <c r="L166" s="341"/>
      <c r="M166" s="208"/>
      <c r="N166" s="208"/>
      <c r="O166" s="341"/>
      <c r="P166" s="341"/>
      <c r="Q166" s="341"/>
      <c r="R166" s="341"/>
      <c r="S166" s="208"/>
      <c r="T166" s="208"/>
      <c r="U166" s="341"/>
      <c r="V166" s="341"/>
      <c r="W166" s="341"/>
      <c r="X166" s="341"/>
      <c r="Y166" s="208"/>
      <c r="Z166" s="208"/>
      <c r="AA166" s="341"/>
      <c r="AB166" s="341"/>
      <c r="AC166" s="341"/>
      <c r="AD166" s="341"/>
      <c r="AE166" s="208"/>
      <c r="AF166" s="208"/>
      <c r="AG166" s="341"/>
      <c r="AH166" s="341"/>
      <c r="AI166" s="341"/>
      <c r="AJ166" s="341"/>
      <c r="AK166" s="208"/>
      <c r="AL166" s="208"/>
      <c r="AM166" s="341"/>
      <c r="AN166" s="341"/>
      <c r="AO166" s="341"/>
      <c r="AP166" s="341"/>
      <c r="AQ166" s="208"/>
      <c r="AR166" s="208"/>
      <c r="AS166" s="341"/>
      <c r="AT166" s="341"/>
      <c r="AU166" s="341"/>
      <c r="AV166" s="341"/>
      <c r="AW166" s="208"/>
      <c r="AX166" s="208"/>
      <c r="AY166" s="341"/>
      <c r="AZ166" s="341"/>
      <c r="BA166" s="341"/>
      <c r="BB166" s="341"/>
      <c r="BC166" s="208"/>
      <c r="BD166" s="208"/>
      <c r="BE166" s="341"/>
      <c r="BF166" s="341"/>
      <c r="BG166" s="341"/>
      <c r="BH166" s="341"/>
      <c r="BI166" s="208"/>
      <c r="BJ166" s="208"/>
      <c r="BK166" s="341"/>
      <c r="BL166" s="341"/>
      <c r="BM166" s="341"/>
      <c r="BN166" s="341"/>
      <c r="BO166" s="208"/>
      <c r="BP166" s="208"/>
      <c r="BQ166" s="341"/>
      <c r="BR166" s="341"/>
      <c r="BS166" s="341"/>
      <c r="BT166" s="341"/>
      <c r="BU166" s="208"/>
      <c r="BV166" s="208"/>
      <c r="BW166" s="341"/>
      <c r="BX166" s="341"/>
      <c r="BY166" s="341"/>
      <c r="BZ166" s="341"/>
      <c r="CA166" s="208"/>
      <c r="CB166" s="208"/>
      <c r="CC166" s="341"/>
      <c r="CD166" s="341"/>
      <c r="CE166" s="341"/>
      <c r="CF166" s="341"/>
      <c r="CG166" s="209"/>
      <c r="CH166" s="59"/>
      <c r="CI166" s="355"/>
      <c r="CJ166" s="355"/>
      <c r="CK166" s="355"/>
      <c r="CL166" s="355"/>
    </row>
    <row r="167" spans="2:90" ht="41.25" customHeight="1" outlineLevel="1" x14ac:dyDescent="0.2">
      <c r="B167" s="371" t="s">
        <v>576</v>
      </c>
      <c r="C167" s="760" t="s">
        <v>166</v>
      </c>
      <c r="D167" s="221" t="s">
        <v>167</v>
      </c>
      <c r="E167" s="753" t="s">
        <v>411</v>
      </c>
      <c r="F167" s="753"/>
      <c r="G167" s="222">
        <v>1</v>
      </c>
      <c r="H167" s="720">
        <f>SUM(G167:G170)</f>
        <v>6</v>
      </c>
      <c r="I167" s="225" t="s">
        <v>577</v>
      </c>
      <c r="J167" s="224"/>
      <c r="K167" s="278"/>
      <c r="L167" s="278"/>
      <c r="M167" s="222">
        <v>2</v>
      </c>
      <c r="N167" s="720">
        <f>SUM(M167:M170)</f>
        <v>8</v>
      </c>
      <c r="O167" s="257"/>
      <c r="P167" s="224"/>
      <c r="Q167" s="226"/>
      <c r="R167" s="226"/>
      <c r="S167" s="222">
        <v>1</v>
      </c>
      <c r="T167" s="720">
        <f>SUM(S167:S170)</f>
        <v>6</v>
      </c>
      <c r="U167" s="225"/>
      <c r="V167" s="224" t="s">
        <v>578</v>
      </c>
      <c r="W167" s="278"/>
      <c r="X167" s="278"/>
      <c r="Y167" s="222">
        <v>2</v>
      </c>
      <c r="Z167" s="720">
        <f>SUM(Y167:Y170)</f>
        <v>8</v>
      </c>
      <c r="AA167" s="227"/>
      <c r="AB167" s="226"/>
      <c r="AC167" s="278"/>
      <c r="AD167" s="278"/>
      <c r="AE167" s="222">
        <v>2</v>
      </c>
      <c r="AF167" s="720">
        <f>AE167+AE168+AE169+AE170</f>
        <v>8</v>
      </c>
      <c r="AG167" s="225"/>
      <c r="AH167" s="224"/>
      <c r="AI167" s="278"/>
      <c r="AJ167" s="278"/>
      <c r="AK167" s="222">
        <v>2</v>
      </c>
      <c r="AL167" s="720">
        <v>8</v>
      </c>
      <c r="AM167" s="225"/>
      <c r="AO167" s="278"/>
      <c r="AP167" s="278"/>
      <c r="AQ167" s="222">
        <v>2</v>
      </c>
      <c r="AR167" s="720">
        <f>SUM(AQ167:AQ170)</f>
        <v>8</v>
      </c>
      <c r="AS167" s="225"/>
      <c r="AT167" s="224"/>
      <c r="AU167" s="278"/>
      <c r="AV167" s="278"/>
      <c r="AW167" s="222">
        <v>2</v>
      </c>
      <c r="AX167" s="720">
        <f>SUM(AW167:AW170)</f>
        <v>6</v>
      </c>
      <c r="AY167" s="225"/>
      <c r="AZ167" s="224"/>
      <c r="BA167" s="278"/>
      <c r="BB167" s="278"/>
      <c r="BC167" s="222">
        <v>1</v>
      </c>
      <c r="BD167" s="720">
        <f>SUM(BC167:BC170)</f>
        <v>7</v>
      </c>
      <c r="BE167" s="225" t="s">
        <v>579</v>
      </c>
      <c r="BF167" s="224"/>
      <c r="BG167" s="278"/>
      <c r="BH167" s="278"/>
      <c r="BI167" s="222">
        <v>2</v>
      </c>
      <c r="BJ167" s="720">
        <v>8</v>
      </c>
      <c r="BK167" s="225"/>
      <c r="BL167" s="224"/>
      <c r="BM167" s="278"/>
      <c r="BN167" s="278"/>
      <c r="BO167" s="222"/>
      <c r="BP167" s="720">
        <v>8</v>
      </c>
      <c r="BQ167" s="225"/>
      <c r="BR167" s="224"/>
      <c r="BS167" s="278"/>
      <c r="BT167" s="278"/>
      <c r="BU167" s="222"/>
      <c r="BV167" s="720">
        <v>7</v>
      </c>
      <c r="BW167" s="225"/>
      <c r="BX167" s="224"/>
      <c r="BY167" s="278"/>
      <c r="BZ167" s="278"/>
      <c r="CA167" s="222"/>
      <c r="CB167" s="799">
        <f>SUM(CA167:CA170)</f>
        <v>0</v>
      </c>
      <c r="CC167" s="227"/>
      <c r="CD167" s="226"/>
      <c r="CE167" s="278"/>
      <c r="CF167" s="278"/>
      <c r="CG167" s="229"/>
      <c r="CH167" s="788">
        <f>SUM(CG167:CG170)</f>
        <v>0</v>
      </c>
      <c r="CI167" s="144"/>
      <c r="CJ167" s="224"/>
      <c r="CK167" s="165"/>
      <c r="CL167" s="165"/>
    </row>
    <row r="168" spans="2:90" ht="46.5" customHeight="1" outlineLevel="1" x14ac:dyDescent="0.2">
      <c r="B168" s="372" t="s">
        <v>580</v>
      </c>
      <c r="C168" s="761"/>
      <c r="D168" s="207" t="s">
        <v>581</v>
      </c>
      <c r="E168" s="782" t="s">
        <v>582</v>
      </c>
      <c r="F168" s="782"/>
      <c r="G168" s="197">
        <v>1</v>
      </c>
      <c r="H168" s="721"/>
      <c r="I168" s="149" t="s">
        <v>583</v>
      </c>
      <c r="J168" s="148"/>
      <c r="K168" s="166"/>
      <c r="L168" s="166"/>
      <c r="M168" s="197">
        <v>2</v>
      </c>
      <c r="N168" s="721"/>
      <c r="O168" s="203"/>
      <c r="P168" s="148"/>
      <c r="Q168" s="167"/>
      <c r="R168" s="167"/>
      <c r="S168" s="197">
        <v>1</v>
      </c>
      <c r="T168" s="721"/>
      <c r="U168" s="149"/>
      <c r="V168" s="148" t="s">
        <v>584</v>
      </c>
      <c r="W168" s="166"/>
      <c r="X168" s="166"/>
      <c r="Y168" s="197">
        <v>2</v>
      </c>
      <c r="Z168" s="721"/>
      <c r="AA168" s="179"/>
      <c r="AB168" s="167"/>
      <c r="AC168" s="166"/>
      <c r="AD168" s="166"/>
      <c r="AE168" s="197">
        <v>2</v>
      </c>
      <c r="AF168" s="721"/>
      <c r="AG168" s="149"/>
      <c r="AH168" s="148"/>
      <c r="AI168" s="166"/>
      <c r="AJ168" s="166"/>
      <c r="AK168" s="197">
        <v>2</v>
      </c>
      <c r="AL168" s="721"/>
      <c r="AM168" s="149"/>
      <c r="AN168" s="224"/>
      <c r="AO168" s="166"/>
      <c r="AP168" s="166"/>
      <c r="AQ168" s="197">
        <v>2</v>
      </c>
      <c r="AR168" s="721"/>
      <c r="AS168" s="149"/>
      <c r="AT168" s="148"/>
      <c r="AU168" s="166"/>
      <c r="AV168" s="166"/>
      <c r="AW168" s="197">
        <v>1</v>
      </c>
      <c r="AX168" s="721"/>
      <c r="AY168" s="149"/>
      <c r="AZ168" s="149" t="s">
        <v>585</v>
      </c>
      <c r="BA168" s="166"/>
      <c r="BB168" s="166"/>
      <c r="BC168" s="197">
        <v>2</v>
      </c>
      <c r="BD168" s="721"/>
      <c r="BE168" s="149"/>
      <c r="BF168" s="148"/>
      <c r="BG168" s="166"/>
      <c r="BH168" s="166"/>
      <c r="BI168" s="197">
        <v>2</v>
      </c>
      <c r="BJ168" s="721"/>
      <c r="BK168" s="149"/>
      <c r="BL168" s="148"/>
      <c r="BM168" s="166"/>
      <c r="BN168" s="166"/>
      <c r="BO168" s="197"/>
      <c r="BP168" s="721"/>
      <c r="BQ168" s="149"/>
      <c r="BR168" s="148"/>
      <c r="BS168" s="166"/>
      <c r="BT168" s="166"/>
      <c r="BU168" s="197"/>
      <c r="BV168" s="721"/>
      <c r="BW168" s="149"/>
      <c r="BX168" s="148"/>
      <c r="BY168" s="166"/>
      <c r="BZ168" s="166"/>
      <c r="CA168" s="197"/>
      <c r="CB168" s="800"/>
      <c r="CC168" s="179"/>
      <c r="CD168" s="444"/>
      <c r="CE168" s="166"/>
      <c r="CF168" s="166"/>
      <c r="CG168" s="230"/>
      <c r="CH168" s="789"/>
      <c r="CI168" s="147"/>
      <c r="CJ168" s="148"/>
      <c r="CK168" s="166"/>
      <c r="CL168" s="166"/>
    </row>
    <row r="169" spans="2:90" ht="25.5" outlineLevel="1" x14ac:dyDescent="0.2">
      <c r="B169" s="372" t="s">
        <v>586</v>
      </c>
      <c r="C169" s="761"/>
      <c r="D169" s="207" t="s">
        <v>587</v>
      </c>
      <c r="E169" s="782" t="s">
        <v>588</v>
      </c>
      <c r="F169" s="782"/>
      <c r="G169" s="197">
        <v>2</v>
      </c>
      <c r="H169" s="721"/>
      <c r="I169" s="200"/>
      <c r="J169" s="148"/>
      <c r="K169" s="166"/>
      <c r="L169" s="166"/>
      <c r="M169" s="197">
        <v>2</v>
      </c>
      <c r="N169" s="721"/>
      <c r="O169" s="203"/>
      <c r="P169" s="148"/>
      <c r="Q169" s="167"/>
      <c r="R169" s="167"/>
      <c r="S169" s="197">
        <v>2</v>
      </c>
      <c r="T169" s="721"/>
      <c r="U169" s="200"/>
      <c r="V169" s="148"/>
      <c r="W169" s="166"/>
      <c r="X169" s="166"/>
      <c r="Y169" s="197">
        <v>2</v>
      </c>
      <c r="Z169" s="721"/>
      <c r="AA169" s="179"/>
      <c r="AB169" s="167"/>
      <c r="AC169" s="166"/>
      <c r="AD169" s="166"/>
      <c r="AE169" s="197">
        <v>2</v>
      </c>
      <c r="AF169" s="721"/>
      <c r="AG169" s="149"/>
      <c r="AH169" s="148"/>
      <c r="AI169" s="166"/>
      <c r="AJ169" s="166"/>
      <c r="AK169" s="197">
        <v>2</v>
      </c>
      <c r="AL169" s="721"/>
      <c r="AM169" s="149"/>
      <c r="AN169" s="148"/>
      <c r="AO169" s="166"/>
      <c r="AP169" s="166"/>
      <c r="AQ169" s="197">
        <v>2</v>
      </c>
      <c r="AR169" s="721"/>
      <c r="AS169" s="149"/>
      <c r="AT169" s="148"/>
      <c r="AU169" s="166"/>
      <c r="AV169" s="166"/>
      <c r="AW169" s="197">
        <v>2</v>
      </c>
      <c r="AX169" s="721"/>
      <c r="AY169" s="149"/>
      <c r="AZ169" s="148"/>
      <c r="BA169" s="166"/>
      <c r="BB169" s="166"/>
      <c r="BC169" s="197">
        <v>2</v>
      </c>
      <c r="BD169" s="721"/>
      <c r="BE169" s="149"/>
      <c r="BF169" s="148"/>
      <c r="BG169" s="166"/>
      <c r="BH169" s="166"/>
      <c r="BI169" s="197">
        <v>2</v>
      </c>
      <c r="BJ169" s="721"/>
      <c r="BK169" s="149"/>
      <c r="BL169" s="148"/>
      <c r="BM169" s="166"/>
      <c r="BN169" s="166"/>
      <c r="BO169" s="197"/>
      <c r="BP169" s="721"/>
      <c r="BQ169" s="149"/>
      <c r="BR169" s="148"/>
      <c r="BS169" s="166"/>
      <c r="BT169" s="166"/>
      <c r="BU169" s="197"/>
      <c r="BV169" s="721"/>
      <c r="BW169" s="149"/>
      <c r="BX169" s="148"/>
      <c r="BY169" s="166"/>
      <c r="BZ169" s="166"/>
      <c r="CA169" s="197"/>
      <c r="CB169" s="800"/>
      <c r="CC169" s="179"/>
      <c r="CD169" s="444"/>
      <c r="CE169" s="166"/>
      <c r="CF169" s="166"/>
      <c r="CG169" s="230"/>
      <c r="CH169" s="789"/>
      <c r="CI169" s="147"/>
      <c r="CJ169" s="148"/>
      <c r="CK169" s="166"/>
      <c r="CL169" s="166"/>
    </row>
    <row r="170" spans="2:90" ht="36.75" customHeight="1" outlineLevel="1" x14ac:dyDescent="0.2">
      <c r="B170" s="373" t="s">
        <v>589</v>
      </c>
      <c r="C170" s="762"/>
      <c r="D170" s="254" t="s">
        <v>181</v>
      </c>
      <c r="E170" s="783" t="s">
        <v>182</v>
      </c>
      <c r="F170" s="783"/>
      <c r="G170" s="232">
        <v>2</v>
      </c>
      <c r="H170" s="722"/>
      <c r="I170" s="233"/>
      <c r="J170" s="234"/>
      <c r="K170" s="279"/>
      <c r="L170" s="279"/>
      <c r="M170" s="232">
        <v>2</v>
      </c>
      <c r="N170" s="722"/>
      <c r="O170" s="259"/>
      <c r="P170" s="234"/>
      <c r="Q170" s="236"/>
      <c r="R170" s="236"/>
      <c r="S170" s="232">
        <v>2</v>
      </c>
      <c r="T170" s="722"/>
      <c r="U170" s="233"/>
      <c r="V170" s="234"/>
      <c r="W170" s="279"/>
      <c r="X170" s="279"/>
      <c r="Y170" s="232">
        <v>2</v>
      </c>
      <c r="Z170" s="722"/>
      <c r="AA170" s="235"/>
      <c r="AB170" s="236"/>
      <c r="AC170" s="279"/>
      <c r="AD170" s="279"/>
      <c r="AE170" s="232">
        <v>2</v>
      </c>
      <c r="AF170" s="722"/>
      <c r="AG170" s="233"/>
      <c r="AH170" s="234"/>
      <c r="AI170" s="279"/>
      <c r="AJ170" s="279"/>
      <c r="AK170" s="232">
        <v>2</v>
      </c>
      <c r="AL170" s="722"/>
      <c r="AM170" s="233"/>
      <c r="AN170" s="234"/>
      <c r="AO170" s="279"/>
      <c r="AP170" s="279"/>
      <c r="AQ170" s="232">
        <v>2</v>
      </c>
      <c r="AR170" s="722"/>
      <c r="AS170" s="233"/>
      <c r="AT170" s="234"/>
      <c r="AU170" s="279"/>
      <c r="AV170" s="279"/>
      <c r="AW170" s="232">
        <v>1</v>
      </c>
      <c r="AX170" s="722"/>
      <c r="AY170" s="233"/>
      <c r="AZ170" s="233" t="s">
        <v>590</v>
      </c>
      <c r="BA170" s="279"/>
      <c r="BB170" s="279"/>
      <c r="BC170" s="232">
        <v>2</v>
      </c>
      <c r="BD170" s="722"/>
      <c r="BE170" s="233"/>
      <c r="BF170" s="234"/>
      <c r="BG170" s="279"/>
      <c r="BH170" s="279"/>
      <c r="BI170" s="232">
        <v>2</v>
      </c>
      <c r="BJ170" s="722"/>
      <c r="BK170" s="233"/>
      <c r="BL170" s="234"/>
      <c r="BM170" s="279"/>
      <c r="BN170" s="279"/>
      <c r="BO170" s="232"/>
      <c r="BP170" s="722"/>
      <c r="BQ170" s="233"/>
      <c r="BR170" s="234"/>
      <c r="BS170" s="279"/>
      <c r="BT170" s="279"/>
      <c r="BU170" s="232"/>
      <c r="BV170" s="722"/>
      <c r="BW170" s="233"/>
      <c r="BX170" s="234"/>
      <c r="BY170" s="279"/>
      <c r="BZ170" s="279"/>
      <c r="CA170" s="232"/>
      <c r="CB170" s="801"/>
      <c r="CC170" s="235"/>
      <c r="CD170" s="236"/>
      <c r="CE170" s="279"/>
      <c r="CF170" s="279"/>
      <c r="CG170" s="238"/>
      <c r="CH170" s="790"/>
      <c r="CI170" s="147"/>
      <c r="CJ170" s="234"/>
      <c r="CK170" s="166"/>
      <c r="CL170" s="166"/>
    </row>
    <row r="171" spans="2:90" ht="54" customHeight="1" outlineLevel="1" x14ac:dyDescent="0.2">
      <c r="B171" s="374" t="s">
        <v>591</v>
      </c>
      <c r="C171" s="769" t="s">
        <v>202</v>
      </c>
      <c r="D171" s="239" t="s">
        <v>421</v>
      </c>
      <c r="E171" s="747" t="s">
        <v>422</v>
      </c>
      <c r="F171" s="747"/>
      <c r="G171" s="222">
        <v>2</v>
      </c>
      <c r="H171" s="720">
        <f>SUM(G171:G175)</f>
        <v>10</v>
      </c>
      <c r="I171" s="225"/>
      <c r="J171" s="224"/>
      <c r="K171" s="278"/>
      <c r="L171" s="278"/>
      <c r="M171" s="222">
        <v>2</v>
      </c>
      <c r="N171" s="720">
        <f>SUM(M171:M175)</f>
        <v>10</v>
      </c>
      <c r="O171" s="257"/>
      <c r="P171" s="224"/>
      <c r="Q171" s="226"/>
      <c r="R171" s="226"/>
      <c r="S171" s="222">
        <v>2</v>
      </c>
      <c r="T171" s="720">
        <f>SUM(S171:S175)</f>
        <v>9</v>
      </c>
      <c r="U171" s="225"/>
      <c r="V171" s="224"/>
      <c r="W171" s="278"/>
      <c r="X171" s="278"/>
      <c r="Y171" s="222">
        <v>2</v>
      </c>
      <c r="Z171" s="720">
        <f>SUM(Y171:Y175)</f>
        <v>10</v>
      </c>
      <c r="AA171" s="227"/>
      <c r="AB171" s="226"/>
      <c r="AC171" s="278"/>
      <c r="AD171" s="278"/>
      <c r="AE171" s="222">
        <v>2</v>
      </c>
      <c r="AF171" s="720">
        <v>9</v>
      </c>
      <c r="AG171" s="224"/>
      <c r="AH171" s="224"/>
      <c r="AI171" s="278"/>
      <c r="AJ171" s="278"/>
      <c r="AK171" s="222">
        <v>2</v>
      </c>
      <c r="AL171" s="720">
        <v>10</v>
      </c>
      <c r="AM171" s="225"/>
      <c r="AN171" s="224"/>
      <c r="AO171" s="278"/>
      <c r="AP171" s="278"/>
      <c r="AQ171" s="222">
        <v>2</v>
      </c>
      <c r="AR171" s="720">
        <f>SUM(AQ171:AQ175)</f>
        <v>10</v>
      </c>
      <c r="AS171" s="225"/>
      <c r="AT171" s="224"/>
      <c r="AU171" s="278"/>
      <c r="AV171" s="278"/>
      <c r="AW171" s="222">
        <v>2</v>
      </c>
      <c r="AX171" s="720">
        <f>SUM(AW171:AW175)</f>
        <v>10</v>
      </c>
      <c r="AY171" s="225"/>
      <c r="AZ171" s="224"/>
      <c r="BA171" s="278"/>
      <c r="BB171" s="278"/>
      <c r="BC171" s="222">
        <v>2</v>
      </c>
      <c r="BD171" s="720">
        <f>SUM(BC171:BC175)</f>
        <v>9</v>
      </c>
      <c r="BE171" s="225"/>
      <c r="BF171" s="224"/>
      <c r="BG171" s="278"/>
      <c r="BH171" s="278"/>
      <c r="BI171" s="222">
        <v>2</v>
      </c>
      <c r="BJ171" s="720">
        <v>10</v>
      </c>
      <c r="BK171" s="225"/>
      <c r="BL171" s="224"/>
      <c r="BM171" s="278"/>
      <c r="BN171" s="278"/>
      <c r="BO171" s="222"/>
      <c r="BP171" s="720">
        <v>10</v>
      </c>
      <c r="BQ171" s="225"/>
      <c r="BR171" s="224"/>
      <c r="BS171" s="278"/>
      <c r="BT171" s="278"/>
      <c r="BU171" s="222"/>
      <c r="BV171" s="720">
        <v>10</v>
      </c>
      <c r="BW171" s="225"/>
      <c r="BX171" s="224"/>
      <c r="BY171" s="278"/>
      <c r="BZ171" s="278"/>
      <c r="CA171" s="222"/>
      <c r="CB171" s="799">
        <f>SUM(CA171:CA175)</f>
        <v>0</v>
      </c>
      <c r="CC171" s="227"/>
      <c r="CD171" s="226"/>
      <c r="CE171" s="278"/>
      <c r="CF171" s="278"/>
      <c r="CG171" s="229"/>
      <c r="CH171" s="789">
        <f>SUM(CG171:CG175)</f>
        <v>0</v>
      </c>
      <c r="CI171" s="147"/>
      <c r="CJ171" s="148"/>
      <c r="CK171" s="166"/>
      <c r="CL171" s="166"/>
    </row>
    <row r="172" spans="2:90" ht="36" outlineLevel="1" x14ac:dyDescent="0.2">
      <c r="B172" s="375" t="s">
        <v>592</v>
      </c>
      <c r="C172" s="770"/>
      <c r="D172" s="210" t="s">
        <v>593</v>
      </c>
      <c r="E172" s="748" t="s">
        <v>594</v>
      </c>
      <c r="F172" s="748"/>
      <c r="G172" s="197">
        <v>2</v>
      </c>
      <c r="H172" s="721"/>
      <c r="I172" s="360"/>
      <c r="J172" s="148"/>
      <c r="K172" s="166"/>
      <c r="L172" s="166"/>
      <c r="M172" s="197">
        <v>2</v>
      </c>
      <c r="N172" s="721"/>
      <c r="O172" s="203"/>
      <c r="P172" s="148"/>
      <c r="Q172" s="167"/>
      <c r="R172" s="167"/>
      <c r="S172" s="197">
        <v>1</v>
      </c>
      <c r="T172" s="721"/>
      <c r="U172" s="149"/>
      <c r="V172" s="148" t="s">
        <v>595</v>
      </c>
      <c r="W172" s="166"/>
      <c r="X172" s="166"/>
      <c r="Y172" s="197">
        <v>2</v>
      </c>
      <c r="Z172" s="721"/>
      <c r="AA172" s="179"/>
      <c r="AB172" s="167"/>
      <c r="AC172" s="166"/>
      <c r="AD172" s="166"/>
      <c r="AE172" s="197">
        <v>2</v>
      </c>
      <c r="AF172" s="721"/>
      <c r="AG172" s="198"/>
      <c r="AH172" s="148"/>
      <c r="AI172" s="166"/>
      <c r="AJ172" s="166"/>
      <c r="AK172" s="197">
        <v>2</v>
      </c>
      <c r="AL172" s="721"/>
      <c r="AM172" s="198"/>
      <c r="AN172" s="198"/>
      <c r="AO172" s="166"/>
      <c r="AP172" s="166"/>
      <c r="AQ172" s="197">
        <v>2</v>
      </c>
      <c r="AR172" s="721"/>
      <c r="AS172" s="149"/>
      <c r="AT172" s="148"/>
      <c r="AU172" s="166"/>
      <c r="AV172" s="166"/>
      <c r="AW172" s="197">
        <v>2</v>
      </c>
      <c r="AX172" s="721"/>
      <c r="AY172" s="149"/>
      <c r="AZ172" s="148"/>
      <c r="BA172" s="166"/>
      <c r="BB172" s="166"/>
      <c r="BC172" s="197">
        <v>1</v>
      </c>
      <c r="BD172" s="721"/>
      <c r="BE172" s="149" t="s">
        <v>596</v>
      </c>
      <c r="BF172" s="148"/>
      <c r="BG172" s="166"/>
      <c r="BH172" s="166"/>
      <c r="BI172" s="197">
        <v>2</v>
      </c>
      <c r="BJ172" s="721"/>
      <c r="BK172" s="149"/>
      <c r="BL172" s="148"/>
      <c r="BM172" s="166"/>
      <c r="BN172" s="166"/>
      <c r="BO172" s="197"/>
      <c r="BP172" s="721"/>
      <c r="BQ172" s="149"/>
      <c r="BR172" s="148"/>
      <c r="BS172" s="166"/>
      <c r="BT172" s="166"/>
      <c r="BU172" s="197"/>
      <c r="BV172" s="721"/>
      <c r="BW172" s="149"/>
      <c r="BX172" s="148"/>
      <c r="BY172" s="166"/>
      <c r="BZ172" s="166"/>
      <c r="CA172" s="197"/>
      <c r="CB172" s="800"/>
      <c r="CC172" s="179"/>
      <c r="CD172" s="444"/>
      <c r="CE172" s="166"/>
      <c r="CF172" s="166"/>
      <c r="CG172" s="230"/>
      <c r="CH172" s="789"/>
      <c r="CI172" s="147"/>
      <c r="CJ172" s="148"/>
      <c r="CK172" s="166"/>
      <c r="CL172" s="166"/>
    </row>
    <row r="173" spans="2:90" ht="15" outlineLevel="1" x14ac:dyDescent="0.2">
      <c r="B173" s="375" t="s">
        <v>597</v>
      </c>
      <c r="C173" s="770"/>
      <c r="D173" s="210" t="s">
        <v>598</v>
      </c>
      <c r="E173" s="748" t="s">
        <v>599</v>
      </c>
      <c r="F173" s="748"/>
      <c r="G173" s="197">
        <v>2</v>
      </c>
      <c r="H173" s="721"/>
      <c r="I173" s="149"/>
      <c r="J173" s="148"/>
      <c r="K173" s="166"/>
      <c r="L173" s="166"/>
      <c r="M173" s="197">
        <v>2</v>
      </c>
      <c r="N173" s="721"/>
      <c r="O173" s="203"/>
      <c r="P173" s="148"/>
      <c r="Q173" s="167"/>
      <c r="R173" s="167"/>
      <c r="S173" s="197">
        <v>2</v>
      </c>
      <c r="T173" s="721"/>
      <c r="U173" s="149"/>
      <c r="V173" s="148"/>
      <c r="W173" s="166"/>
      <c r="X173" s="166"/>
      <c r="Y173" s="197">
        <v>2</v>
      </c>
      <c r="Z173" s="721"/>
      <c r="AA173" s="179"/>
      <c r="AB173" s="167"/>
      <c r="AC173" s="166"/>
      <c r="AD173" s="166"/>
      <c r="AE173" s="197">
        <v>2</v>
      </c>
      <c r="AF173" s="721"/>
      <c r="AG173" s="149"/>
      <c r="AH173" s="148"/>
      <c r="AI173" s="166"/>
      <c r="AJ173" s="166"/>
      <c r="AK173" s="197">
        <v>2</v>
      </c>
      <c r="AL173" s="721"/>
      <c r="AM173" s="149"/>
      <c r="AN173" s="148"/>
      <c r="AO173" s="166"/>
      <c r="AP173" s="166"/>
      <c r="AQ173" s="197">
        <v>2</v>
      </c>
      <c r="AR173" s="721"/>
      <c r="AS173" s="149"/>
      <c r="AT173" s="148"/>
      <c r="AU173" s="166"/>
      <c r="AV173" s="166"/>
      <c r="AW173" s="197">
        <v>2</v>
      </c>
      <c r="AX173" s="721"/>
      <c r="AY173" s="149"/>
      <c r="AZ173" s="148"/>
      <c r="BA173" s="166"/>
      <c r="BB173" s="166"/>
      <c r="BC173" s="197">
        <v>2</v>
      </c>
      <c r="BD173" s="721"/>
      <c r="BE173" s="149"/>
      <c r="BF173" s="148"/>
      <c r="BG173" s="166"/>
      <c r="BH173" s="166"/>
      <c r="BI173" s="197">
        <v>2</v>
      </c>
      <c r="BJ173" s="721"/>
      <c r="BK173" s="149"/>
      <c r="BL173" s="148"/>
      <c r="BM173" s="166"/>
      <c r="BN173" s="166"/>
      <c r="BO173" s="197"/>
      <c r="BP173" s="721"/>
      <c r="BQ173" s="149"/>
      <c r="BR173" s="148"/>
      <c r="BS173" s="166"/>
      <c r="BT173" s="166"/>
      <c r="BU173" s="197"/>
      <c r="BV173" s="721"/>
      <c r="BW173" s="149"/>
      <c r="BX173" s="148"/>
      <c r="BY173" s="166"/>
      <c r="BZ173" s="166"/>
      <c r="CA173" s="197"/>
      <c r="CB173" s="800"/>
      <c r="CC173" s="179"/>
      <c r="CD173" s="444"/>
      <c r="CE173" s="166"/>
      <c r="CF173" s="166"/>
      <c r="CG173" s="230"/>
      <c r="CH173" s="789"/>
      <c r="CI173" s="147"/>
      <c r="CJ173" s="148"/>
      <c r="CK173" s="166"/>
      <c r="CL173" s="166"/>
    </row>
    <row r="174" spans="2:90" ht="60.75" customHeight="1" outlineLevel="1" x14ac:dyDescent="0.2">
      <c r="B174" s="375" t="s">
        <v>600</v>
      </c>
      <c r="C174" s="770"/>
      <c r="D174" s="212" t="s">
        <v>213</v>
      </c>
      <c r="E174" s="748" t="s">
        <v>601</v>
      </c>
      <c r="F174" s="748"/>
      <c r="G174" s="197">
        <v>2</v>
      </c>
      <c r="H174" s="721"/>
      <c r="I174" s="149"/>
      <c r="J174" s="148"/>
      <c r="K174" s="166"/>
      <c r="L174" s="166"/>
      <c r="M174" s="197">
        <v>2</v>
      </c>
      <c r="N174" s="721"/>
      <c r="O174" s="200"/>
      <c r="P174" s="148"/>
      <c r="Q174" s="167"/>
      <c r="R174" s="167"/>
      <c r="S174" s="197">
        <v>2</v>
      </c>
      <c r="T174" s="721"/>
      <c r="U174" s="149"/>
      <c r="V174" s="148"/>
      <c r="W174" s="166"/>
      <c r="X174" s="166"/>
      <c r="Y174" s="197">
        <v>2</v>
      </c>
      <c r="Z174" s="721"/>
      <c r="AA174" s="179"/>
      <c r="AB174" s="167"/>
      <c r="AC174" s="166"/>
      <c r="AD174" s="166"/>
      <c r="AE174" s="197">
        <v>2</v>
      </c>
      <c r="AF174" s="721"/>
      <c r="AG174" s="149"/>
      <c r="AH174" s="148"/>
      <c r="AI174" s="166"/>
      <c r="AJ174" s="166"/>
      <c r="AK174" s="197">
        <v>2</v>
      </c>
      <c r="AL174" s="721"/>
      <c r="AM174" s="149"/>
      <c r="AN174" s="148"/>
      <c r="AO174" s="166"/>
      <c r="AP174" s="166"/>
      <c r="AQ174" s="197">
        <v>2</v>
      </c>
      <c r="AR174" s="721"/>
      <c r="AS174" s="149"/>
      <c r="AT174" s="148"/>
      <c r="AU174" s="166"/>
      <c r="AV174" s="166"/>
      <c r="AW174" s="197">
        <v>2</v>
      </c>
      <c r="AX174" s="721"/>
      <c r="AY174" s="149"/>
      <c r="AZ174" s="148"/>
      <c r="BA174" s="166"/>
      <c r="BB174" s="166"/>
      <c r="BC174" s="197">
        <v>2</v>
      </c>
      <c r="BD174" s="721"/>
      <c r="BE174" s="149"/>
      <c r="BF174" s="148"/>
      <c r="BG174" s="166"/>
      <c r="BH174" s="166"/>
      <c r="BI174" s="197">
        <v>2</v>
      </c>
      <c r="BJ174" s="721"/>
      <c r="BK174" s="149"/>
      <c r="BL174" s="148"/>
      <c r="BM174" s="166"/>
      <c r="BN174" s="166"/>
      <c r="BO174" s="197"/>
      <c r="BP174" s="721"/>
      <c r="BQ174" s="149"/>
      <c r="BR174" s="148"/>
      <c r="BS174" s="166"/>
      <c r="BT174" s="166"/>
      <c r="BU174" s="197"/>
      <c r="BV174" s="721"/>
      <c r="BW174" s="149"/>
      <c r="BX174" s="148"/>
      <c r="BY174" s="166"/>
      <c r="BZ174" s="166"/>
      <c r="CA174" s="197"/>
      <c r="CB174" s="800"/>
      <c r="CC174" s="179"/>
      <c r="CD174" s="167"/>
      <c r="CE174" s="166"/>
      <c r="CF174" s="166"/>
      <c r="CG174" s="230"/>
      <c r="CH174" s="789"/>
      <c r="CI174" s="147"/>
      <c r="CJ174" s="148"/>
      <c r="CK174" s="166"/>
      <c r="CL174" s="166"/>
    </row>
    <row r="175" spans="2:90" ht="39.75" customHeight="1" outlineLevel="1" x14ac:dyDescent="0.2">
      <c r="B175" s="376" t="s">
        <v>602</v>
      </c>
      <c r="C175" s="771"/>
      <c r="D175" s="240" t="s">
        <v>220</v>
      </c>
      <c r="E175" s="751" t="s">
        <v>221</v>
      </c>
      <c r="F175" s="751"/>
      <c r="G175" s="232">
        <v>2</v>
      </c>
      <c r="H175" s="722"/>
      <c r="I175" s="233"/>
      <c r="J175" s="234"/>
      <c r="K175" s="279"/>
      <c r="L175" s="279"/>
      <c r="M175" s="232">
        <v>2</v>
      </c>
      <c r="N175" s="722"/>
      <c r="O175" s="259"/>
      <c r="P175" s="234"/>
      <c r="Q175" s="236"/>
      <c r="R175" s="236"/>
      <c r="S175" s="232">
        <v>2</v>
      </c>
      <c r="T175" s="722"/>
      <c r="U175" s="233"/>
      <c r="V175" s="234"/>
      <c r="W175" s="279"/>
      <c r="X175" s="279"/>
      <c r="Y175" s="232">
        <v>2</v>
      </c>
      <c r="Z175" s="722"/>
      <c r="AA175" s="235"/>
      <c r="AB175" s="236"/>
      <c r="AC175" s="279"/>
      <c r="AD175" s="279"/>
      <c r="AE175" s="232">
        <v>2</v>
      </c>
      <c r="AF175" s="722"/>
      <c r="AG175" s="258"/>
      <c r="AH175" s="234"/>
      <c r="AI175" s="279"/>
      <c r="AJ175" s="279"/>
      <c r="AK175" s="232">
        <v>2</v>
      </c>
      <c r="AL175" s="722"/>
      <c r="AM175" s="233"/>
      <c r="AN175" s="234"/>
      <c r="AO175" s="279"/>
      <c r="AP175" s="279"/>
      <c r="AQ175" s="232">
        <v>2</v>
      </c>
      <c r="AR175" s="722"/>
      <c r="AS175" s="233"/>
      <c r="AT175" s="234"/>
      <c r="AU175" s="279"/>
      <c r="AV175" s="279"/>
      <c r="AW175" s="232">
        <v>2</v>
      </c>
      <c r="AX175" s="722"/>
      <c r="AY175" s="233"/>
      <c r="AZ175" s="234"/>
      <c r="BA175" s="279"/>
      <c r="BB175" s="279"/>
      <c r="BC175" s="232">
        <v>2</v>
      </c>
      <c r="BD175" s="722"/>
      <c r="BE175" s="233"/>
      <c r="BF175" s="234"/>
      <c r="BG175" s="279"/>
      <c r="BH175" s="279"/>
      <c r="BI175" s="232">
        <v>2</v>
      </c>
      <c r="BJ175" s="722"/>
      <c r="BK175" s="233"/>
      <c r="BL175" s="234"/>
      <c r="BM175" s="279"/>
      <c r="BN175" s="279"/>
      <c r="BO175" s="232"/>
      <c r="BP175" s="722"/>
      <c r="BQ175" s="233"/>
      <c r="BR175" s="234"/>
      <c r="BS175" s="279"/>
      <c r="BT175" s="279"/>
      <c r="BU175" s="232"/>
      <c r="BV175" s="722"/>
      <c r="BW175" s="233"/>
      <c r="BX175" s="234"/>
      <c r="BY175" s="279"/>
      <c r="BZ175" s="279"/>
      <c r="CA175" s="232"/>
      <c r="CB175" s="801"/>
      <c r="CC175" s="235"/>
      <c r="CD175" s="236"/>
      <c r="CE175" s="279"/>
      <c r="CF175" s="279"/>
      <c r="CG175" s="238"/>
      <c r="CH175" s="789"/>
      <c r="CI175" s="147"/>
      <c r="CJ175" s="148"/>
      <c r="CK175" s="166"/>
      <c r="CL175" s="166"/>
    </row>
    <row r="176" spans="2:90" ht="45.75" customHeight="1" outlineLevel="1" x14ac:dyDescent="0.2">
      <c r="B176" s="377" t="s">
        <v>603</v>
      </c>
      <c r="C176" s="754" t="s">
        <v>227</v>
      </c>
      <c r="D176" s="273" t="s">
        <v>166</v>
      </c>
      <c r="E176" s="752" t="s">
        <v>228</v>
      </c>
      <c r="F176" s="752"/>
      <c r="G176" s="222">
        <v>2</v>
      </c>
      <c r="H176" s="720">
        <f>SUM(G176:G180)</f>
        <v>10</v>
      </c>
      <c r="I176" s="225"/>
      <c r="J176" s="224"/>
      <c r="K176" s="278"/>
      <c r="L176" s="278"/>
      <c r="M176" s="222">
        <v>2</v>
      </c>
      <c r="N176" s="720">
        <f>SUM(M176:M180)</f>
        <v>10</v>
      </c>
      <c r="O176" s="257"/>
      <c r="P176" s="224"/>
      <c r="Q176" s="226"/>
      <c r="R176" s="226"/>
      <c r="S176" s="222">
        <v>2</v>
      </c>
      <c r="T176" s="720">
        <f>SUM(S176:S180)</f>
        <v>9</v>
      </c>
      <c r="U176" s="225"/>
      <c r="V176" s="224"/>
      <c r="W176" s="278"/>
      <c r="X176" s="278"/>
      <c r="Y176" s="222">
        <v>2</v>
      </c>
      <c r="Z176" s="720">
        <f>SUM(Y176:Y180)</f>
        <v>10</v>
      </c>
      <c r="AA176" s="227"/>
      <c r="AB176" s="226"/>
      <c r="AC176" s="278"/>
      <c r="AD176" s="278"/>
      <c r="AE176" s="222">
        <v>2</v>
      </c>
      <c r="AF176" s="720">
        <f>AE180+AE179+AE178+AE177+AE176</f>
        <v>10</v>
      </c>
      <c r="AG176" s="225"/>
      <c r="AH176" s="224"/>
      <c r="AI176" s="278"/>
      <c r="AJ176" s="278"/>
      <c r="AK176" s="222">
        <v>2</v>
      </c>
      <c r="AL176" s="720">
        <v>10</v>
      </c>
      <c r="AM176" s="225"/>
      <c r="AN176" s="148"/>
      <c r="AO176" s="278"/>
      <c r="AP176" s="278"/>
      <c r="AQ176" s="222">
        <v>2</v>
      </c>
      <c r="AR176" s="720">
        <f>SUM(AQ176:AQ180)</f>
        <v>10</v>
      </c>
      <c r="AS176" s="225"/>
      <c r="AT176" s="224"/>
      <c r="AU176" s="278"/>
      <c r="AV176" s="278"/>
      <c r="AW176" s="222">
        <v>1</v>
      </c>
      <c r="AX176" s="720">
        <f>SUM(AW176:AW180)</f>
        <v>9</v>
      </c>
      <c r="AY176" s="225"/>
      <c r="AZ176" s="225" t="s">
        <v>604</v>
      </c>
      <c r="BA176" s="278"/>
      <c r="BB176" s="278"/>
      <c r="BC176" s="222">
        <v>2</v>
      </c>
      <c r="BD176" s="720">
        <f>SUM(BC181:BC184)</f>
        <v>8</v>
      </c>
      <c r="BE176" s="225"/>
      <c r="BF176" s="224"/>
      <c r="BG176" s="278"/>
      <c r="BH176" s="278"/>
      <c r="BI176" s="222">
        <v>2</v>
      </c>
      <c r="BJ176" s="720">
        <v>10</v>
      </c>
      <c r="BK176" s="225"/>
      <c r="BL176" s="224"/>
      <c r="BM176" s="278"/>
      <c r="BN176" s="278"/>
      <c r="BO176" s="222"/>
      <c r="BP176" s="720">
        <v>10</v>
      </c>
      <c r="BQ176" s="225"/>
      <c r="BR176" s="224"/>
      <c r="BS176" s="278"/>
      <c r="BT176" s="278"/>
      <c r="BU176" s="222"/>
      <c r="BV176" s="720">
        <v>10</v>
      </c>
      <c r="BW176" s="225"/>
      <c r="BX176" s="224"/>
      <c r="BY176" s="278"/>
      <c r="BZ176" s="278"/>
      <c r="CA176" s="222"/>
      <c r="CB176" s="799">
        <f>SUM(CA176:CA180)</f>
        <v>0</v>
      </c>
      <c r="CC176" s="227"/>
      <c r="CD176" s="445"/>
      <c r="CE176" s="278"/>
      <c r="CF176" s="278"/>
      <c r="CG176" s="229"/>
      <c r="CH176" s="788">
        <f>SUM(CG176:CG180)</f>
        <v>0</v>
      </c>
      <c r="CI176" s="147"/>
      <c r="CJ176" s="224"/>
      <c r="CK176" s="166"/>
      <c r="CL176" s="166"/>
    </row>
    <row r="177" spans="2:90" ht="48.75" customHeight="1" outlineLevel="1" x14ac:dyDescent="0.2">
      <c r="B177" s="378" t="s">
        <v>605</v>
      </c>
      <c r="C177" s="755"/>
      <c r="D177" s="217" t="s">
        <v>430</v>
      </c>
      <c r="E177" s="749" t="s">
        <v>243</v>
      </c>
      <c r="F177" s="749"/>
      <c r="G177" s="197">
        <v>2</v>
      </c>
      <c r="H177" s="721"/>
      <c r="I177" s="149"/>
      <c r="J177" s="148"/>
      <c r="K177" s="166"/>
      <c r="L177" s="166"/>
      <c r="M177" s="197">
        <v>2</v>
      </c>
      <c r="N177" s="721"/>
      <c r="O177" s="203"/>
      <c r="P177" s="148"/>
      <c r="Q177" s="167"/>
      <c r="R177" s="167"/>
      <c r="S177" s="197">
        <v>1</v>
      </c>
      <c r="T177" s="721"/>
      <c r="U177" s="149"/>
      <c r="V177" s="148" t="s">
        <v>606</v>
      </c>
      <c r="W177" s="166"/>
      <c r="X177" s="166"/>
      <c r="Y177" s="197">
        <v>2</v>
      </c>
      <c r="Z177" s="721"/>
      <c r="AA177" s="179"/>
      <c r="AB177" s="167"/>
      <c r="AC177" s="166"/>
      <c r="AD177" s="166"/>
      <c r="AE177" s="197">
        <v>2</v>
      </c>
      <c r="AF177" s="721"/>
      <c r="AG177" s="198"/>
      <c r="AH177" s="148"/>
      <c r="AI177" s="166"/>
      <c r="AJ177" s="166"/>
      <c r="AK177" s="197">
        <v>2</v>
      </c>
      <c r="AL177" s="721"/>
      <c r="AM177" s="198"/>
      <c r="AN177" s="188"/>
      <c r="AO177" s="166"/>
      <c r="AP177" s="166"/>
      <c r="AQ177" s="197">
        <v>2</v>
      </c>
      <c r="AR177" s="721"/>
      <c r="AS177" s="149"/>
      <c r="AT177" s="148"/>
      <c r="AU177" s="166"/>
      <c r="AV177" s="166"/>
      <c r="AW177" s="197">
        <v>2</v>
      </c>
      <c r="AX177" s="721"/>
      <c r="AY177" s="149"/>
      <c r="AZ177" s="148"/>
      <c r="BA177" s="166"/>
      <c r="BB177" s="166"/>
      <c r="BC177" s="197">
        <v>2</v>
      </c>
      <c r="BD177" s="721"/>
      <c r="BE177" s="149"/>
      <c r="BF177" s="148"/>
      <c r="BG177" s="166"/>
      <c r="BH177" s="166"/>
      <c r="BI177" s="197">
        <v>2</v>
      </c>
      <c r="BJ177" s="721"/>
      <c r="BK177" s="149"/>
      <c r="BL177" s="148"/>
      <c r="BM177" s="166"/>
      <c r="BN177" s="166"/>
      <c r="BO177" s="197"/>
      <c r="BP177" s="721"/>
      <c r="BQ177" s="149"/>
      <c r="BR177" s="148"/>
      <c r="BS177" s="166"/>
      <c r="BT177" s="166"/>
      <c r="BU177" s="197"/>
      <c r="BV177" s="721"/>
      <c r="BW177" s="149"/>
      <c r="BX177" s="148"/>
      <c r="BY177" s="166"/>
      <c r="BZ177" s="166"/>
      <c r="CA177" s="197"/>
      <c r="CB177" s="800"/>
      <c r="CC177" s="179"/>
      <c r="CD177" s="167"/>
      <c r="CE177" s="166"/>
      <c r="CF177" s="166"/>
      <c r="CG177" s="230"/>
      <c r="CH177" s="789"/>
      <c r="CI177" s="147"/>
      <c r="CJ177" s="148"/>
      <c r="CK177" s="166"/>
      <c r="CL177" s="166"/>
    </row>
    <row r="178" spans="2:90" ht="39.75" customHeight="1" outlineLevel="1" x14ac:dyDescent="0.2">
      <c r="B178" s="378" t="s">
        <v>607</v>
      </c>
      <c r="C178" s="755"/>
      <c r="D178" s="215" t="s">
        <v>245</v>
      </c>
      <c r="E178" s="749" t="s">
        <v>246</v>
      </c>
      <c r="F178" s="749"/>
      <c r="G178" s="197">
        <v>2</v>
      </c>
      <c r="H178" s="721"/>
      <c r="I178" s="149"/>
      <c r="J178" s="148"/>
      <c r="K178" s="166"/>
      <c r="L178" s="166"/>
      <c r="M178" s="197">
        <v>2</v>
      </c>
      <c r="N178" s="721"/>
      <c r="O178" s="203"/>
      <c r="P178" s="148"/>
      <c r="Q178" s="167"/>
      <c r="R178" s="167"/>
      <c r="S178" s="197">
        <v>2</v>
      </c>
      <c r="T178" s="721"/>
      <c r="U178" s="149"/>
      <c r="V178" s="148"/>
      <c r="W178" s="166"/>
      <c r="X178" s="166"/>
      <c r="Y178" s="197">
        <v>2</v>
      </c>
      <c r="Z178" s="721"/>
      <c r="AA178" s="179"/>
      <c r="AB178" s="167"/>
      <c r="AC178" s="166"/>
      <c r="AD178" s="166"/>
      <c r="AE178" s="197">
        <v>2</v>
      </c>
      <c r="AF178" s="721"/>
      <c r="AG178" s="149"/>
      <c r="AH178" s="148"/>
      <c r="AI178" s="166"/>
      <c r="AJ178" s="166"/>
      <c r="AK178" s="197">
        <v>2</v>
      </c>
      <c r="AL178" s="721"/>
      <c r="AM178" s="149"/>
      <c r="AN178" s="148"/>
      <c r="AO178" s="166"/>
      <c r="AP178" s="166"/>
      <c r="AQ178" s="197">
        <v>2</v>
      </c>
      <c r="AR178" s="721"/>
      <c r="AS178" s="149"/>
      <c r="AT178" s="148"/>
      <c r="AU178" s="166"/>
      <c r="AV178" s="166"/>
      <c r="AW178" s="197">
        <v>2</v>
      </c>
      <c r="AX178" s="721"/>
      <c r="AY178" s="149"/>
      <c r="AZ178" s="148"/>
      <c r="BA178" s="166"/>
      <c r="BB178" s="166"/>
      <c r="BC178" s="197">
        <v>2</v>
      </c>
      <c r="BD178" s="721"/>
      <c r="BE178" s="149"/>
      <c r="BF178" s="148"/>
      <c r="BG178" s="166"/>
      <c r="BH178" s="166"/>
      <c r="BI178" s="197">
        <v>2</v>
      </c>
      <c r="BJ178" s="721"/>
      <c r="BK178" s="149"/>
      <c r="BL178" s="148"/>
      <c r="BM178" s="166"/>
      <c r="BN178" s="166"/>
      <c r="BO178" s="197"/>
      <c r="BP178" s="721"/>
      <c r="BQ178" s="149"/>
      <c r="BR178" s="148"/>
      <c r="BS178" s="166"/>
      <c r="BT178" s="166"/>
      <c r="BU178" s="197"/>
      <c r="BV178" s="721"/>
      <c r="BW178" s="149"/>
      <c r="BX178" s="148"/>
      <c r="BY178" s="166"/>
      <c r="BZ178" s="166"/>
      <c r="CA178" s="197"/>
      <c r="CB178" s="800"/>
      <c r="CC178" s="179"/>
      <c r="CD178" s="444"/>
      <c r="CE178" s="166"/>
      <c r="CF178" s="166"/>
      <c r="CG178" s="230"/>
      <c r="CH178" s="789"/>
      <c r="CI178" s="147"/>
      <c r="CJ178" s="148"/>
      <c r="CK178" s="166"/>
      <c r="CL178" s="166"/>
    </row>
    <row r="179" spans="2:90" ht="56.25" customHeight="1" outlineLevel="1" x14ac:dyDescent="0.2">
      <c r="B179" s="378" t="s">
        <v>608</v>
      </c>
      <c r="C179" s="755"/>
      <c r="D179" s="218" t="s">
        <v>609</v>
      </c>
      <c r="E179" s="749" t="s">
        <v>610</v>
      </c>
      <c r="F179" s="749"/>
      <c r="G179" s="197">
        <v>2</v>
      </c>
      <c r="H179" s="721"/>
      <c r="I179" s="149"/>
      <c r="J179" s="148"/>
      <c r="K179" s="166"/>
      <c r="L179" s="166"/>
      <c r="M179" s="197">
        <v>2</v>
      </c>
      <c r="N179" s="721"/>
      <c r="O179" s="203"/>
      <c r="P179" s="148"/>
      <c r="Q179" s="167"/>
      <c r="R179" s="167"/>
      <c r="S179" s="197">
        <v>2</v>
      </c>
      <c r="T179" s="721"/>
      <c r="U179" s="149"/>
      <c r="V179" s="148"/>
      <c r="W179" s="166"/>
      <c r="X179" s="166"/>
      <c r="Y179" s="197">
        <v>2</v>
      </c>
      <c r="Z179" s="721"/>
      <c r="AA179" s="179"/>
      <c r="AB179" s="167"/>
      <c r="AC179" s="166"/>
      <c r="AD179" s="166"/>
      <c r="AE179" s="197">
        <v>2</v>
      </c>
      <c r="AF179" s="721"/>
      <c r="AG179" s="149"/>
      <c r="AH179" s="148"/>
      <c r="AI179" s="166"/>
      <c r="AJ179" s="166"/>
      <c r="AK179" s="197">
        <v>2</v>
      </c>
      <c r="AL179" s="721"/>
      <c r="AM179" s="149"/>
      <c r="AN179" s="148"/>
      <c r="AO179" s="166"/>
      <c r="AP179" s="166"/>
      <c r="AQ179" s="197">
        <v>2</v>
      </c>
      <c r="AR179" s="721"/>
      <c r="AS179" s="149"/>
      <c r="AT179" s="148"/>
      <c r="AU179" s="166"/>
      <c r="AV179" s="166"/>
      <c r="AW179" s="197">
        <v>2</v>
      </c>
      <c r="AX179" s="721"/>
      <c r="AY179" s="149"/>
      <c r="AZ179" s="148"/>
      <c r="BA179" s="166"/>
      <c r="BB179" s="166"/>
      <c r="BC179" s="197">
        <v>2</v>
      </c>
      <c r="BD179" s="721"/>
      <c r="BE179" s="149"/>
      <c r="BF179" s="148"/>
      <c r="BG179" s="166"/>
      <c r="BH179" s="166"/>
      <c r="BI179" s="197">
        <v>2</v>
      </c>
      <c r="BJ179" s="721"/>
      <c r="BK179" s="149"/>
      <c r="BL179" s="148"/>
      <c r="BM179" s="166"/>
      <c r="BN179" s="166"/>
      <c r="BO179" s="197"/>
      <c r="BP179" s="721"/>
      <c r="BQ179" s="149"/>
      <c r="BR179" s="148"/>
      <c r="BS179" s="166"/>
      <c r="BT179" s="166"/>
      <c r="BU179" s="197"/>
      <c r="BV179" s="721"/>
      <c r="BW179" s="149"/>
      <c r="BX179" s="148"/>
      <c r="BY179" s="166"/>
      <c r="BZ179" s="166"/>
      <c r="CA179" s="197"/>
      <c r="CB179" s="800"/>
      <c r="CC179" s="179"/>
      <c r="CD179" s="167"/>
      <c r="CE179" s="166"/>
      <c r="CF179" s="166"/>
      <c r="CG179" s="230"/>
      <c r="CH179" s="789"/>
      <c r="CI179" s="147"/>
      <c r="CJ179" s="148"/>
      <c r="CK179" s="166"/>
      <c r="CL179" s="166"/>
    </row>
    <row r="180" spans="2:90" ht="30.75" customHeight="1" outlineLevel="1" x14ac:dyDescent="0.2">
      <c r="B180" s="383" t="s">
        <v>611</v>
      </c>
      <c r="C180" s="756"/>
      <c r="D180" s="274" t="s">
        <v>434</v>
      </c>
      <c r="E180" s="750" t="s">
        <v>612</v>
      </c>
      <c r="F180" s="750"/>
      <c r="G180" s="232">
        <v>2</v>
      </c>
      <c r="H180" s="722"/>
      <c r="I180" s="233"/>
      <c r="J180" s="234"/>
      <c r="K180" s="279"/>
      <c r="L180" s="279"/>
      <c r="M180" s="232">
        <v>2</v>
      </c>
      <c r="N180" s="722"/>
      <c r="O180" s="259"/>
      <c r="P180" s="234"/>
      <c r="Q180" s="236"/>
      <c r="R180" s="236"/>
      <c r="S180" s="232">
        <v>2</v>
      </c>
      <c r="T180" s="722"/>
      <c r="U180" s="243"/>
      <c r="V180" s="234"/>
      <c r="W180" s="279"/>
      <c r="X180" s="279"/>
      <c r="Y180" s="232">
        <v>2</v>
      </c>
      <c r="Z180" s="722"/>
      <c r="AA180" s="243"/>
      <c r="AB180" s="236"/>
      <c r="AC180" s="279"/>
      <c r="AD180" s="279"/>
      <c r="AE180" s="232">
        <v>2</v>
      </c>
      <c r="AF180" s="722"/>
      <c r="AG180" s="233"/>
      <c r="AH180" s="234"/>
      <c r="AI180" s="279"/>
      <c r="AJ180" s="279"/>
      <c r="AK180" s="232">
        <v>2</v>
      </c>
      <c r="AL180" s="722"/>
      <c r="AM180" s="233"/>
      <c r="AN180" s="234"/>
      <c r="AO180" s="279"/>
      <c r="AP180" s="279"/>
      <c r="AQ180" s="232">
        <v>2</v>
      </c>
      <c r="AR180" s="722"/>
      <c r="AS180" s="233"/>
      <c r="AT180" s="234"/>
      <c r="AU180" s="279"/>
      <c r="AV180" s="279"/>
      <c r="AW180" s="232">
        <v>2</v>
      </c>
      <c r="AX180" s="722"/>
      <c r="AY180" s="233"/>
      <c r="AZ180" s="234"/>
      <c r="BA180" s="279"/>
      <c r="BB180" s="279"/>
      <c r="BC180" s="232">
        <v>2</v>
      </c>
      <c r="BD180" s="722"/>
      <c r="BE180" s="233"/>
      <c r="BF180" s="234"/>
      <c r="BG180" s="279"/>
      <c r="BH180" s="279"/>
      <c r="BI180" s="232">
        <v>2</v>
      </c>
      <c r="BJ180" s="722"/>
      <c r="BK180" s="233"/>
      <c r="BL180" s="234"/>
      <c r="BM180" s="279"/>
      <c r="BN180" s="279"/>
      <c r="BO180" s="232"/>
      <c r="BP180" s="722"/>
      <c r="BQ180" s="233"/>
      <c r="BR180" s="234"/>
      <c r="BS180" s="279"/>
      <c r="BT180" s="279"/>
      <c r="BU180" s="232"/>
      <c r="BV180" s="722"/>
      <c r="BW180" s="233"/>
      <c r="BX180" s="234"/>
      <c r="BY180" s="279"/>
      <c r="BZ180" s="279"/>
      <c r="CA180" s="232"/>
      <c r="CB180" s="801"/>
      <c r="CC180" s="235"/>
      <c r="CD180" s="236"/>
      <c r="CE180" s="279"/>
      <c r="CF180" s="279"/>
      <c r="CG180" s="238"/>
      <c r="CH180" s="789"/>
      <c r="CI180" s="147"/>
      <c r="CJ180" s="148"/>
      <c r="CK180" s="166"/>
      <c r="CL180" s="166"/>
    </row>
    <row r="181" spans="2:90" ht="33" customHeight="1" outlineLevel="1" x14ac:dyDescent="0.2">
      <c r="B181" s="369" t="s">
        <v>613</v>
      </c>
      <c r="C181" s="757" t="s">
        <v>567</v>
      </c>
      <c r="D181" s="249" t="s">
        <v>255</v>
      </c>
      <c r="E181" s="744" t="s">
        <v>614</v>
      </c>
      <c r="F181" s="744"/>
      <c r="G181" s="222">
        <v>2</v>
      </c>
      <c r="H181" s="720">
        <f>SUM(G181:G184)</f>
        <v>8</v>
      </c>
      <c r="I181" s="225"/>
      <c r="J181" s="224"/>
      <c r="K181" s="278"/>
      <c r="L181" s="278"/>
      <c r="M181" s="222">
        <v>2</v>
      </c>
      <c r="N181" s="720">
        <f>SUM(M181:M184)</f>
        <v>8</v>
      </c>
      <c r="O181" s="257"/>
      <c r="P181" s="224"/>
      <c r="Q181" s="226"/>
      <c r="R181" s="226"/>
      <c r="S181" s="222">
        <v>2</v>
      </c>
      <c r="T181" s="720">
        <f>SUM(S181:S184)</f>
        <v>8</v>
      </c>
      <c r="U181" s="225"/>
      <c r="V181" s="224"/>
      <c r="W181" s="278"/>
      <c r="X181" s="278"/>
      <c r="Y181" s="222">
        <v>2</v>
      </c>
      <c r="Z181" s="720">
        <f>SUM(Y181:Y184)</f>
        <v>8</v>
      </c>
      <c r="AA181" s="227"/>
      <c r="AB181" s="226"/>
      <c r="AC181" s="278"/>
      <c r="AD181" s="278"/>
      <c r="AE181" s="222">
        <v>2</v>
      </c>
      <c r="AF181" s="720">
        <f>AE184+AE183+AE182+AE181</f>
        <v>8</v>
      </c>
      <c r="AG181" s="225"/>
      <c r="AH181" s="224"/>
      <c r="AI181" s="278"/>
      <c r="AJ181" s="278"/>
      <c r="AK181" s="222">
        <v>2</v>
      </c>
      <c r="AL181" s="720">
        <v>8</v>
      </c>
      <c r="AM181" s="225"/>
      <c r="AN181" s="224"/>
      <c r="AO181" s="278"/>
      <c r="AP181" s="278"/>
      <c r="AQ181" s="222">
        <v>2</v>
      </c>
      <c r="AR181" s="720">
        <f>SUM(AQ181:AQ184)</f>
        <v>8</v>
      </c>
      <c r="AS181" s="225"/>
      <c r="AT181" s="224"/>
      <c r="AU181" s="278"/>
      <c r="AV181" s="278"/>
      <c r="AW181" s="222">
        <v>2</v>
      </c>
      <c r="AX181" s="720">
        <f>SUM(AW181:AW184)</f>
        <v>8</v>
      </c>
      <c r="AY181" s="225"/>
      <c r="AZ181" s="224"/>
      <c r="BA181" s="278"/>
      <c r="BB181" s="278"/>
      <c r="BC181" s="222">
        <v>2</v>
      </c>
      <c r="BD181" s="720">
        <f>SUM(BC181:BC184)</f>
        <v>8</v>
      </c>
      <c r="BE181" s="225"/>
      <c r="BF181" s="224"/>
      <c r="BG181" s="278"/>
      <c r="BH181" s="278"/>
      <c r="BI181" s="222">
        <v>2</v>
      </c>
      <c r="BJ181" s="720">
        <v>8</v>
      </c>
      <c r="BK181" s="225"/>
      <c r="BL181" s="224"/>
      <c r="BM181" s="278"/>
      <c r="BN181" s="278"/>
      <c r="BO181" s="222"/>
      <c r="BP181" s="720">
        <v>8</v>
      </c>
      <c r="BQ181" s="225"/>
      <c r="BR181" s="224"/>
      <c r="BS181" s="278"/>
      <c r="BT181" s="278"/>
      <c r="BU181" s="222"/>
      <c r="BV181" s="720">
        <v>8</v>
      </c>
      <c r="BW181" s="225"/>
      <c r="BX181" s="224"/>
      <c r="BY181" s="278"/>
      <c r="BZ181" s="278"/>
      <c r="CA181" s="222"/>
      <c r="CB181" s="799">
        <f>SUM(CA181:CA184)</f>
        <v>0</v>
      </c>
      <c r="CC181" s="227"/>
      <c r="CD181" s="445"/>
      <c r="CE181" s="278"/>
      <c r="CF181" s="278"/>
      <c r="CG181" s="229"/>
      <c r="CH181" s="791">
        <f>SUM(CG181:CG184)</f>
        <v>0</v>
      </c>
      <c r="CI181" s="147"/>
      <c r="CJ181" s="148"/>
      <c r="CK181" s="166"/>
      <c r="CL181" s="166"/>
    </row>
    <row r="182" spans="2:90" ht="33" customHeight="1" outlineLevel="1" x14ac:dyDescent="0.2">
      <c r="B182" s="370" t="s">
        <v>615</v>
      </c>
      <c r="C182" s="758"/>
      <c r="D182" s="219" t="s">
        <v>258</v>
      </c>
      <c r="E182" s="745" t="s">
        <v>259</v>
      </c>
      <c r="F182" s="745"/>
      <c r="G182" s="197">
        <v>2</v>
      </c>
      <c r="H182" s="721"/>
      <c r="I182" s="149"/>
      <c r="J182" s="148"/>
      <c r="K182" s="166"/>
      <c r="L182" s="166"/>
      <c r="M182" s="197">
        <v>2</v>
      </c>
      <c r="N182" s="721"/>
      <c r="O182" s="203"/>
      <c r="P182" s="148"/>
      <c r="Q182" s="167"/>
      <c r="R182" s="167"/>
      <c r="S182" s="197">
        <v>2</v>
      </c>
      <c r="T182" s="721"/>
      <c r="U182" s="149"/>
      <c r="V182" s="148"/>
      <c r="W182" s="166"/>
      <c r="X182" s="166"/>
      <c r="Y182" s="197">
        <v>2</v>
      </c>
      <c r="Z182" s="721"/>
      <c r="AA182" s="179"/>
      <c r="AB182" s="167"/>
      <c r="AC182" s="166"/>
      <c r="AD182" s="166"/>
      <c r="AE182" s="197">
        <v>2</v>
      </c>
      <c r="AF182" s="721"/>
      <c r="AG182" s="149"/>
      <c r="AH182" s="148"/>
      <c r="AI182" s="166"/>
      <c r="AJ182" s="166"/>
      <c r="AK182" s="197">
        <v>2</v>
      </c>
      <c r="AL182" s="721"/>
      <c r="AM182" s="149"/>
      <c r="AN182" s="148"/>
      <c r="AO182" s="166"/>
      <c r="AP182" s="166"/>
      <c r="AQ182" s="197">
        <v>2</v>
      </c>
      <c r="AR182" s="721"/>
      <c r="AS182" s="149"/>
      <c r="AT182" s="148"/>
      <c r="AU182" s="166"/>
      <c r="AV182" s="166"/>
      <c r="AW182" s="197">
        <v>2</v>
      </c>
      <c r="AX182" s="721"/>
      <c r="AY182" s="149"/>
      <c r="AZ182" s="148"/>
      <c r="BA182" s="166"/>
      <c r="BB182" s="166"/>
      <c r="BC182" s="197">
        <v>2</v>
      </c>
      <c r="BD182" s="721"/>
      <c r="BE182" s="149"/>
      <c r="BF182" s="148"/>
      <c r="BG182" s="166"/>
      <c r="BH182" s="166"/>
      <c r="BI182" s="197">
        <v>2</v>
      </c>
      <c r="BJ182" s="721"/>
      <c r="BK182" s="149"/>
      <c r="BL182" s="148"/>
      <c r="BM182" s="166"/>
      <c r="BN182" s="166"/>
      <c r="BO182" s="197"/>
      <c r="BP182" s="721"/>
      <c r="BQ182" s="149"/>
      <c r="BR182" s="148"/>
      <c r="BS182" s="166"/>
      <c r="BT182" s="166"/>
      <c r="BU182" s="197"/>
      <c r="BV182" s="721"/>
      <c r="BW182" s="149"/>
      <c r="BX182" s="148"/>
      <c r="BY182" s="166"/>
      <c r="BZ182" s="166"/>
      <c r="CA182" s="197"/>
      <c r="CB182" s="800"/>
      <c r="CC182" s="179"/>
      <c r="CD182" s="444"/>
      <c r="CE182" s="166"/>
      <c r="CF182" s="166"/>
      <c r="CG182" s="230"/>
      <c r="CH182" s="792"/>
      <c r="CI182" s="147"/>
      <c r="CJ182" s="148"/>
      <c r="CK182" s="166"/>
      <c r="CL182" s="166"/>
    </row>
    <row r="183" spans="2:90" ht="46.5" customHeight="1" outlineLevel="1" x14ac:dyDescent="0.2">
      <c r="B183" s="370" t="s">
        <v>616</v>
      </c>
      <c r="C183" s="758"/>
      <c r="D183" s="219" t="s">
        <v>270</v>
      </c>
      <c r="E183" s="745" t="s">
        <v>617</v>
      </c>
      <c r="F183" s="745"/>
      <c r="G183" s="197">
        <v>2</v>
      </c>
      <c r="H183" s="721"/>
      <c r="I183" s="149"/>
      <c r="J183" s="148"/>
      <c r="K183" s="166"/>
      <c r="L183" s="166"/>
      <c r="M183" s="197">
        <v>2</v>
      </c>
      <c r="N183" s="721"/>
      <c r="O183" s="203"/>
      <c r="P183" s="148"/>
      <c r="Q183" s="167"/>
      <c r="R183" s="167"/>
      <c r="S183" s="197">
        <v>2</v>
      </c>
      <c r="T183" s="721"/>
      <c r="U183" s="149"/>
      <c r="V183" s="148"/>
      <c r="W183" s="166"/>
      <c r="X183" s="166"/>
      <c r="Y183" s="197">
        <v>2</v>
      </c>
      <c r="Z183" s="721"/>
      <c r="AA183" s="179"/>
      <c r="AB183" s="167"/>
      <c r="AC183" s="166"/>
      <c r="AD183" s="166"/>
      <c r="AE183" s="197">
        <v>2</v>
      </c>
      <c r="AF183" s="721"/>
      <c r="AG183" s="149"/>
      <c r="AH183" s="148"/>
      <c r="AI183" s="166"/>
      <c r="AJ183" s="166"/>
      <c r="AK183" s="197">
        <v>2</v>
      </c>
      <c r="AL183" s="721"/>
      <c r="AM183" s="149"/>
      <c r="AN183" s="148"/>
      <c r="AO183" s="166"/>
      <c r="AP183" s="166"/>
      <c r="AQ183" s="197">
        <v>2</v>
      </c>
      <c r="AR183" s="721"/>
      <c r="AS183" s="149"/>
      <c r="AT183" s="148"/>
      <c r="AU183" s="166"/>
      <c r="AV183" s="166"/>
      <c r="AW183" s="197">
        <v>2</v>
      </c>
      <c r="AX183" s="721"/>
      <c r="AY183" s="149"/>
      <c r="AZ183" s="148"/>
      <c r="BA183" s="166"/>
      <c r="BB183" s="166"/>
      <c r="BC183" s="197">
        <v>2</v>
      </c>
      <c r="BD183" s="721"/>
      <c r="BE183" s="149"/>
      <c r="BF183" s="148"/>
      <c r="BG183" s="166"/>
      <c r="BH183" s="166"/>
      <c r="BI183" s="197">
        <v>2</v>
      </c>
      <c r="BJ183" s="721"/>
      <c r="BK183" s="149"/>
      <c r="BL183" s="148"/>
      <c r="BM183" s="166"/>
      <c r="BN183" s="166"/>
      <c r="BO183" s="197"/>
      <c r="BP183" s="721"/>
      <c r="BQ183" s="149"/>
      <c r="BR183" s="148"/>
      <c r="BS183" s="166"/>
      <c r="BT183" s="166"/>
      <c r="BU183" s="197"/>
      <c r="BV183" s="721"/>
      <c r="BW183" s="149"/>
      <c r="BX183" s="148"/>
      <c r="BY183" s="166"/>
      <c r="BZ183" s="166"/>
      <c r="CA183" s="197"/>
      <c r="CB183" s="800"/>
      <c r="CC183" s="179"/>
      <c r="CD183" s="167"/>
      <c r="CE183" s="166"/>
      <c r="CF183" s="166"/>
      <c r="CG183" s="230"/>
      <c r="CH183" s="792"/>
      <c r="CI183" s="147"/>
      <c r="CJ183" s="148"/>
      <c r="CK183" s="166"/>
      <c r="CL183" s="166"/>
    </row>
    <row r="184" spans="2:90" ht="43.5" customHeight="1" outlineLevel="1" x14ac:dyDescent="0.2">
      <c r="B184" s="368" t="s">
        <v>618</v>
      </c>
      <c r="C184" s="759"/>
      <c r="D184" s="283" t="s">
        <v>572</v>
      </c>
      <c r="E184" s="746" t="s">
        <v>619</v>
      </c>
      <c r="F184" s="746"/>
      <c r="G184" s="232">
        <v>2</v>
      </c>
      <c r="H184" s="722"/>
      <c r="I184" s="258"/>
      <c r="J184" s="234"/>
      <c r="K184" s="279"/>
      <c r="L184" s="279"/>
      <c r="M184" s="232">
        <v>2</v>
      </c>
      <c r="N184" s="722"/>
      <c r="O184" s="259"/>
      <c r="P184" s="234"/>
      <c r="Q184" s="236"/>
      <c r="R184" s="236"/>
      <c r="S184" s="232">
        <v>2</v>
      </c>
      <c r="T184" s="722"/>
      <c r="U184" s="233"/>
      <c r="V184" s="234"/>
      <c r="W184" s="279"/>
      <c r="X184" s="279"/>
      <c r="Y184" s="232">
        <v>2</v>
      </c>
      <c r="Z184" s="722"/>
      <c r="AA184" s="258"/>
      <c r="AB184" s="236"/>
      <c r="AC184" s="279"/>
      <c r="AD184" s="279"/>
      <c r="AE184" s="232">
        <v>2</v>
      </c>
      <c r="AF184" s="722"/>
      <c r="AG184" s="233"/>
      <c r="AH184" s="234"/>
      <c r="AI184" s="279"/>
      <c r="AJ184" s="279"/>
      <c r="AK184" s="232">
        <v>2</v>
      </c>
      <c r="AL184" s="722"/>
      <c r="AM184" s="233"/>
      <c r="AN184" s="234"/>
      <c r="AO184" s="279"/>
      <c r="AP184" s="279"/>
      <c r="AQ184" s="232">
        <v>2</v>
      </c>
      <c r="AR184" s="722"/>
      <c r="AS184" s="233"/>
      <c r="AT184" s="234"/>
      <c r="AU184" s="279"/>
      <c r="AV184" s="279"/>
      <c r="AW184" s="232">
        <v>2</v>
      </c>
      <c r="AX184" s="722"/>
      <c r="AY184" s="233"/>
      <c r="AZ184" s="234"/>
      <c r="BA184" s="279"/>
      <c r="BB184" s="279"/>
      <c r="BC184" s="232">
        <v>2</v>
      </c>
      <c r="BD184" s="722"/>
      <c r="BE184" s="233"/>
      <c r="BF184" s="234"/>
      <c r="BG184" s="279"/>
      <c r="BH184" s="279"/>
      <c r="BI184" s="232">
        <v>2</v>
      </c>
      <c r="BJ184" s="722"/>
      <c r="BK184" s="233"/>
      <c r="BL184" s="234"/>
      <c r="BM184" s="279"/>
      <c r="BN184" s="279"/>
      <c r="BO184" s="232"/>
      <c r="BP184" s="722"/>
      <c r="BQ184" s="233"/>
      <c r="BR184" s="234"/>
      <c r="BS184" s="279"/>
      <c r="BT184" s="279"/>
      <c r="BU184" s="232"/>
      <c r="BV184" s="722"/>
      <c r="BW184" s="233"/>
      <c r="BX184" s="234"/>
      <c r="BY184" s="279"/>
      <c r="BZ184" s="279"/>
      <c r="CA184" s="232"/>
      <c r="CB184" s="801"/>
      <c r="CC184" s="235"/>
      <c r="CD184" s="169"/>
      <c r="CE184" s="279"/>
      <c r="CF184" s="279"/>
      <c r="CG184" s="238"/>
      <c r="CH184" s="793"/>
      <c r="CI184" s="147"/>
      <c r="CJ184" s="148"/>
      <c r="CK184" s="166"/>
      <c r="CL184" s="166"/>
    </row>
    <row r="185" spans="2:90" ht="39" customHeight="1" outlineLevel="1" x14ac:dyDescent="0.2">
      <c r="B185" s="170"/>
      <c r="C185" s="763" t="s">
        <v>272</v>
      </c>
      <c r="D185" s="191" t="s">
        <v>273</v>
      </c>
      <c r="E185" s="765" t="s">
        <v>274</v>
      </c>
      <c r="F185" s="766"/>
      <c r="G185" s="172">
        <v>2</v>
      </c>
      <c r="H185" s="767">
        <f>SUM(G185:G187)</f>
        <v>6</v>
      </c>
      <c r="I185" s="192"/>
      <c r="J185" s="193"/>
      <c r="K185" s="194"/>
      <c r="L185" s="194"/>
      <c r="M185" s="3">
        <v>2</v>
      </c>
      <c r="N185" s="767">
        <f>SUM(M185:M187)</f>
        <v>6</v>
      </c>
      <c r="O185" s="192"/>
      <c r="P185" s="193"/>
      <c r="Q185" s="194"/>
      <c r="R185" s="195"/>
      <c r="S185" s="3">
        <v>2</v>
      </c>
      <c r="T185" s="767">
        <f>SUM(S185:S187)</f>
        <v>6</v>
      </c>
      <c r="U185" s="192"/>
      <c r="V185" s="193"/>
      <c r="W185" s="194"/>
      <c r="X185" s="195"/>
      <c r="Y185" s="3">
        <v>2</v>
      </c>
      <c r="Z185" s="775">
        <f>SUM(Y185:Y187)</f>
        <v>6</v>
      </c>
      <c r="AA185" s="156"/>
      <c r="AB185" s="156"/>
      <c r="AC185" s="156"/>
      <c r="AD185" s="156"/>
      <c r="AE185" s="3">
        <v>2</v>
      </c>
      <c r="AF185" s="767">
        <f>AE187+AE186+AE185</f>
        <v>6</v>
      </c>
      <c r="AG185" s="192"/>
      <c r="AH185" s="193"/>
      <c r="AI185" s="194"/>
      <c r="AJ185" s="194"/>
      <c r="AK185" s="3">
        <v>2</v>
      </c>
      <c r="AL185" s="732">
        <v>6</v>
      </c>
      <c r="AM185" s="194"/>
      <c r="AN185" s="194"/>
      <c r="AO185" s="194"/>
      <c r="AP185" s="194"/>
      <c r="AQ185" s="3">
        <v>2</v>
      </c>
      <c r="AR185" s="723">
        <f>SUM(AQ185:AQ187)</f>
        <v>6</v>
      </c>
      <c r="AS185" s="194"/>
      <c r="AT185" s="194"/>
      <c r="AU185" s="194"/>
      <c r="AV185" s="194"/>
      <c r="AW185" s="3">
        <v>2</v>
      </c>
      <c r="AX185" s="723">
        <v>6</v>
      </c>
      <c r="AY185" s="155"/>
      <c r="AZ185" s="155"/>
      <c r="BA185" s="155"/>
      <c r="BB185" s="155"/>
      <c r="BC185" s="3">
        <v>2</v>
      </c>
      <c r="BD185" s="723">
        <f>SUM(BC185:BC187)</f>
        <v>6</v>
      </c>
      <c r="BE185" s="155"/>
      <c r="BF185" s="155"/>
      <c r="BG185" s="155"/>
      <c r="BH185" s="155"/>
      <c r="BI185" s="3">
        <v>2</v>
      </c>
      <c r="BJ185" s="723">
        <v>6</v>
      </c>
      <c r="BK185" s="155"/>
      <c r="BL185" s="155"/>
      <c r="BM185" s="155"/>
      <c r="BN185" s="155"/>
      <c r="BO185" s="3"/>
      <c r="BP185" s="849">
        <v>6</v>
      </c>
      <c r="BQ185" s="155"/>
      <c r="BR185" s="155"/>
      <c r="BS185" s="155"/>
      <c r="BT185" s="155"/>
      <c r="BU185" s="3"/>
      <c r="BV185" s="729">
        <v>6</v>
      </c>
      <c r="BW185" s="155"/>
      <c r="BX185" s="155"/>
      <c r="BY185" s="155"/>
      <c r="BZ185" s="155"/>
      <c r="CA185" s="3"/>
      <c r="CB185" s="723">
        <f>SUM(CA185:CA187)</f>
        <v>0</v>
      </c>
      <c r="CC185" s="196"/>
      <c r="CD185" s="167"/>
      <c r="CE185" s="3"/>
      <c r="CF185" s="3"/>
      <c r="CG185" s="3"/>
      <c r="CH185" s="778">
        <f>SUM(CG185:CG187)</f>
        <v>0</v>
      </c>
      <c r="CI185" s="153"/>
      <c r="CJ185" s="154"/>
      <c r="CK185" s="155"/>
      <c r="CL185" s="155"/>
    </row>
    <row r="186" spans="2:90" ht="36.75" customHeight="1" outlineLevel="1" x14ac:dyDescent="0.2">
      <c r="C186" s="763"/>
      <c r="D186" s="156" t="s">
        <v>275</v>
      </c>
      <c r="E186" s="784" t="s">
        <v>276</v>
      </c>
      <c r="F186" s="785"/>
      <c r="G186" s="172">
        <v>2</v>
      </c>
      <c r="H186" s="767"/>
      <c r="I186" s="153"/>
      <c r="J186" s="154"/>
      <c r="K186" s="155"/>
      <c r="L186" s="155"/>
      <c r="M186" s="2">
        <v>2</v>
      </c>
      <c r="N186" s="767"/>
      <c r="O186" s="153"/>
      <c r="P186" s="154"/>
      <c r="Q186" s="155"/>
      <c r="R186" s="173"/>
      <c r="S186" s="2">
        <v>2</v>
      </c>
      <c r="T186" s="767"/>
      <c r="U186" s="153"/>
      <c r="V186" s="154"/>
      <c r="W186" s="155"/>
      <c r="X186" s="173"/>
      <c r="Y186" s="2">
        <v>2</v>
      </c>
      <c r="Z186" s="776"/>
      <c r="AA186" s="156"/>
      <c r="AB186" s="156"/>
      <c r="AC186" s="156"/>
      <c r="AD186" s="156"/>
      <c r="AE186" s="2">
        <v>2</v>
      </c>
      <c r="AF186" s="767"/>
      <c r="AG186" s="153"/>
      <c r="AH186" s="154"/>
      <c r="AI186" s="155"/>
      <c r="AJ186" s="155"/>
      <c r="AK186" s="2">
        <v>2</v>
      </c>
      <c r="AL186" s="733"/>
      <c r="AM186" s="194"/>
      <c r="AN186" s="194"/>
      <c r="AO186" s="194"/>
      <c r="AP186" s="194"/>
      <c r="AQ186" s="2">
        <v>2</v>
      </c>
      <c r="AR186" s="724"/>
      <c r="AS186" s="194"/>
      <c r="AT186" s="194"/>
      <c r="AU186" s="194"/>
      <c r="AV186" s="194"/>
      <c r="AW186" s="2">
        <v>2</v>
      </c>
      <c r="AX186" s="724"/>
      <c r="AY186" s="155"/>
      <c r="AZ186" s="155"/>
      <c r="BA186" s="155"/>
      <c r="BB186" s="155"/>
      <c r="BC186" s="2">
        <v>2</v>
      </c>
      <c r="BD186" s="724"/>
      <c r="BE186" s="155"/>
      <c r="BF186" s="155"/>
      <c r="BG186" s="155"/>
      <c r="BH186" s="155"/>
      <c r="BI186" s="2">
        <v>2</v>
      </c>
      <c r="BJ186" s="724"/>
      <c r="BK186" s="155"/>
      <c r="BL186" s="155"/>
      <c r="BM186" s="155"/>
      <c r="BN186" s="155"/>
      <c r="BO186" s="2"/>
      <c r="BP186" s="850"/>
      <c r="BQ186" s="155"/>
      <c r="BR186" s="155"/>
      <c r="BS186" s="155"/>
      <c r="BT186" s="155"/>
      <c r="BU186" s="2"/>
      <c r="BV186" s="730"/>
      <c r="BW186" s="155"/>
      <c r="BX186" s="155"/>
      <c r="BY186" s="155"/>
      <c r="BZ186" s="155"/>
      <c r="CA186" s="2"/>
      <c r="CB186" s="724"/>
      <c r="CC186" s="185"/>
      <c r="CD186" s="167"/>
      <c r="CE186" s="2"/>
      <c r="CF186" s="2"/>
      <c r="CG186" s="2"/>
      <c r="CH186" s="767"/>
      <c r="CI186" s="153"/>
      <c r="CJ186" s="154"/>
      <c r="CK186" s="155"/>
      <c r="CL186" s="155"/>
    </row>
    <row r="187" spans="2:90" ht="36.75" customHeight="1" outlineLevel="1" x14ac:dyDescent="0.2">
      <c r="C187" s="764"/>
      <c r="D187" s="157" t="s">
        <v>281</v>
      </c>
      <c r="E187" s="772" t="s">
        <v>361</v>
      </c>
      <c r="F187" s="772"/>
      <c r="G187" s="172">
        <v>2</v>
      </c>
      <c r="H187" s="768"/>
      <c r="I187" s="153"/>
      <c r="J187" s="154"/>
      <c r="K187" s="158"/>
      <c r="L187" s="155"/>
      <c r="M187" s="2">
        <v>2</v>
      </c>
      <c r="N187" s="767"/>
      <c r="O187" s="153"/>
      <c r="P187" s="154"/>
      <c r="Q187" s="158"/>
      <c r="R187" s="173"/>
      <c r="S187" s="2">
        <v>2</v>
      </c>
      <c r="T187" s="767"/>
      <c r="U187" s="153"/>
      <c r="V187" s="154"/>
      <c r="W187" s="158"/>
      <c r="X187" s="173"/>
      <c r="Y187" s="2">
        <v>2</v>
      </c>
      <c r="Z187" s="777"/>
      <c r="AA187" s="156"/>
      <c r="AB187" s="156"/>
      <c r="AC187" s="156"/>
      <c r="AD187" s="156"/>
      <c r="AE187" s="2">
        <v>2</v>
      </c>
      <c r="AF187" s="767"/>
      <c r="AG187" s="153"/>
      <c r="AH187" s="154"/>
      <c r="AI187" s="158"/>
      <c r="AJ187" s="155"/>
      <c r="AK187" s="2">
        <v>2</v>
      </c>
      <c r="AL187" s="733"/>
      <c r="AM187" s="194"/>
      <c r="AN187" s="194"/>
      <c r="AO187" s="194"/>
      <c r="AP187" s="194"/>
      <c r="AQ187" s="2">
        <v>2</v>
      </c>
      <c r="AR187" s="725"/>
      <c r="AS187" s="194"/>
      <c r="AT187" s="194"/>
      <c r="AU187" s="194"/>
      <c r="AV187" s="194"/>
      <c r="AW187" s="2">
        <v>2</v>
      </c>
      <c r="AX187" s="725"/>
      <c r="AY187" s="155"/>
      <c r="AZ187" s="155"/>
      <c r="BA187" s="155"/>
      <c r="BB187" s="155"/>
      <c r="BC187" s="2">
        <v>2</v>
      </c>
      <c r="BD187" s="725"/>
      <c r="BE187" s="155"/>
      <c r="BF187" s="155"/>
      <c r="BG187" s="155"/>
      <c r="BH187" s="155"/>
      <c r="BI187" s="2">
        <v>2</v>
      </c>
      <c r="BJ187" s="725"/>
      <c r="BK187" s="155"/>
      <c r="BL187" s="155"/>
      <c r="BM187" s="155"/>
      <c r="BN187" s="155"/>
      <c r="BO187" s="2"/>
      <c r="BP187" s="851"/>
      <c r="BQ187" s="155"/>
      <c r="BR187" s="155"/>
      <c r="BS187" s="155"/>
      <c r="BT187" s="155"/>
      <c r="BU187" s="2"/>
      <c r="BV187" s="731"/>
      <c r="BW187" s="155"/>
      <c r="BX187" s="155"/>
      <c r="BY187" s="155"/>
      <c r="BZ187" s="155"/>
      <c r="CA187" s="2"/>
      <c r="CB187" s="725"/>
      <c r="CC187" s="185"/>
      <c r="CD187" s="167"/>
      <c r="CE187" s="2"/>
      <c r="CF187" s="2"/>
      <c r="CG187" s="2"/>
      <c r="CH187" s="767"/>
      <c r="CI187" s="153"/>
      <c r="CJ187" s="154"/>
      <c r="CK187" s="158"/>
      <c r="CL187" s="155"/>
    </row>
  </sheetData>
  <sheetProtection selectLockedCells="1"/>
  <mergeCells count="789">
    <mergeCell ref="BV181:BV184"/>
    <mergeCell ref="BP181:BP184"/>
    <mergeCell ref="BV109:BV113"/>
    <mergeCell ref="BV118:BV122"/>
    <mergeCell ref="BV123:BV127"/>
    <mergeCell ref="BV128:BV134"/>
    <mergeCell ref="BV135:BV139"/>
    <mergeCell ref="BJ181:BJ184"/>
    <mergeCell ref="BP152:BP158"/>
    <mergeCell ref="BP176:BP180"/>
    <mergeCell ref="BJ144:BJ147"/>
    <mergeCell ref="BP140:BP142"/>
    <mergeCell ref="BP144:BP147"/>
    <mergeCell ref="BP159:BP162"/>
    <mergeCell ref="BV163:BV165"/>
    <mergeCell ref="BV152:BV158"/>
    <mergeCell ref="BJ118:BJ122"/>
    <mergeCell ref="BV159:BV162"/>
    <mergeCell ref="BV167:BV170"/>
    <mergeCell ref="BV171:BV175"/>
    <mergeCell ref="BV176:BV180"/>
    <mergeCell ref="AR31:AR36"/>
    <mergeCell ref="N185:N187"/>
    <mergeCell ref="T185:T187"/>
    <mergeCell ref="T114:T116"/>
    <mergeCell ref="T66:T69"/>
    <mergeCell ref="AR87:AR91"/>
    <mergeCell ref="AR62:AR65"/>
    <mergeCell ref="AL66:AL69"/>
    <mergeCell ref="BJ44:BJ48"/>
    <mergeCell ref="AR80:AR86"/>
    <mergeCell ref="AX66:AX69"/>
    <mergeCell ref="AR71:AR74"/>
    <mergeCell ref="AR75:AR79"/>
    <mergeCell ref="AR37:AR41"/>
    <mergeCell ref="BJ176:BJ180"/>
    <mergeCell ref="BD98:BD100"/>
    <mergeCell ref="BD101:BD103"/>
    <mergeCell ref="BD104:BD108"/>
    <mergeCell ref="BD109:BD113"/>
    <mergeCell ref="BD118:BD122"/>
    <mergeCell ref="BD123:BD127"/>
    <mergeCell ref="BD128:BD134"/>
    <mergeCell ref="BD114:BD116"/>
    <mergeCell ref="BD140:BD142"/>
    <mergeCell ref="BP98:BP100"/>
    <mergeCell ref="BP167:BP170"/>
    <mergeCell ref="BP171:BP175"/>
    <mergeCell ref="BP75:BP79"/>
    <mergeCell ref="BP80:BP86"/>
    <mergeCell ref="BP87:BP91"/>
    <mergeCell ref="BP101:BP103"/>
    <mergeCell ref="AX3:AY3"/>
    <mergeCell ref="AX49:AX54"/>
    <mergeCell ref="AX55:AX61"/>
    <mergeCell ref="BJ31:BJ36"/>
    <mergeCell ref="BE155:BH155"/>
    <mergeCell ref="BE149:BH149"/>
    <mergeCell ref="BE118:BH118"/>
    <mergeCell ref="BD5:BE5"/>
    <mergeCell ref="BG5:BH5"/>
    <mergeCell ref="BD6:BE6"/>
    <mergeCell ref="BD11:BD16"/>
    <mergeCell ref="BD17:BD23"/>
    <mergeCell ref="BD24:BD30"/>
    <mergeCell ref="BD31:BD36"/>
    <mergeCell ref="BJ3:BK3"/>
    <mergeCell ref="BJ4:BK4"/>
    <mergeCell ref="BA5:BB5"/>
    <mergeCell ref="AF3:AG3"/>
    <mergeCell ref="AF4:AG4"/>
    <mergeCell ref="AI4:AJ4"/>
    <mergeCell ref="AF5:AG5"/>
    <mergeCell ref="AI5:AJ5"/>
    <mergeCell ref="AF6:AG6"/>
    <mergeCell ref="AF11:AF16"/>
    <mergeCell ref="AF17:AF23"/>
    <mergeCell ref="AF24:AF30"/>
    <mergeCell ref="AR4:AS4"/>
    <mergeCell ref="AR49:AR54"/>
    <mergeCell ref="AR55:AR61"/>
    <mergeCell ref="AX44:AX48"/>
    <mergeCell ref="AR44:AR48"/>
    <mergeCell ref="AX37:AX41"/>
    <mergeCell ref="AX4:AY4"/>
    <mergeCell ref="AL3:AM3"/>
    <mergeCell ref="AL4:AM4"/>
    <mergeCell ref="AO4:AP4"/>
    <mergeCell ref="AL5:AM5"/>
    <mergeCell ref="AU4:AV4"/>
    <mergeCell ref="AR5:AS5"/>
    <mergeCell ref="AU5:AV5"/>
    <mergeCell ref="AR6:AS6"/>
    <mergeCell ref="AR11:AR16"/>
    <mergeCell ref="AR17:AR23"/>
    <mergeCell ref="AR24:AR30"/>
    <mergeCell ref="AX5:AY5"/>
    <mergeCell ref="AX6:AY6"/>
    <mergeCell ref="AX11:AX16"/>
    <mergeCell ref="AX17:AX23"/>
    <mergeCell ref="AX24:AX30"/>
    <mergeCell ref="AR3:AS3"/>
    <mergeCell ref="BP185:BP187"/>
    <mergeCell ref="AX185:AX187"/>
    <mergeCell ref="AX62:AX65"/>
    <mergeCell ref="BJ37:BJ41"/>
    <mergeCell ref="AX98:AX100"/>
    <mergeCell ref="AX71:AX74"/>
    <mergeCell ref="AX75:AX79"/>
    <mergeCell ref="AX80:AX86"/>
    <mergeCell ref="AX87:AX91"/>
    <mergeCell ref="BP104:BP108"/>
    <mergeCell ref="BP109:BP113"/>
    <mergeCell ref="BP118:BP122"/>
    <mergeCell ref="BP123:BP127"/>
    <mergeCell ref="BP128:BP134"/>
    <mergeCell ref="BP114:BP116"/>
    <mergeCell ref="BD44:BD48"/>
    <mergeCell ref="BJ71:BJ74"/>
    <mergeCell ref="BJ75:BJ79"/>
    <mergeCell ref="BJ80:BJ86"/>
    <mergeCell ref="BJ87:BJ91"/>
    <mergeCell ref="BJ66:BJ69"/>
    <mergeCell ref="BJ98:BJ100"/>
    <mergeCell ref="BJ101:BJ103"/>
    <mergeCell ref="AX181:AX184"/>
    <mergeCell ref="CB17:CB23"/>
    <mergeCell ref="CB24:CB30"/>
    <mergeCell ref="BM4:BN4"/>
    <mergeCell ref="BJ5:BK5"/>
    <mergeCell ref="BM5:BN5"/>
    <mergeCell ref="BJ6:BK6"/>
    <mergeCell ref="BJ11:BJ16"/>
    <mergeCell ref="BJ17:BJ23"/>
    <mergeCell ref="BJ24:BJ30"/>
    <mergeCell ref="BY4:BZ4"/>
    <mergeCell ref="BV5:BW5"/>
    <mergeCell ref="BY5:BZ5"/>
    <mergeCell ref="BV6:BW6"/>
    <mergeCell ref="BV11:BV16"/>
    <mergeCell ref="BV17:BV23"/>
    <mergeCell ref="BV24:BV30"/>
    <mergeCell ref="BV4:BW4"/>
    <mergeCell ref="BG4:BH4"/>
    <mergeCell ref="CB148:CB151"/>
    <mergeCell ref="BV87:BV91"/>
    <mergeCell ref="CB80:CB86"/>
    <mergeCell ref="CB87:CB91"/>
    <mergeCell ref="BV114:BV116"/>
    <mergeCell ref="CB37:CB41"/>
    <mergeCell ref="CB71:CB74"/>
    <mergeCell ref="CB31:CB36"/>
    <mergeCell ref="CB44:CB48"/>
    <mergeCell ref="CB49:CB54"/>
    <mergeCell ref="CB55:CB61"/>
    <mergeCell ref="CB62:CB65"/>
    <mergeCell ref="BV37:BV41"/>
    <mergeCell ref="BV66:BV69"/>
    <mergeCell ref="BV31:BV36"/>
    <mergeCell ref="BV44:BV48"/>
    <mergeCell ref="BV140:BV142"/>
    <mergeCell ref="BV101:BV103"/>
    <mergeCell ref="BV104:BV108"/>
    <mergeCell ref="BV98:BV100"/>
    <mergeCell ref="BV92:BV96"/>
    <mergeCell ref="BJ55:BJ61"/>
    <mergeCell ref="BJ62:BJ65"/>
    <mergeCell ref="CB152:CB158"/>
    <mergeCell ref="CB159:CB162"/>
    <mergeCell ref="CB140:CB142"/>
    <mergeCell ref="BP148:BP151"/>
    <mergeCell ref="BP135:BP139"/>
    <mergeCell ref="BP163:BP165"/>
    <mergeCell ref="BP71:BP74"/>
    <mergeCell ref="BP49:BP54"/>
    <mergeCell ref="BP55:BP61"/>
    <mergeCell ref="BP62:BP65"/>
    <mergeCell ref="BV144:BV147"/>
    <mergeCell ref="BV148:BV151"/>
    <mergeCell ref="CB135:CB139"/>
    <mergeCell ref="CB144:CB147"/>
    <mergeCell ref="CB98:CB100"/>
    <mergeCell ref="CB101:CB103"/>
    <mergeCell ref="CB104:CB108"/>
    <mergeCell ref="CB109:CB113"/>
    <mergeCell ref="CB92:CB96"/>
    <mergeCell ref="CB118:CB122"/>
    <mergeCell ref="CB123:CB127"/>
    <mergeCell ref="CB128:CB134"/>
    <mergeCell ref="CB114:CB116"/>
    <mergeCell ref="CB75:CB79"/>
    <mergeCell ref="CB167:CB170"/>
    <mergeCell ref="BV3:BW3"/>
    <mergeCell ref="BV49:BV54"/>
    <mergeCell ref="BV55:BV61"/>
    <mergeCell ref="BV62:BV65"/>
    <mergeCell ref="BV71:BV74"/>
    <mergeCell ref="BV75:BV79"/>
    <mergeCell ref="BV80:BV86"/>
    <mergeCell ref="BP3:BQ3"/>
    <mergeCell ref="BP44:BP48"/>
    <mergeCell ref="BP66:BP69"/>
    <mergeCell ref="BS4:BT4"/>
    <mergeCell ref="BP5:BQ5"/>
    <mergeCell ref="BS5:BT5"/>
    <mergeCell ref="BP6:BQ6"/>
    <mergeCell ref="BP11:BP16"/>
    <mergeCell ref="BP17:BP23"/>
    <mergeCell ref="CB3:CC3"/>
    <mergeCell ref="CB4:CC4"/>
    <mergeCell ref="BP24:BP30"/>
    <mergeCell ref="BP31:BP36"/>
    <mergeCell ref="BP4:BQ4"/>
    <mergeCell ref="BP37:BP41"/>
    <mergeCell ref="BP92:BP96"/>
    <mergeCell ref="BD3:BE3"/>
    <mergeCell ref="BD4:BE4"/>
    <mergeCell ref="BD49:BD54"/>
    <mergeCell ref="BD55:BD61"/>
    <mergeCell ref="BD62:BD65"/>
    <mergeCell ref="BD71:BD74"/>
    <mergeCell ref="BD75:BD79"/>
    <mergeCell ref="BD80:BD86"/>
    <mergeCell ref="BD87:BD91"/>
    <mergeCell ref="BD37:BD41"/>
    <mergeCell ref="BD66:BD69"/>
    <mergeCell ref="BD163:BD165"/>
    <mergeCell ref="AX31:AX36"/>
    <mergeCell ref="BA4:BB4"/>
    <mergeCell ref="AO5:AP5"/>
    <mergeCell ref="AL6:AM6"/>
    <mergeCell ref="AL11:AL16"/>
    <mergeCell ref="AL101:AL103"/>
    <mergeCell ref="AL31:AL36"/>
    <mergeCell ref="AL44:AL48"/>
    <mergeCell ref="AL49:AL54"/>
    <mergeCell ref="AL55:AL61"/>
    <mergeCell ref="AL62:AL65"/>
    <mergeCell ref="AL80:AL86"/>
    <mergeCell ref="AL71:AL74"/>
    <mergeCell ref="AL75:AL79"/>
    <mergeCell ref="AL17:AL23"/>
    <mergeCell ref="AL24:AL30"/>
    <mergeCell ref="AL92:AL96"/>
    <mergeCell ref="AL98:AL100"/>
    <mergeCell ref="AL37:AL41"/>
    <mergeCell ref="AL118:AL122"/>
    <mergeCell ref="AL87:AL91"/>
    <mergeCell ref="AR109:AR113"/>
    <mergeCell ref="AR118:AR122"/>
    <mergeCell ref="Z123:Z127"/>
    <mergeCell ref="Z144:Z147"/>
    <mergeCell ref="Z140:Z142"/>
    <mergeCell ref="AF144:AF147"/>
    <mergeCell ref="AL148:AL151"/>
    <mergeCell ref="AL152:AL158"/>
    <mergeCell ref="AL159:AL162"/>
    <mergeCell ref="AF181:AF184"/>
    <mergeCell ref="AF109:AF113"/>
    <mergeCell ref="AF118:AF122"/>
    <mergeCell ref="AF123:AF127"/>
    <mergeCell ref="AF128:AF134"/>
    <mergeCell ref="AF135:AF139"/>
    <mergeCell ref="AF114:AF116"/>
    <mergeCell ref="AF140:AF142"/>
    <mergeCell ref="AF148:AF151"/>
    <mergeCell ref="AF62:AF65"/>
    <mergeCell ref="AC5:AD5"/>
    <mergeCell ref="AF87:AF91"/>
    <mergeCell ref="AF101:AF103"/>
    <mergeCell ref="AF104:AF108"/>
    <mergeCell ref="AF167:AF170"/>
    <mergeCell ref="AF31:AF36"/>
    <mergeCell ref="Z114:Z116"/>
    <mergeCell ref="AC4:AD4"/>
    <mergeCell ref="Z5:AA5"/>
    <mergeCell ref="AF163:AF165"/>
    <mergeCell ref="Z163:Z165"/>
    <mergeCell ref="AF71:AF74"/>
    <mergeCell ref="AF75:AF79"/>
    <mergeCell ref="AF80:AF86"/>
    <mergeCell ref="AF66:AF69"/>
    <mergeCell ref="AF92:AF96"/>
    <mergeCell ref="AF98:AF100"/>
    <mergeCell ref="AF37:AF41"/>
    <mergeCell ref="AF44:AF48"/>
    <mergeCell ref="AF49:AF54"/>
    <mergeCell ref="AF55:AF61"/>
    <mergeCell ref="Z152:Z158"/>
    <mergeCell ref="Z109:Z113"/>
    <mergeCell ref="Z3:AA3"/>
    <mergeCell ref="Z49:Z54"/>
    <mergeCell ref="Z55:Z61"/>
    <mergeCell ref="Z62:Z65"/>
    <mergeCell ref="Z71:Z74"/>
    <mergeCell ref="Z75:Z79"/>
    <mergeCell ref="Z80:Z86"/>
    <mergeCell ref="Z87:Z91"/>
    <mergeCell ref="Z66:Z69"/>
    <mergeCell ref="W4:X4"/>
    <mergeCell ref="T5:U5"/>
    <mergeCell ref="W5:X5"/>
    <mergeCell ref="T6:U6"/>
    <mergeCell ref="Z17:Z23"/>
    <mergeCell ref="Z24:Z30"/>
    <mergeCell ref="Z31:Z36"/>
    <mergeCell ref="Z44:Z48"/>
    <mergeCell ref="Z37:Z41"/>
    <mergeCell ref="T11:T16"/>
    <mergeCell ref="T17:T23"/>
    <mergeCell ref="T24:T30"/>
    <mergeCell ref="T31:T36"/>
    <mergeCell ref="T44:T48"/>
    <mergeCell ref="T37:T41"/>
    <mergeCell ref="Z4:AA4"/>
    <mergeCell ref="Z6:AA6"/>
    <mergeCell ref="Z11:Z16"/>
    <mergeCell ref="N109:N113"/>
    <mergeCell ref="N118:N122"/>
    <mergeCell ref="T104:T108"/>
    <mergeCell ref="T92:T96"/>
    <mergeCell ref="Z98:Z100"/>
    <mergeCell ref="Z101:Z103"/>
    <mergeCell ref="Z104:Z108"/>
    <mergeCell ref="Z92:Z96"/>
    <mergeCell ref="Z118:Z122"/>
    <mergeCell ref="T118:T122"/>
    <mergeCell ref="N114:N116"/>
    <mergeCell ref="T109:T113"/>
    <mergeCell ref="N101:N103"/>
    <mergeCell ref="N104:N108"/>
    <mergeCell ref="T98:T100"/>
    <mergeCell ref="T101:T103"/>
    <mergeCell ref="N31:N36"/>
    <mergeCell ref="N44:N48"/>
    <mergeCell ref="N49:N54"/>
    <mergeCell ref="N55:N61"/>
    <mergeCell ref="N62:N65"/>
    <mergeCell ref="N71:N74"/>
    <mergeCell ref="N75:N79"/>
    <mergeCell ref="N80:N86"/>
    <mergeCell ref="N98:N100"/>
    <mergeCell ref="N87:N91"/>
    <mergeCell ref="N37:N41"/>
    <mergeCell ref="N66:N69"/>
    <mergeCell ref="N92:N96"/>
    <mergeCell ref="T3:U3"/>
    <mergeCell ref="T4:U4"/>
    <mergeCell ref="T49:T54"/>
    <mergeCell ref="T55:T61"/>
    <mergeCell ref="T62:T65"/>
    <mergeCell ref="T71:T74"/>
    <mergeCell ref="T75:T79"/>
    <mergeCell ref="T80:T86"/>
    <mergeCell ref="T87:T91"/>
    <mergeCell ref="N3:O3"/>
    <mergeCell ref="N4:O4"/>
    <mergeCell ref="Q4:R4"/>
    <mergeCell ref="N5:O5"/>
    <mergeCell ref="Q5:R5"/>
    <mergeCell ref="N6:O6"/>
    <mergeCell ref="N11:N16"/>
    <mergeCell ref="N17:N23"/>
    <mergeCell ref="N24:N30"/>
    <mergeCell ref="E2:F2"/>
    <mergeCell ref="C3:C6"/>
    <mergeCell ref="D3:D6"/>
    <mergeCell ref="E3:F6"/>
    <mergeCell ref="H3:I3"/>
    <mergeCell ref="H4:I4"/>
    <mergeCell ref="K4:L4"/>
    <mergeCell ref="H5:I5"/>
    <mergeCell ref="K5:L5"/>
    <mergeCell ref="H6:I6"/>
    <mergeCell ref="E7:F7"/>
    <mergeCell ref="C11:C16"/>
    <mergeCell ref="E11:F11"/>
    <mergeCell ref="H11:H16"/>
    <mergeCell ref="E12:F12"/>
    <mergeCell ref="E13:F13"/>
    <mergeCell ref="E15:F15"/>
    <mergeCell ref="E16:F16"/>
    <mergeCell ref="C17:C23"/>
    <mergeCell ref="E17:F17"/>
    <mergeCell ref="H17:H23"/>
    <mergeCell ref="E18:F18"/>
    <mergeCell ref="E19:F19"/>
    <mergeCell ref="E20:F20"/>
    <mergeCell ref="E22:F22"/>
    <mergeCell ref="E23:F23"/>
    <mergeCell ref="E21:F21"/>
    <mergeCell ref="E14:F14"/>
    <mergeCell ref="C24:C30"/>
    <mergeCell ref="E24:F24"/>
    <mergeCell ref="H24:H30"/>
    <mergeCell ref="E25:F25"/>
    <mergeCell ref="E26:F26"/>
    <mergeCell ref="E27:F27"/>
    <mergeCell ref="E28:F28"/>
    <mergeCell ref="E29:F29"/>
    <mergeCell ref="E30:F30"/>
    <mergeCell ref="C31:C36"/>
    <mergeCell ref="E31:F31"/>
    <mergeCell ref="H31:H36"/>
    <mergeCell ref="E32:F32"/>
    <mergeCell ref="E33:F33"/>
    <mergeCell ref="E34:F34"/>
    <mergeCell ref="E36:F36"/>
    <mergeCell ref="C44:C48"/>
    <mergeCell ref="E44:F44"/>
    <mergeCell ref="H44:H48"/>
    <mergeCell ref="E45:F45"/>
    <mergeCell ref="E47:F47"/>
    <mergeCell ref="E48:F48"/>
    <mergeCell ref="E35:F35"/>
    <mergeCell ref="E46:F46"/>
    <mergeCell ref="C37:C41"/>
    <mergeCell ref="E37:F37"/>
    <mergeCell ref="H37:H41"/>
    <mergeCell ref="E39:F39"/>
    <mergeCell ref="E41:F41"/>
    <mergeCell ref="E38:F38"/>
    <mergeCell ref="E40:F40"/>
    <mergeCell ref="C49:C54"/>
    <mergeCell ref="E49:F49"/>
    <mergeCell ref="H49:H54"/>
    <mergeCell ref="E50:F50"/>
    <mergeCell ref="E51:F51"/>
    <mergeCell ref="E52:F52"/>
    <mergeCell ref="E54:F54"/>
    <mergeCell ref="C55:C61"/>
    <mergeCell ref="E55:F55"/>
    <mergeCell ref="H55:H61"/>
    <mergeCell ref="E56:F56"/>
    <mergeCell ref="E57:F57"/>
    <mergeCell ref="E58:F58"/>
    <mergeCell ref="E59:F59"/>
    <mergeCell ref="E60:F60"/>
    <mergeCell ref="E61:F61"/>
    <mergeCell ref="E53:F53"/>
    <mergeCell ref="C62:C65"/>
    <mergeCell ref="E62:F62"/>
    <mergeCell ref="H62:H65"/>
    <mergeCell ref="E63:F63"/>
    <mergeCell ref="E64:F64"/>
    <mergeCell ref="E65:F65"/>
    <mergeCell ref="C71:C74"/>
    <mergeCell ref="E71:F71"/>
    <mergeCell ref="H71:H74"/>
    <mergeCell ref="E72:F72"/>
    <mergeCell ref="E73:F73"/>
    <mergeCell ref="E74:F74"/>
    <mergeCell ref="C66:C69"/>
    <mergeCell ref="E66:F66"/>
    <mergeCell ref="H66:H69"/>
    <mergeCell ref="E67:F67"/>
    <mergeCell ref="E69:F69"/>
    <mergeCell ref="E68:F68"/>
    <mergeCell ref="C75:C79"/>
    <mergeCell ref="E75:F75"/>
    <mergeCell ref="H75:H79"/>
    <mergeCell ref="E76:F76"/>
    <mergeCell ref="E77:F77"/>
    <mergeCell ref="E78:F78"/>
    <mergeCell ref="E79:F79"/>
    <mergeCell ref="C80:C86"/>
    <mergeCell ref="E80:F80"/>
    <mergeCell ref="H80:H86"/>
    <mergeCell ref="E81:F81"/>
    <mergeCell ref="E82:F82"/>
    <mergeCell ref="E83:F83"/>
    <mergeCell ref="E84:F84"/>
    <mergeCell ref="E85:F85"/>
    <mergeCell ref="E86:F86"/>
    <mergeCell ref="C87:C91"/>
    <mergeCell ref="E87:F87"/>
    <mergeCell ref="H87:H91"/>
    <mergeCell ref="E88:F88"/>
    <mergeCell ref="E89:F89"/>
    <mergeCell ref="E90:F90"/>
    <mergeCell ref="E91:F91"/>
    <mergeCell ref="C98:C100"/>
    <mergeCell ref="E98:F98"/>
    <mergeCell ref="H98:H100"/>
    <mergeCell ref="E99:F99"/>
    <mergeCell ref="E100:F100"/>
    <mergeCell ref="E94:F94"/>
    <mergeCell ref="E95:F95"/>
    <mergeCell ref="C92:C96"/>
    <mergeCell ref="E92:F92"/>
    <mergeCell ref="H92:H96"/>
    <mergeCell ref="E93:F93"/>
    <mergeCell ref="E96:F96"/>
    <mergeCell ref="C101:C103"/>
    <mergeCell ref="E101:F101"/>
    <mergeCell ref="H101:H103"/>
    <mergeCell ref="E102:F102"/>
    <mergeCell ref="E103:F103"/>
    <mergeCell ref="C104:C108"/>
    <mergeCell ref="E104:F104"/>
    <mergeCell ref="H104:H108"/>
    <mergeCell ref="E105:F105"/>
    <mergeCell ref="E106:F106"/>
    <mergeCell ref="E107:F107"/>
    <mergeCell ref="E108:F108"/>
    <mergeCell ref="E132:F132"/>
    <mergeCell ref="E133:F133"/>
    <mergeCell ref="E134:F134"/>
    <mergeCell ref="C109:C113"/>
    <mergeCell ref="E109:F109"/>
    <mergeCell ref="H109:H113"/>
    <mergeCell ref="E110:F110"/>
    <mergeCell ref="E111:F111"/>
    <mergeCell ref="E112:F112"/>
    <mergeCell ref="E113:F113"/>
    <mergeCell ref="C118:C122"/>
    <mergeCell ref="E118:F118"/>
    <mergeCell ref="H118:H122"/>
    <mergeCell ref="E119:F119"/>
    <mergeCell ref="E121:F121"/>
    <mergeCell ref="E122:F122"/>
    <mergeCell ref="C114:C116"/>
    <mergeCell ref="E114:F114"/>
    <mergeCell ref="H114:H116"/>
    <mergeCell ref="E116:F116"/>
    <mergeCell ref="E115:F115"/>
    <mergeCell ref="E120:F120"/>
    <mergeCell ref="C144:C147"/>
    <mergeCell ref="E144:F144"/>
    <mergeCell ref="H144:H147"/>
    <mergeCell ref="E145:F145"/>
    <mergeCell ref="E146:F146"/>
    <mergeCell ref="E147:F147"/>
    <mergeCell ref="E141:F141"/>
    <mergeCell ref="E142:F142"/>
    <mergeCell ref="C140:C142"/>
    <mergeCell ref="E140:F140"/>
    <mergeCell ref="H140:H142"/>
    <mergeCell ref="CH66:CH69"/>
    <mergeCell ref="CH92:CH96"/>
    <mergeCell ref="C135:C139"/>
    <mergeCell ref="E135:F135"/>
    <mergeCell ref="H135:H139"/>
    <mergeCell ref="E136:F136"/>
    <mergeCell ref="E137:F137"/>
    <mergeCell ref="E138:F138"/>
    <mergeCell ref="E139:F139"/>
    <mergeCell ref="C123:C127"/>
    <mergeCell ref="E123:F123"/>
    <mergeCell ref="H123:H127"/>
    <mergeCell ref="E124:F124"/>
    <mergeCell ref="E125:F125"/>
    <mergeCell ref="E126:F126"/>
    <mergeCell ref="E127:F127"/>
    <mergeCell ref="C128:C134"/>
    <mergeCell ref="E128:F128"/>
    <mergeCell ref="H128:H134"/>
    <mergeCell ref="E129:F129"/>
    <mergeCell ref="E130:F130"/>
    <mergeCell ref="E131:F131"/>
    <mergeCell ref="AL104:AL108"/>
    <mergeCell ref="AR92:AR96"/>
    <mergeCell ref="CB171:CB175"/>
    <mergeCell ref="CB176:CB180"/>
    <mergeCell ref="CB181:CB184"/>
    <mergeCell ref="CH3:CI3"/>
    <mergeCell ref="CH4:CI4"/>
    <mergeCell ref="CH49:CH54"/>
    <mergeCell ref="CH55:CH61"/>
    <mergeCell ref="CH62:CH65"/>
    <mergeCell ref="CH71:CH74"/>
    <mergeCell ref="CH75:CH79"/>
    <mergeCell ref="CH80:CH86"/>
    <mergeCell ref="CH87:CH91"/>
    <mergeCell ref="CH98:CH100"/>
    <mergeCell ref="CH101:CH103"/>
    <mergeCell ref="CH104:CH108"/>
    <mergeCell ref="CH109:CH113"/>
    <mergeCell ref="CH118:CH122"/>
    <mergeCell ref="CH123:CH127"/>
    <mergeCell ref="CH128:CH134"/>
    <mergeCell ref="CE4:CF4"/>
    <mergeCell ref="CB5:CC5"/>
    <mergeCell ref="CE5:CF5"/>
    <mergeCell ref="CB6:CC6"/>
    <mergeCell ref="CB11:CB16"/>
    <mergeCell ref="CK4:CL4"/>
    <mergeCell ref="CH5:CI5"/>
    <mergeCell ref="CK5:CL5"/>
    <mergeCell ref="CH6:CI6"/>
    <mergeCell ref="CH11:CH16"/>
    <mergeCell ref="CH17:CH23"/>
    <mergeCell ref="CH24:CH30"/>
    <mergeCell ref="CH31:CH36"/>
    <mergeCell ref="CH44:CH48"/>
    <mergeCell ref="CH167:CH170"/>
    <mergeCell ref="CH171:CH175"/>
    <mergeCell ref="CH176:CH180"/>
    <mergeCell ref="CH181:CH184"/>
    <mergeCell ref="CH135:CH139"/>
    <mergeCell ref="CH144:CH147"/>
    <mergeCell ref="CH148:CH151"/>
    <mergeCell ref="CH152:CH158"/>
    <mergeCell ref="CH159:CH162"/>
    <mergeCell ref="CH140:CH142"/>
    <mergeCell ref="AR123:AR127"/>
    <mergeCell ref="AR128:AR134"/>
    <mergeCell ref="AL109:AL113"/>
    <mergeCell ref="AL123:AL127"/>
    <mergeCell ref="AL128:AL134"/>
    <mergeCell ref="AL135:AL139"/>
    <mergeCell ref="AL144:AL147"/>
    <mergeCell ref="AX176:AX180"/>
    <mergeCell ref="AX109:AX113"/>
    <mergeCell ref="AX152:AX158"/>
    <mergeCell ref="AX167:AX170"/>
    <mergeCell ref="AX159:AX162"/>
    <mergeCell ref="AX114:AX116"/>
    <mergeCell ref="AX140:AX142"/>
    <mergeCell ref="AX163:AX165"/>
    <mergeCell ref="AX148:AX151"/>
    <mergeCell ref="AL114:AL116"/>
    <mergeCell ref="CH114:CH116"/>
    <mergeCell ref="CH163:CH165"/>
    <mergeCell ref="Z185:Z187"/>
    <mergeCell ref="AF185:AF187"/>
    <mergeCell ref="CH185:CH187"/>
    <mergeCell ref="N163:N165"/>
    <mergeCell ref="C163:C165"/>
    <mergeCell ref="E163:F163"/>
    <mergeCell ref="H163:H165"/>
    <mergeCell ref="H167:H170"/>
    <mergeCell ref="E168:F168"/>
    <mergeCell ref="E169:F169"/>
    <mergeCell ref="E170:F170"/>
    <mergeCell ref="Z167:Z170"/>
    <mergeCell ref="Z171:Z175"/>
    <mergeCell ref="Z176:Z180"/>
    <mergeCell ref="AR167:AR170"/>
    <mergeCell ref="AR171:AR175"/>
    <mergeCell ref="AR176:AR180"/>
    <mergeCell ref="E186:F186"/>
    <mergeCell ref="E187:F187"/>
    <mergeCell ref="AL167:AL170"/>
    <mergeCell ref="AL171:AL175"/>
    <mergeCell ref="AL181:AL184"/>
    <mergeCell ref="AR181:AR184"/>
    <mergeCell ref="AX171:AX175"/>
    <mergeCell ref="C185:C187"/>
    <mergeCell ref="E185:F185"/>
    <mergeCell ref="H185:H187"/>
    <mergeCell ref="C148:C151"/>
    <mergeCell ref="E148:F148"/>
    <mergeCell ref="H148:H151"/>
    <mergeCell ref="E149:F149"/>
    <mergeCell ref="E150:F150"/>
    <mergeCell ref="E151:F151"/>
    <mergeCell ref="C152:C158"/>
    <mergeCell ref="H152:H158"/>
    <mergeCell ref="E152:F152"/>
    <mergeCell ref="E154:F154"/>
    <mergeCell ref="E155:F155"/>
    <mergeCell ref="E156:F156"/>
    <mergeCell ref="E158:F158"/>
    <mergeCell ref="E153:F153"/>
    <mergeCell ref="E164:F164"/>
    <mergeCell ref="E165:F165"/>
    <mergeCell ref="C181:C184"/>
    <mergeCell ref="H181:H184"/>
    <mergeCell ref="C171:C175"/>
    <mergeCell ref="C176:C180"/>
    <mergeCell ref="C159:C162"/>
    <mergeCell ref="AF171:AF175"/>
    <mergeCell ref="AF176:AF180"/>
    <mergeCell ref="H171:H175"/>
    <mergeCell ref="H176:H180"/>
    <mergeCell ref="H159:H162"/>
    <mergeCell ref="E160:F160"/>
    <mergeCell ref="E161:F161"/>
    <mergeCell ref="E162:F162"/>
    <mergeCell ref="C167:C170"/>
    <mergeCell ref="N181:N184"/>
    <mergeCell ref="N167:N170"/>
    <mergeCell ref="N171:N175"/>
    <mergeCell ref="N176:N180"/>
    <mergeCell ref="T181:T184"/>
    <mergeCell ref="T176:T180"/>
    <mergeCell ref="T171:T175"/>
    <mergeCell ref="Z159:Z162"/>
    <mergeCell ref="T163:T165"/>
    <mergeCell ref="Z181:Z184"/>
    <mergeCell ref="N152:N158"/>
    <mergeCell ref="N159:N162"/>
    <mergeCell ref="E157:F157"/>
    <mergeCell ref="T167:T170"/>
    <mergeCell ref="AF152:AF158"/>
    <mergeCell ref="AF159:AF162"/>
    <mergeCell ref="Z148:Z151"/>
    <mergeCell ref="T159:T162"/>
    <mergeCell ref="T148:T151"/>
    <mergeCell ref="T152:T158"/>
    <mergeCell ref="E167:F167"/>
    <mergeCell ref="E159:F159"/>
    <mergeCell ref="E181:F181"/>
    <mergeCell ref="E182:F182"/>
    <mergeCell ref="E183:F183"/>
    <mergeCell ref="E184:F184"/>
    <mergeCell ref="E171:F171"/>
    <mergeCell ref="E172:F172"/>
    <mergeCell ref="E173:F173"/>
    <mergeCell ref="E174:F174"/>
    <mergeCell ref="E179:F179"/>
    <mergeCell ref="E180:F180"/>
    <mergeCell ref="E175:F175"/>
    <mergeCell ref="E176:F176"/>
    <mergeCell ref="E177:F177"/>
    <mergeCell ref="E178:F178"/>
    <mergeCell ref="AR66:AR69"/>
    <mergeCell ref="AR114:AR116"/>
    <mergeCell ref="AR163:AR165"/>
    <mergeCell ref="B1:F1"/>
    <mergeCell ref="B7:C7"/>
    <mergeCell ref="AR135:AR139"/>
    <mergeCell ref="AR144:AR147"/>
    <mergeCell ref="AR148:AR151"/>
    <mergeCell ref="AR152:AR158"/>
    <mergeCell ref="AR159:AR162"/>
    <mergeCell ref="AR140:AR142"/>
    <mergeCell ref="T144:T147"/>
    <mergeCell ref="T140:T142"/>
    <mergeCell ref="T123:T127"/>
    <mergeCell ref="T128:T134"/>
    <mergeCell ref="T135:T139"/>
    <mergeCell ref="Z128:Z134"/>
    <mergeCell ref="Z135:Z139"/>
    <mergeCell ref="N123:N127"/>
    <mergeCell ref="N128:N134"/>
    <mergeCell ref="N135:N139"/>
    <mergeCell ref="N144:N147"/>
    <mergeCell ref="N140:N142"/>
    <mergeCell ref="N148:N151"/>
    <mergeCell ref="BD185:BD187"/>
    <mergeCell ref="BD159:BD162"/>
    <mergeCell ref="BD92:BD96"/>
    <mergeCell ref="BJ92:BJ96"/>
    <mergeCell ref="BD181:BD184"/>
    <mergeCell ref="BJ104:BJ108"/>
    <mergeCell ref="BJ109:BJ113"/>
    <mergeCell ref="BJ128:BJ134"/>
    <mergeCell ref="BJ135:BJ139"/>
    <mergeCell ref="BJ148:BJ151"/>
    <mergeCell ref="BJ152:BJ158"/>
    <mergeCell ref="BD135:BD139"/>
    <mergeCell ref="BD144:BD147"/>
    <mergeCell ref="BD148:BD151"/>
    <mergeCell ref="BD152:BD158"/>
    <mergeCell ref="BD167:BD170"/>
    <mergeCell ref="BD171:BD175"/>
    <mergeCell ref="BD176:BD180"/>
    <mergeCell ref="BJ167:BJ170"/>
    <mergeCell ref="BJ171:BJ175"/>
    <mergeCell ref="BJ123:BJ127"/>
    <mergeCell ref="BJ163:BJ165"/>
    <mergeCell ref="BJ159:BJ162"/>
    <mergeCell ref="BE144:BH144"/>
    <mergeCell ref="BJ49:BJ54"/>
    <mergeCell ref="CB185:CB187"/>
    <mergeCell ref="CB163:CB165"/>
    <mergeCell ref="CB66:CB69"/>
    <mergeCell ref="AR185:AR187"/>
    <mergeCell ref="BV185:BV187"/>
    <mergeCell ref="AL140:AL142"/>
    <mergeCell ref="AL163:AL165"/>
    <mergeCell ref="AL185:AL187"/>
    <mergeCell ref="BJ185:BJ187"/>
    <mergeCell ref="BJ140:BJ142"/>
    <mergeCell ref="BJ114:BJ116"/>
    <mergeCell ref="AL176:AL180"/>
    <mergeCell ref="AX101:AX103"/>
    <mergeCell ref="AX104:AX108"/>
    <mergeCell ref="AX92:AX96"/>
    <mergeCell ref="AR98:AR100"/>
    <mergeCell ref="AR101:AR103"/>
    <mergeCell ref="AR104:AR108"/>
    <mergeCell ref="AX118:AX122"/>
    <mergeCell ref="AX123:AX127"/>
    <mergeCell ref="AX128:AX134"/>
    <mergeCell ref="AX135:AX139"/>
    <mergeCell ref="AX144:AX147"/>
  </mergeCells>
  <phoneticPr fontId="46" type="noConversion"/>
  <conditionalFormatting sqref="G11:G13 G167:G184 G71:G91 G118:G119 G36 G54:G65 G44:G45 G15:G34 G47:G52 G144:G152 M144:M152 S144:S152 AE144:AE152 AK144:AK152 AQ144:AQ152 AW144:AW152 BC144:BC152 BI144:BI152 BO144:BO152 BU144:BU152 G98:G114 BU154:BU156 BO154:BO156 BI154:BI156 BC154:BC156 AW154:AW156 AQ154:AQ156 AK154:AK156 AE154:AE156 S154:S156 M154:M156 G154:G156 G158:G162 M158:M162 S158:S162 AE158:AE162 AK158:AK162 AQ158:AQ162 AW158:AW162 BC158:BC162 BI158:BI162 BO158:BO162 BU158:BU162 G116 AK37:AL37 BC37:BD37 BI37:BJ37 BO37:BP37 BU37:BV37 CB37 AQ37:AR37 AQ66:AR66 AQ140:AR140 AQ185:AR185 AQ114:AR114 AQ163:AR163 S37:S41 AE37:AE41 AK38:AK41 AW38:AW41 BI38:BI41 BO38:BO41 BU38:BU41 BC38:BC41 AQ38:AQ41 CG37:XFD41 G121:G139 M121:M139 S121:S139 AE121:AE139 AK121:AK139 AQ121:AQ139 AW121:AW139 BC121:BC139 BI121:BI139 BO121:BO139 BU121:BU139 CG121:CG139 CA121:CA139 Y121:Y139 AW37:AX37 AW66:AX66 AW140:AX140 AW185:AX185 AW163:AX163">
    <cfRule type="cellIs" dxfId="1142" priority="2086" operator="equal">
      <formula>2</formula>
    </cfRule>
    <cfRule type="cellIs" dxfId="1141" priority="2087" operator="equal">
      <formula>1</formula>
    </cfRule>
    <cfRule type="cellIs" dxfId="1140" priority="2088" operator="equal">
      <formula>0</formula>
    </cfRule>
  </conditionalFormatting>
  <conditionalFormatting sqref="G35">
    <cfRule type="cellIs" dxfId="1139" priority="2080" operator="equal">
      <formula>2</formula>
    </cfRule>
    <cfRule type="cellIs" dxfId="1138" priority="2081" operator="equal">
      <formula>1</formula>
    </cfRule>
    <cfRule type="cellIs" dxfId="1137" priority="2082" operator="equal">
      <formula>0</formula>
    </cfRule>
  </conditionalFormatting>
  <conditionalFormatting sqref="G53">
    <cfRule type="cellIs" dxfId="1136" priority="2077" operator="equal">
      <formula>2</formula>
    </cfRule>
    <cfRule type="cellIs" dxfId="1135" priority="2078" operator="equal">
      <formula>1</formula>
    </cfRule>
    <cfRule type="cellIs" dxfId="1134" priority="2079" operator="equal">
      <formula>0</formula>
    </cfRule>
  </conditionalFormatting>
  <conditionalFormatting sqref="M11:M13 M167:M184 M118:M119 M36 M54:M65 M44:M45 M15:M34 M47:M52 M71:M91">
    <cfRule type="cellIs" dxfId="1133" priority="2074" operator="equal">
      <formula>2</formula>
    </cfRule>
    <cfRule type="cellIs" dxfId="1132" priority="2075" operator="equal">
      <formula>1</formula>
    </cfRule>
    <cfRule type="cellIs" dxfId="1131" priority="2076" operator="equal">
      <formula>0</formula>
    </cfRule>
  </conditionalFormatting>
  <conditionalFormatting sqref="M35">
    <cfRule type="cellIs" dxfId="1130" priority="2071" operator="equal">
      <formula>2</formula>
    </cfRule>
    <cfRule type="cellIs" dxfId="1129" priority="2072" operator="equal">
      <formula>1</formula>
    </cfRule>
    <cfRule type="cellIs" dxfId="1128" priority="2073" operator="equal">
      <formula>0</formula>
    </cfRule>
  </conditionalFormatting>
  <conditionalFormatting sqref="M53">
    <cfRule type="cellIs" dxfId="1127" priority="2068" operator="equal">
      <formula>2</formula>
    </cfRule>
    <cfRule type="cellIs" dxfId="1126" priority="2069" operator="equal">
      <formula>1</formula>
    </cfRule>
    <cfRule type="cellIs" dxfId="1125" priority="2070" operator="equal">
      <formula>0</formula>
    </cfRule>
  </conditionalFormatting>
  <conditionalFormatting sqref="S11:S13 S167:S184 S71:S91 S118:S119 S36 S54:S65 S98:S113 S44:S45 S15:S23 S47:S52 S25:S34">
    <cfRule type="cellIs" dxfId="1124" priority="2065" operator="equal">
      <formula>2</formula>
    </cfRule>
    <cfRule type="cellIs" dxfId="1123" priority="2066" operator="equal">
      <formula>1</formula>
    </cfRule>
    <cfRule type="cellIs" dxfId="1122" priority="2067" operator="equal">
      <formula>0</formula>
    </cfRule>
  </conditionalFormatting>
  <conditionalFormatting sqref="S35">
    <cfRule type="cellIs" dxfId="1121" priority="2062" operator="equal">
      <formula>2</formula>
    </cfRule>
    <cfRule type="cellIs" dxfId="1120" priority="2063" operator="equal">
      <formula>1</formula>
    </cfRule>
    <cfRule type="cellIs" dxfId="1119" priority="2064" operator="equal">
      <formula>0</formula>
    </cfRule>
  </conditionalFormatting>
  <conditionalFormatting sqref="S53">
    <cfRule type="cellIs" dxfId="1118" priority="2059" operator="equal">
      <formula>2</formula>
    </cfRule>
    <cfRule type="cellIs" dxfId="1117" priority="2060" operator="equal">
      <formula>1</formula>
    </cfRule>
    <cfRule type="cellIs" dxfId="1116" priority="2061" operator="equal">
      <formula>0</formula>
    </cfRule>
  </conditionalFormatting>
  <conditionalFormatting sqref="AE11:AE13 AE167:AE184 AE71:AE91 AE118:AE119 AE36 AE54:AE65 AE98:AE113 AE44:AE45 AE15:AE34 AE47:AE52">
    <cfRule type="cellIs" dxfId="1115" priority="2047" operator="equal">
      <formula>2</formula>
    </cfRule>
    <cfRule type="cellIs" dxfId="1114" priority="2048" operator="equal">
      <formula>1</formula>
    </cfRule>
    <cfRule type="cellIs" dxfId="1113" priority="2049" operator="equal">
      <formula>0</formula>
    </cfRule>
  </conditionalFormatting>
  <conditionalFormatting sqref="AE35">
    <cfRule type="cellIs" dxfId="1112" priority="2044" operator="equal">
      <formula>2</formula>
    </cfRule>
    <cfRule type="cellIs" dxfId="1111" priority="2045" operator="equal">
      <formula>1</formula>
    </cfRule>
    <cfRule type="cellIs" dxfId="1110" priority="2046" operator="equal">
      <formula>0</formula>
    </cfRule>
  </conditionalFormatting>
  <conditionalFormatting sqref="AE53">
    <cfRule type="cellIs" dxfId="1109" priority="2041" operator="equal">
      <formula>2</formula>
    </cfRule>
    <cfRule type="cellIs" dxfId="1108" priority="2042" operator="equal">
      <formula>1</formula>
    </cfRule>
    <cfRule type="cellIs" dxfId="1107" priority="2043" operator="equal">
      <formula>0</formula>
    </cfRule>
  </conditionalFormatting>
  <conditionalFormatting sqref="AK11:AK13 AK167:AK184 AK118:AK119 AK36 AK54:AK65 AK44:AK45 AK15:AK34 AK47:AK52">
    <cfRule type="cellIs" dxfId="1106" priority="2038" operator="equal">
      <formula>2</formula>
    </cfRule>
    <cfRule type="cellIs" dxfId="1105" priority="2039" operator="equal">
      <formula>1</formula>
    </cfRule>
    <cfRule type="cellIs" dxfId="1104" priority="2040" operator="equal">
      <formula>0</formula>
    </cfRule>
  </conditionalFormatting>
  <conditionalFormatting sqref="AK35">
    <cfRule type="cellIs" dxfId="1103" priority="2035" operator="equal">
      <formula>2</formula>
    </cfRule>
    <cfRule type="cellIs" dxfId="1102" priority="2036" operator="equal">
      <formula>1</formula>
    </cfRule>
    <cfRule type="cellIs" dxfId="1101" priority="2037" operator="equal">
      <formula>0</formula>
    </cfRule>
  </conditionalFormatting>
  <conditionalFormatting sqref="AK53">
    <cfRule type="cellIs" dxfId="1100" priority="2032" operator="equal">
      <formula>2</formula>
    </cfRule>
    <cfRule type="cellIs" dxfId="1099" priority="2033" operator="equal">
      <formula>1</formula>
    </cfRule>
    <cfRule type="cellIs" dxfId="1098" priority="2034" operator="equal">
      <formula>0</formula>
    </cfRule>
  </conditionalFormatting>
  <conditionalFormatting sqref="AQ11:AQ13 AQ167:AQ184 AQ71:AQ91 AQ118:AQ119 AQ36 AQ54:AQ65 AQ98:AQ113 AQ44:AQ45 AQ15:AQ34 AQ47:AQ52">
    <cfRule type="cellIs" dxfId="1097" priority="2029" operator="equal">
      <formula>2</formula>
    </cfRule>
    <cfRule type="cellIs" dxfId="1096" priority="2030" operator="equal">
      <formula>1</formula>
    </cfRule>
    <cfRule type="cellIs" dxfId="1095" priority="2031" operator="equal">
      <formula>0</formula>
    </cfRule>
  </conditionalFormatting>
  <conditionalFormatting sqref="AQ35">
    <cfRule type="cellIs" dxfId="1094" priority="2026" operator="equal">
      <formula>2</formula>
    </cfRule>
    <cfRule type="cellIs" dxfId="1093" priority="2027" operator="equal">
      <formula>1</formula>
    </cfRule>
    <cfRule type="cellIs" dxfId="1092" priority="2028" operator="equal">
      <formula>0</formula>
    </cfRule>
  </conditionalFormatting>
  <conditionalFormatting sqref="AQ53">
    <cfRule type="cellIs" dxfId="1091" priority="2023" operator="equal">
      <formula>2</formula>
    </cfRule>
    <cfRule type="cellIs" dxfId="1090" priority="2024" operator="equal">
      <formula>1</formula>
    </cfRule>
    <cfRule type="cellIs" dxfId="1089" priority="2025" operator="equal">
      <formula>0</formula>
    </cfRule>
  </conditionalFormatting>
  <conditionalFormatting sqref="AW11:AW13 AW167:AW184 AW118:AW119 AW36 AW54:AW65 AW44:AW45 AW15:AW34 AW47:AW52">
    <cfRule type="cellIs" dxfId="1088" priority="2020" operator="equal">
      <formula>2</formula>
    </cfRule>
    <cfRule type="cellIs" dxfId="1087" priority="2021" operator="equal">
      <formula>1</formula>
    </cfRule>
    <cfRule type="cellIs" dxfId="1086" priority="2022" operator="equal">
      <formula>0</formula>
    </cfRule>
  </conditionalFormatting>
  <conditionalFormatting sqref="AW35">
    <cfRule type="cellIs" dxfId="1085" priority="2017" operator="equal">
      <formula>2</formula>
    </cfRule>
    <cfRule type="cellIs" dxfId="1084" priority="2018" operator="equal">
      <formula>1</formula>
    </cfRule>
    <cfRule type="cellIs" dxfId="1083" priority="2019" operator="equal">
      <formula>0</formula>
    </cfRule>
  </conditionalFormatting>
  <conditionalFormatting sqref="AW53">
    <cfRule type="cellIs" dxfId="1082" priority="2014" operator="equal">
      <formula>2</formula>
    </cfRule>
    <cfRule type="cellIs" dxfId="1081" priority="2015" operator="equal">
      <formula>1</formula>
    </cfRule>
    <cfRule type="cellIs" dxfId="1080" priority="2016" operator="equal">
      <formula>0</formula>
    </cfRule>
  </conditionalFormatting>
  <conditionalFormatting sqref="BC11:BC13 BC167:BC184 BC71:BC91 BC118:BC119 BC36 BC54:BC65 BC98:BC113 BC44:BC45 BC15:BC34 BC47:BC52">
    <cfRule type="cellIs" dxfId="1079" priority="2011" operator="equal">
      <formula>2</formula>
    </cfRule>
    <cfRule type="cellIs" dxfId="1078" priority="2012" operator="equal">
      <formula>1</formula>
    </cfRule>
    <cfRule type="cellIs" dxfId="1077" priority="2013" operator="equal">
      <formula>0</formula>
    </cfRule>
  </conditionalFormatting>
  <conditionalFormatting sqref="BC35">
    <cfRule type="cellIs" dxfId="1076" priority="2008" operator="equal">
      <formula>2</formula>
    </cfRule>
    <cfRule type="cellIs" dxfId="1075" priority="2009" operator="equal">
      <formula>1</formula>
    </cfRule>
    <cfRule type="cellIs" dxfId="1074" priority="2010" operator="equal">
      <formula>0</formula>
    </cfRule>
  </conditionalFormatting>
  <conditionalFormatting sqref="BC53">
    <cfRule type="cellIs" dxfId="1073" priority="2005" operator="equal">
      <formula>2</formula>
    </cfRule>
    <cfRule type="cellIs" dxfId="1072" priority="2006" operator="equal">
      <formula>1</formula>
    </cfRule>
    <cfRule type="cellIs" dxfId="1071" priority="2007" operator="equal">
      <formula>0</formula>
    </cfRule>
  </conditionalFormatting>
  <conditionalFormatting sqref="BI11:BI13 BI167:BI184 BI118:BI119 BI36 BI54:BI65 BI44:BI45 BI15:BI34 BI47:BI52">
    <cfRule type="cellIs" dxfId="1070" priority="2002" operator="equal">
      <formula>2</formula>
    </cfRule>
    <cfRule type="cellIs" dxfId="1069" priority="2003" operator="equal">
      <formula>1</formula>
    </cfRule>
    <cfRule type="cellIs" dxfId="1068" priority="2004" operator="equal">
      <formula>0</formula>
    </cfRule>
  </conditionalFormatting>
  <conditionalFormatting sqref="BI35">
    <cfRule type="cellIs" dxfId="1067" priority="1999" operator="equal">
      <formula>2</formula>
    </cfRule>
    <cfRule type="cellIs" dxfId="1066" priority="2000" operator="equal">
      <formula>1</formula>
    </cfRule>
    <cfRule type="cellIs" dxfId="1065" priority="2001" operator="equal">
      <formula>0</formula>
    </cfRule>
  </conditionalFormatting>
  <conditionalFormatting sqref="BI53">
    <cfRule type="cellIs" dxfId="1064" priority="1996" operator="equal">
      <formula>2</formula>
    </cfRule>
    <cfRule type="cellIs" dxfId="1063" priority="1997" operator="equal">
      <formula>1</formula>
    </cfRule>
    <cfRule type="cellIs" dxfId="1062" priority="1998" operator="equal">
      <formula>0</formula>
    </cfRule>
  </conditionalFormatting>
  <conditionalFormatting sqref="BO11:BO13 BO167:BO184 BO71:BO91 BO118:BO119 BO36 BO54:BO65 BO98:BO113 BO44:BO45 BO15:BO34 BO47:BO52">
    <cfRule type="cellIs" dxfId="1061" priority="1993" operator="equal">
      <formula>2</formula>
    </cfRule>
    <cfRule type="cellIs" dxfId="1060" priority="1994" operator="equal">
      <formula>1</formula>
    </cfRule>
    <cfRule type="cellIs" dxfId="1059" priority="1995" operator="equal">
      <formula>0</formula>
    </cfRule>
  </conditionalFormatting>
  <conditionalFormatting sqref="BO35">
    <cfRule type="cellIs" dxfId="1058" priority="1990" operator="equal">
      <formula>2</formula>
    </cfRule>
    <cfRule type="cellIs" dxfId="1057" priority="1991" operator="equal">
      <formula>1</formula>
    </cfRule>
    <cfRule type="cellIs" dxfId="1056" priority="1992" operator="equal">
      <formula>0</formula>
    </cfRule>
  </conditionalFormatting>
  <conditionalFormatting sqref="BO53">
    <cfRule type="cellIs" dxfId="1055" priority="1987" operator="equal">
      <formula>2</formula>
    </cfRule>
    <cfRule type="cellIs" dxfId="1054" priority="1988" operator="equal">
      <formula>1</formula>
    </cfRule>
    <cfRule type="cellIs" dxfId="1053" priority="1989" operator="equal">
      <formula>0</formula>
    </cfRule>
  </conditionalFormatting>
  <conditionalFormatting sqref="BU11:BU13 BU167:BU184 BU118:BU119 BU36 BU54:BU65 BU44:BU45 BU15:BU34 BU47:BU52">
    <cfRule type="cellIs" dxfId="1052" priority="1984" operator="equal">
      <formula>2</formula>
    </cfRule>
    <cfRule type="cellIs" dxfId="1051" priority="1985" operator="equal">
      <formula>1</formula>
    </cfRule>
    <cfRule type="cellIs" dxfId="1050" priority="1986" operator="equal">
      <formula>0</formula>
    </cfRule>
  </conditionalFormatting>
  <conditionalFormatting sqref="BU35">
    <cfRule type="cellIs" dxfId="1049" priority="1981" operator="equal">
      <formula>2</formula>
    </cfRule>
    <cfRule type="cellIs" dxfId="1048" priority="1982" operator="equal">
      <formula>1</formula>
    </cfRule>
    <cfRule type="cellIs" dxfId="1047" priority="1983" operator="equal">
      <formula>0</formula>
    </cfRule>
  </conditionalFormatting>
  <conditionalFormatting sqref="BU53">
    <cfRule type="cellIs" dxfId="1046" priority="1978" operator="equal">
      <formula>2</formula>
    </cfRule>
    <cfRule type="cellIs" dxfId="1045" priority="1979" operator="equal">
      <formula>1</formula>
    </cfRule>
    <cfRule type="cellIs" dxfId="1044" priority="1980" operator="equal">
      <formula>0</formula>
    </cfRule>
  </conditionalFormatting>
  <conditionalFormatting sqref="G14">
    <cfRule type="cellIs" dxfId="1043" priority="1975" operator="equal">
      <formula>2</formula>
    </cfRule>
    <cfRule type="cellIs" dxfId="1042" priority="1976" operator="equal">
      <formula>1</formula>
    </cfRule>
    <cfRule type="cellIs" dxfId="1041" priority="1977" operator="equal">
      <formula>0</formula>
    </cfRule>
  </conditionalFormatting>
  <conditionalFormatting sqref="M14">
    <cfRule type="cellIs" dxfId="1040" priority="1972" operator="equal">
      <formula>2</formula>
    </cfRule>
    <cfRule type="cellIs" dxfId="1039" priority="1973" operator="equal">
      <formula>1</formula>
    </cfRule>
    <cfRule type="cellIs" dxfId="1038" priority="1974" operator="equal">
      <formula>0</formula>
    </cfRule>
  </conditionalFormatting>
  <conditionalFormatting sqref="S14">
    <cfRule type="cellIs" dxfId="1037" priority="1969" operator="equal">
      <formula>2</formula>
    </cfRule>
    <cfRule type="cellIs" dxfId="1036" priority="1970" operator="equal">
      <formula>1</formula>
    </cfRule>
    <cfRule type="cellIs" dxfId="1035" priority="1971" operator="equal">
      <formula>0</formula>
    </cfRule>
  </conditionalFormatting>
  <conditionalFormatting sqref="AE14">
    <cfRule type="cellIs" dxfId="1034" priority="1963" operator="equal">
      <formula>2</formula>
    </cfRule>
    <cfRule type="cellIs" dxfId="1033" priority="1964" operator="equal">
      <formula>1</formula>
    </cfRule>
    <cfRule type="cellIs" dxfId="1032" priority="1965" operator="equal">
      <formula>0</formula>
    </cfRule>
  </conditionalFormatting>
  <conditionalFormatting sqref="AK14">
    <cfRule type="cellIs" dxfId="1031" priority="1960" operator="equal">
      <formula>2</formula>
    </cfRule>
    <cfRule type="cellIs" dxfId="1030" priority="1961" operator="equal">
      <formula>1</formula>
    </cfRule>
    <cfRule type="cellIs" dxfId="1029" priority="1962" operator="equal">
      <formula>0</formula>
    </cfRule>
  </conditionalFormatting>
  <conditionalFormatting sqref="AQ14">
    <cfRule type="cellIs" dxfId="1028" priority="1957" operator="equal">
      <formula>2</formula>
    </cfRule>
    <cfRule type="cellIs" dxfId="1027" priority="1958" operator="equal">
      <formula>1</formula>
    </cfRule>
    <cfRule type="cellIs" dxfId="1026" priority="1959" operator="equal">
      <formula>0</formula>
    </cfRule>
  </conditionalFormatting>
  <conditionalFormatting sqref="AW14">
    <cfRule type="cellIs" dxfId="1025" priority="1954" operator="equal">
      <formula>2</formula>
    </cfRule>
    <cfRule type="cellIs" dxfId="1024" priority="1955" operator="equal">
      <formula>1</formula>
    </cfRule>
    <cfRule type="cellIs" dxfId="1023" priority="1956" operator="equal">
      <formula>0</formula>
    </cfRule>
  </conditionalFormatting>
  <conditionalFormatting sqref="BC14">
    <cfRule type="cellIs" dxfId="1022" priority="1951" operator="equal">
      <formula>2</formula>
    </cfRule>
    <cfRule type="cellIs" dxfId="1021" priority="1952" operator="equal">
      <formula>1</formula>
    </cfRule>
    <cfRule type="cellIs" dxfId="1020" priority="1953" operator="equal">
      <formula>0</formula>
    </cfRule>
  </conditionalFormatting>
  <conditionalFormatting sqref="BI14">
    <cfRule type="cellIs" dxfId="1019" priority="1948" operator="equal">
      <formula>2</formula>
    </cfRule>
    <cfRule type="cellIs" dxfId="1018" priority="1949" operator="equal">
      <formula>1</formula>
    </cfRule>
    <cfRule type="cellIs" dxfId="1017" priority="1950" operator="equal">
      <formula>0</formula>
    </cfRule>
  </conditionalFormatting>
  <conditionalFormatting sqref="BO14">
    <cfRule type="cellIs" dxfId="1016" priority="1945" operator="equal">
      <formula>2</formula>
    </cfRule>
    <cfRule type="cellIs" dxfId="1015" priority="1946" operator="equal">
      <formula>1</formula>
    </cfRule>
    <cfRule type="cellIs" dxfId="1014" priority="1947" operator="equal">
      <formula>0</formula>
    </cfRule>
  </conditionalFormatting>
  <conditionalFormatting sqref="BU14">
    <cfRule type="cellIs" dxfId="1013" priority="1942" operator="equal">
      <formula>2</formula>
    </cfRule>
    <cfRule type="cellIs" dxfId="1012" priority="1943" operator="equal">
      <formula>1</formula>
    </cfRule>
    <cfRule type="cellIs" dxfId="1011" priority="1944" operator="equal">
      <formula>0</formula>
    </cfRule>
  </conditionalFormatting>
  <conditionalFormatting sqref="G46">
    <cfRule type="cellIs" dxfId="1010" priority="1939" operator="equal">
      <formula>2</formula>
    </cfRule>
    <cfRule type="cellIs" dxfId="1009" priority="1940" operator="equal">
      <formula>1</formula>
    </cfRule>
    <cfRule type="cellIs" dxfId="1008" priority="1941" operator="equal">
      <formula>0</formula>
    </cfRule>
  </conditionalFormatting>
  <conditionalFormatting sqref="M46">
    <cfRule type="cellIs" dxfId="1007" priority="1936" operator="equal">
      <formula>2</formula>
    </cfRule>
    <cfRule type="cellIs" dxfId="1006" priority="1937" operator="equal">
      <formula>1</formula>
    </cfRule>
    <cfRule type="cellIs" dxfId="1005" priority="1938" operator="equal">
      <formula>0</formula>
    </cfRule>
  </conditionalFormatting>
  <conditionalFormatting sqref="S46">
    <cfRule type="cellIs" dxfId="1004" priority="1933" operator="equal">
      <formula>2</formula>
    </cfRule>
    <cfRule type="cellIs" dxfId="1003" priority="1934" operator="equal">
      <formula>1</formula>
    </cfRule>
    <cfRule type="cellIs" dxfId="1002" priority="1935" operator="equal">
      <formula>0</formula>
    </cfRule>
  </conditionalFormatting>
  <conditionalFormatting sqref="AE46">
    <cfRule type="cellIs" dxfId="1001" priority="1927" operator="equal">
      <formula>2</formula>
    </cfRule>
    <cfRule type="cellIs" dxfId="1000" priority="1928" operator="equal">
      <formula>1</formula>
    </cfRule>
    <cfRule type="cellIs" dxfId="999" priority="1929" operator="equal">
      <formula>0</formula>
    </cfRule>
  </conditionalFormatting>
  <conditionalFormatting sqref="AK46">
    <cfRule type="cellIs" dxfId="998" priority="1924" operator="equal">
      <formula>2</formula>
    </cfRule>
    <cfRule type="cellIs" dxfId="997" priority="1925" operator="equal">
      <formula>1</formula>
    </cfRule>
    <cfRule type="cellIs" dxfId="996" priority="1926" operator="equal">
      <formula>0</formula>
    </cfRule>
  </conditionalFormatting>
  <conditionalFormatting sqref="AQ46">
    <cfRule type="cellIs" dxfId="995" priority="1921" operator="equal">
      <formula>2</formula>
    </cfRule>
    <cfRule type="cellIs" dxfId="994" priority="1922" operator="equal">
      <formula>1</formula>
    </cfRule>
    <cfRule type="cellIs" dxfId="993" priority="1923" operator="equal">
      <formula>0</formula>
    </cfRule>
  </conditionalFormatting>
  <conditionalFormatting sqref="AW46">
    <cfRule type="cellIs" dxfId="992" priority="1918" operator="equal">
      <formula>2</formula>
    </cfRule>
    <cfRule type="cellIs" dxfId="991" priority="1919" operator="equal">
      <formula>1</formula>
    </cfRule>
    <cfRule type="cellIs" dxfId="990" priority="1920" operator="equal">
      <formula>0</formula>
    </cfRule>
  </conditionalFormatting>
  <conditionalFormatting sqref="BC46">
    <cfRule type="cellIs" dxfId="989" priority="1915" operator="equal">
      <formula>2</formula>
    </cfRule>
    <cfRule type="cellIs" dxfId="988" priority="1916" operator="equal">
      <formula>1</formula>
    </cfRule>
    <cfRule type="cellIs" dxfId="987" priority="1917" operator="equal">
      <formula>0</formula>
    </cfRule>
  </conditionalFormatting>
  <conditionalFormatting sqref="BI46">
    <cfRule type="cellIs" dxfId="986" priority="1912" operator="equal">
      <formula>2</formula>
    </cfRule>
    <cfRule type="cellIs" dxfId="985" priority="1913" operator="equal">
      <formula>1</formula>
    </cfRule>
    <cfRule type="cellIs" dxfId="984" priority="1914" operator="equal">
      <formula>0</formula>
    </cfRule>
  </conditionalFormatting>
  <conditionalFormatting sqref="BO46">
    <cfRule type="cellIs" dxfId="983" priority="1909" operator="equal">
      <formula>2</formula>
    </cfRule>
    <cfRule type="cellIs" dxfId="982" priority="1910" operator="equal">
      <formula>1</formula>
    </cfRule>
    <cfRule type="cellIs" dxfId="981" priority="1911" operator="equal">
      <formula>0</formula>
    </cfRule>
  </conditionalFormatting>
  <conditionalFormatting sqref="BU46">
    <cfRule type="cellIs" dxfId="980" priority="1906" operator="equal">
      <formula>2</formula>
    </cfRule>
    <cfRule type="cellIs" dxfId="979" priority="1907" operator="equal">
      <formula>1</formula>
    </cfRule>
    <cfRule type="cellIs" dxfId="978" priority="1908" operator="equal">
      <formula>0</formula>
    </cfRule>
  </conditionalFormatting>
  <conditionalFormatting sqref="CG144:CG152 CG154:CG156 CG158:CG162">
    <cfRule type="cellIs" dxfId="977" priority="1885" operator="equal">
      <formula>2</formula>
    </cfRule>
    <cfRule type="cellIs" dxfId="976" priority="1886" operator="equal">
      <formula>1</formula>
    </cfRule>
    <cfRule type="cellIs" dxfId="975" priority="1887" operator="equal">
      <formula>0</formula>
    </cfRule>
  </conditionalFormatting>
  <conditionalFormatting sqref="CG11:CG13 CG167:CG184 CG71:CG91 CG118:CG119 CG36 CG54:CG65 CG98:CG113 CG44:CG45 CG15:CG34 CG47:CG52">
    <cfRule type="cellIs" dxfId="974" priority="1882" operator="equal">
      <formula>2</formula>
    </cfRule>
    <cfRule type="cellIs" dxfId="973" priority="1883" operator="equal">
      <formula>1</formula>
    </cfRule>
    <cfRule type="cellIs" dxfId="972" priority="1884" operator="equal">
      <formula>0</formula>
    </cfRule>
  </conditionalFormatting>
  <conditionalFormatting sqref="CG35">
    <cfRule type="cellIs" dxfId="971" priority="1879" operator="equal">
      <formula>2</formula>
    </cfRule>
    <cfRule type="cellIs" dxfId="970" priority="1880" operator="equal">
      <formula>1</formula>
    </cfRule>
    <cfRule type="cellIs" dxfId="969" priority="1881" operator="equal">
      <formula>0</formula>
    </cfRule>
  </conditionalFormatting>
  <conditionalFormatting sqref="CG53">
    <cfRule type="cellIs" dxfId="968" priority="1876" operator="equal">
      <formula>2</formula>
    </cfRule>
    <cfRule type="cellIs" dxfId="967" priority="1877" operator="equal">
      <formula>1</formula>
    </cfRule>
    <cfRule type="cellIs" dxfId="966" priority="1878" operator="equal">
      <formula>0</formula>
    </cfRule>
  </conditionalFormatting>
  <conditionalFormatting sqref="CG14">
    <cfRule type="cellIs" dxfId="965" priority="1873" operator="equal">
      <formula>2</formula>
    </cfRule>
    <cfRule type="cellIs" dxfId="964" priority="1874" operator="equal">
      <formula>1</formula>
    </cfRule>
    <cfRule type="cellIs" dxfId="963" priority="1875" operator="equal">
      <formula>0</formula>
    </cfRule>
  </conditionalFormatting>
  <conditionalFormatting sqref="CG46">
    <cfRule type="cellIs" dxfId="962" priority="1870" operator="equal">
      <formula>2</formula>
    </cfRule>
    <cfRule type="cellIs" dxfId="961" priority="1871" operator="equal">
      <formula>1</formula>
    </cfRule>
    <cfRule type="cellIs" dxfId="960" priority="1872" operator="equal">
      <formula>0</formula>
    </cfRule>
  </conditionalFormatting>
  <conditionalFormatting sqref="G37 G39 G41">
    <cfRule type="cellIs" dxfId="959" priority="1867" operator="equal">
      <formula>2</formula>
    </cfRule>
    <cfRule type="cellIs" dxfId="958" priority="1868" operator="equal">
      <formula>1</formula>
    </cfRule>
    <cfRule type="cellIs" dxfId="957" priority="1869" operator="equal">
      <formula>0</formula>
    </cfRule>
  </conditionalFormatting>
  <conditionalFormatting sqref="M37 M39 M41">
    <cfRule type="cellIs" dxfId="956" priority="1864" operator="equal">
      <formula>2</formula>
    </cfRule>
    <cfRule type="cellIs" dxfId="955" priority="1865" operator="equal">
      <formula>1</formula>
    </cfRule>
    <cfRule type="cellIs" dxfId="954" priority="1866" operator="equal">
      <formula>0</formula>
    </cfRule>
  </conditionalFormatting>
  <conditionalFormatting sqref="G66:G67 G69">
    <cfRule type="cellIs" dxfId="953" priority="1825" operator="equal">
      <formula>2</formula>
    </cfRule>
    <cfRule type="cellIs" dxfId="952" priority="1826" operator="equal">
      <formula>1</formula>
    </cfRule>
    <cfRule type="cellIs" dxfId="951" priority="1827" operator="equal">
      <formula>0</formula>
    </cfRule>
  </conditionalFormatting>
  <conditionalFormatting sqref="M66:M67 M69">
    <cfRule type="cellIs" dxfId="950" priority="1822" operator="equal">
      <formula>2</formula>
    </cfRule>
    <cfRule type="cellIs" dxfId="949" priority="1823" operator="equal">
      <formula>1</formula>
    </cfRule>
    <cfRule type="cellIs" dxfId="948" priority="1824" operator="equal">
      <formula>0</formula>
    </cfRule>
  </conditionalFormatting>
  <conditionalFormatting sqref="G92:G93 G96">
    <cfRule type="cellIs" dxfId="947" priority="1783" operator="equal">
      <formula>2</formula>
    </cfRule>
    <cfRule type="cellIs" dxfId="946" priority="1784" operator="equal">
      <formula>1</formula>
    </cfRule>
    <cfRule type="cellIs" dxfId="945" priority="1785" operator="equal">
      <formula>0</formula>
    </cfRule>
  </conditionalFormatting>
  <conditionalFormatting sqref="AQ92:AQ93 AQ96">
    <cfRule type="cellIs" dxfId="944" priority="1765" operator="equal">
      <formula>2</formula>
    </cfRule>
    <cfRule type="cellIs" dxfId="943" priority="1766" operator="equal">
      <formula>1</formula>
    </cfRule>
    <cfRule type="cellIs" dxfId="942" priority="1767" operator="equal">
      <formula>0</formula>
    </cfRule>
  </conditionalFormatting>
  <conditionalFormatting sqref="BC92:BC93 BC96">
    <cfRule type="cellIs" dxfId="941" priority="1759" operator="equal">
      <formula>2</formula>
    </cfRule>
    <cfRule type="cellIs" dxfId="940" priority="1760" operator="equal">
      <formula>1</formula>
    </cfRule>
    <cfRule type="cellIs" dxfId="939" priority="1761" operator="equal">
      <formula>0</formula>
    </cfRule>
  </conditionalFormatting>
  <conditionalFormatting sqref="BO92:BO93 BO96">
    <cfRule type="cellIs" dxfId="938" priority="1753" operator="equal">
      <formula>2</formula>
    </cfRule>
    <cfRule type="cellIs" dxfId="937" priority="1754" operator="equal">
      <formula>1</formula>
    </cfRule>
    <cfRule type="cellIs" dxfId="936" priority="1755" operator="equal">
      <formula>0</formula>
    </cfRule>
  </conditionalFormatting>
  <conditionalFormatting sqref="CG92:CG93 CG96">
    <cfRule type="cellIs" dxfId="935" priority="1744" operator="equal">
      <formula>2</formula>
    </cfRule>
    <cfRule type="cellIs" dxfId="934" priority="1745" operator="equal">
      <formula>1</formula>
    </cfRule>
    <cfRule type="cellIs" dxfId="933" priority="1746" operator="equal">
      <formula>0</formula>
    </cfRule>
  </conditionalFormatting>
  <conditionalFormatting sqref="G140:G142">
    <cfRule type="cellIs" dxfId="932" priority="1699" operator="equal">
      <formula>2</formula>
    </cfRule>
    <cfRule type="cellIs" dxfId="931" priority="1700" operator="equal">
      <formula>1</formula>
    </cfRule>
    <cfRule type="cellIs" dxfId="930" priority="1701" operator="equal">
      <formula>0</formula>
    </cfRule>
  </conditionalFormatting>
  <conditionalFormatting sqref="M140:M142">
    <cfRule type="cellIs" dxfId="929" priority="1696" operator="equal">
      <formula>2</formula>
    </cfRule>
    <cfRule type="cellIs" dxfId="928" priority="1697" operator="equal">
      <formula>1</formula>
    </cfRule>
    <cfRule type="cellIs" dxfId="927" priority="1698" operator="equal">
      <formula>0</formula>
    </cfRule>
  </conditionalFormatting>
  <conditionalFormatting sqref="S140:S142">
    <cfRule type="cellIs" dxfId="926" priority="1693" operator="equal">
      <formula>2</formula>
    </cfRule>
    <cfRule type="cellIs" dxfId="925" priority="1694" operator="equal">
      <formula>1</formula>
    </cfRule>
    <cfRule type="cellIs" dxfId="924" priority="1695" operator="equal">
      <formula>0</formula>
    </cfRule>
  </conditionalFormatting>
  <conditionalFormatting sqref="G163:G165">
    <cfRule type="cellIs" dxfId="923" priority="1657" operator="equal">
      <formula>2</formula>
    </cfRule>
    <cfRule type="cellIs" dxfId="922" priority="1658" operator="equal">
      <formula>1</formula>
    </cfRule>
    <cfRule type="cellIs" dxfId="921" priority="1659" operator="equal">
      <formula>0</formula>
    </cfRule>
  </conditionalFormatting>
  <conditionalFormatting sqref="G185:G187">
    <cfRule type="cellIs" dxfId="920" priority="1615" operator="equal">
      <formula>2</formula>
    </cfRule>
    <cfRule type="cellIs" dxfId="919" priority="1616" operator="equal">
      <formula>1</formula>
    </cfRule>
    <cfRule type="cellIs" dxfId="918" priority="1617" operator="equal">
      <formula>0</formula>
    </cfRule>
  </conditionalFormatting>
  <conditionalFormatting sqref="G153 M153 S153 AE153 AK153 AQ153 AW153 BC153 BI153 BO153 BU153">
    <cfRule type="cellIs" dxfId="917" priority="1573" operator="equal">
      <formula>2</formula>
    </cfRule>
    <cfRule type="cellIs" dxfId="916" priority="1574" operator="equal">
      <formula>1</formula>
    </cfRule>
    <cfRule type="cellIs" dxfId="915" priority="1575" operator="equal">
      <formula>0</formula>
    </cfRule>
  </conditionalFormatting>
  <conditionalFormatting sqref="CG153">
    <cfRule type="cellIs" dxfId="914" priority="1567" operator="equal">
      <formula>2</formula>
    </cfRule>
    <cfRule type="cellIs" dxfId="913" priority="1568" operator="equal">
      <formula>1</formula>
    </cfRule>
    <cfRule type="cellIs" dxfId="912" priority="1569" operator="equal">
      <formula>0</formula>
    </cfRule>
  </conditionalFormatting>
  <conditionalFormatting sqref="G157 M157 S157 AE157 AK157 AQ157 AW157 BC157 BI157 BO157 BU157">
    <cfRule type="cellIs" dxfId="911" priority="1564" operator="equal">
      <formula>2</formula>
    </cfRule>
    <cfRule type="cellIs" dxfId="910" priority="1565" operator="equal">
      <formula>1</formula>
    </cfRule>
    <cfRule type="cellIs" dxfId="909" priority="1566" operator="equal">
      <formula>0</formula>
    </cfRule>
  </conditionalFormatting>
  <conditionalFormatting sqref="CG157">
    <cfRule type="cellIs" dxfId="908" priority="1558" operator="equal">
      <formula>2</formula>
    </cfRule>
    <cfRule type="cellIs" dxfId="907" priority="1559" operator="equal">
      <formula>1</formula>
    </cfRule>
    <cfRule type="cellIs" dxfId="906" priority="1560" operator="equal">
      <formula>0</formula>
    </cfRule>
  </conditionalFormatting>
  <conditionalFormatting sqref="G120">
    <cfRule type="cellIs" dxfId="905" priority="1549" operator="equal">
      <formula>2</formula>
    </cfRule>
    <cfRule type="cellIs" dxfId="904" priority="1550" operator="equal">
      <formula>1</formula>
    </cfRule>
    <cfRule type="cellIs" dxfId="903" priority="1551" operator="equal">
      <formula>0</formula>
    </cfRule>
  </conditionalFormatting>
  <conditionalFormatting sqref="M120">
    <cfRule type="cellIs" dxfId="902" priority="1546" operator="equal">
      <formula>2</formula>
    </cfRule>
    <cfRule type="cellIs" dxfId="901" priority="1547" operator="equal">
      <formula>1</formula>
    </cfRule>
    <cfRule type="cellIs" dxfId="900" priority="1548" operator="equal">
      <formula>0</formula>
    </cfRule>
  </conditionalFormatting>
  <conditionalFormatting sqref="S120">
    <cfRule type="cellIs" dxfId="899" priority="1543" operator="equal">
      <formula>2</formula>
    </cfRule>
    <cfRule type="cellIs" dxfId="898" priority="1544" operator="equal">
      <formula>1</formula>
    </cfRule>
    <cfRule type="cellIs" dxfId="897" priority="1545" operator="equal">
      <formula>0</formula>
    </cfRule>
  </conditionalFormatting>
  <conditionalFormatting sqref="AE120">
    <cfRule type="cellIs" dxfId="896" priority="1537" operator="equal">
      <formula>2</formula>
    </cfRule>
    <cfRule type="cellIs" dxfId="895" priority="1538" operator="equal">
      <formula>1</formula>
    </cfRule>
    <cfRule type="cellIs" dxfId="894" priority="1539" operator="equal">
      <formula>0</formula>
    </cfRule>
  </conditionalFormatting>
  <conditionalFormatting sqref="AK120">
    <cfRule type="cellIs" dxfId="893" priority="1534" operator="equal">
      <formula>2</formula>
    </cfRule>
    <cfRule type="cellIs" dxfId="892" priority="1535" operator="equal">
      <formula>1</formula>
    </cfRule>
    <cfRule type="cellIs" dxfId="891" priority="1536" operator="equal">
      <formula>0</formula>
    </cfRule>
  </conditionalFormatting>
  <conditionalFormatting sqref="AQ120">
    <cfRule type="cellIs" dxfId="890" priority="1531" operator="equal">
      <formula>2</formula>
    </cfRule>
    <cfRule type="cellIs" dxfId="889" priority="1532" operator="equal">
      <formula>1</formula>
    </cfRule>
    <cfRule type="cellIs" dxfId="888" priority="1533" operator="equal">
      <formula>0</formula>
    </cfRule>
  </conditionalFormatting>
  <conditionalFormatting sqref="AW120">
    <cfRule type="cellIs" dxfId="887" priority="1528" operator="equal">
      <formula>2</formula>
    </cfRule>
    <cfRule type="cellIs" dxfId="886" priority="1529" operator="equal">
      <formula>1</formula>
    </cfRule>
    <cfRule type="cellIs" dxfId="885" priority="1530" operator="equal">
      <formula>0</formula>
    </cfRule>
  </conditionalFormatting>
  <conditionalFormatting sqref="BC120">
    <cfRule type="cellIs" dxfId="884" priority="1525" operator="equal">
      <formula>2</formula>
    </cfRule>
    <cfRule type="cellIs" dxfId="883" priority="1526" operator="equal">
      <formula>1</formula>
    </cfRule>
    <cfRule type="cellIs" dxfId="882" priority="1527" operator="equal">
      <formula>0</formula>
    </cfRule>
  </conditionalFormatting>
  <conditionalFormatting sqref="BI120">
    <cfRule type="cellIs" dxfId="881" priority="1522" operator="equal">
      <formula>2</formula>
    </cfRule>
    <cfRule type="cellIs" dxfId="880" priority="1523" operator="equal">
      <formula>1</formula>
    </cfRule>
    <cfRule type="cellIs" dxfId="879" priority="1524" operator="equal">
      <formula>0</formula>
    </cfRule>
  </conditionalFormatting>
  <conditionalFormatting sqref="BO120">
    <cfRule type="cellIs" dxfId="878" priority="1519" operator="equal">
      <formula>2</formula>
    </cfRule>
    <cfRule type="cellIs" dxfId="877" priority="1520" operator="equal">
      <formula>1</formula>
    </cfRule>
    <cfRule type="cellIs" dxfId="876" priority="1521" operator="equal">
      <formula>0</formula>
    </cfRule>
  </conditionalFormatting>
  <conditionalFormatting sqref="BU120">
    <cfRule type="cellIs" dxfId="875" priority="1516" operator="equal">
      <formula>2</formula>
    </cfRule>
    <cfRule type="cellIs" dxfId="874" priority="1517" operator="equal">
      <formula>1</formula>
    </cfRule>
    <cfRule type="cellIs" dxfId="873" priority="1518" operator="equal">
      <formula>0</formula>
    </cfRule>
  </conditionalFormatting>
  <conditionalFormatting sqref="CG120">
    <cfRule type="cellIs" dxfId="872" priority="1510" operator="equal">
      <formula>2</formula>
    </cfRule>
    <cfRule type="cellIs" dxfId="871" priority="1511" operator="equal">
      <formula>1</formula>
    </cfRule>
    <cfRule type="cellIs" dxfId="870" priority="1512" operator="equal">
      <formula>0</formula>
    </cfRule>
  </conditionalFormatting>
  <conditionalFormatting sqref="G38">
    <cfRule type="cellIs" dxfId="869" priority="1381" operator="equal">
      <formula>2</formula>
    </cfRule>
    <cfRule type="cellIs" dxfId="868" priority="1382" operator="equal">
      <formula>1</formula>
    </cfRule>
    <cfRule type="cellIs" dxfId="867" priority="1383" operator="equal">
      <formula>0</formula>
    </cfRule>
  </conditionalFormatting>
  <conditionalFormatting sqref="M38">
    <cfRule type="cellIs" dxfId="866" priority="1378" operator="equal">
      <formula>2</formula>
    </cfRule>
    <cfRule type="cellIs" dxfId="865" priority="1379" operator="equal">
      <formula>1</formula>
    </cfRule>
    <cfRule type="cellIs" dxfId="864" priority="1380" operator="equal">
      <formula>0</formula>
    </cfRule>
  </conditionalFormatting>
  <conditionalFormatting sqref="G68">
    <cfRule type="cellIs" dxfId="863" priority="1339" operator="equal">
      <formula>2</formula>
    </cfRule>
    <cfRule type="cellIs" dxfId="862" priority="1340" operator="equal">
      <formula>1</formula>
    </cfRule>
    <cfRule type="cellIs" dxfId="861" priority="1341" operator="equal">
      <formula>0</formula>
    </cfRule>
  </conditionalFormatting>
  <conditionalFormatting sqref="G94">
    <cfRule type="cellIs" dxfId="860" priority="1255" operator="equal">
      <formula>2</formula>
    </cfRule>
    <cfRule type="cellIs" dxfId="859" priority="1256" operator="equal">
      <formula>1</formula>
    </cfRule>
    <cfRule type="cellIs" dxfId="858" priority="1257" operator="equal">
      <formula>0</formula>
    </cfRule>
  </conditionalFormatting>
  <conditionalFormatting sqref="CG94">
    <cfRule type="cellIs" dxfId="857" priority="1216" operator="equal">
      <formula>2</formula>
    </cfRule>
    <cfRule type="cellIs" dxfId="856" priority="1217" operator="equal">
      <formula>1</formula>
    </cfRule>
    <cfRule type="cellIs" dxfId="855" priority="1218" operator="equal">
      <formula>0</formula>
    </cfRule>
  </conditionalFormatting>
  <conditionalFormatting sqref="CG95">
    <cfRule type="cellIs" dxfId="854" priority="1174" operator="equal">
      <formula>2</formula>
    </cfRule>
    <cfRule type="cellIs" dxfId="853" priority="1175" operator="equal">
      <formula>1</formula>
    </cfRule>
    <cfRule type="cellIs" dxfId="852" priority="1176" operator="equal">
      <formula>0</formula>
    </cfRule>
  </conditionalFormatting>
  <conditionalFormatting sqref="M68">
    <cfRule type="cellIs" dxfId="851" priority="1336" operator="equal">
      <formula>2</formula>
    </cfRule>
    <cfRule type="cellIs" dxfId="850" priority="1337" operator="equal">
      <formula>1</formula>
    </cfRule>
    <cfRule type="cellIs" dxfId="849" priority="1338" operator="equal">
      <formula>0</formula>
    </cfRule>
  </conditionalFormatting>
  <conditionalFormatting sqref="G40">
    <cfRule type="cellIs" dxfId="848" priority="1297" operator="equal">
      <formula>2</formula>
    </cfRule>
    <cfRule type="cellIs" dxfId="847" priority="1298" operator="equal">
      <formula>1</formula>
    </cfRule>
    <cfRule type="cellIs" dxfId="846" priority="1299" operator="equal">
      <formula>0</formula>
    </cfRule>
  </conditionalFormatting>
  <conditionalFormatting sqref="M40">
    <cfRule type="cellIs" dxfId="845" priority="1294" operator="equal">
      <formula>2</formula>
    </cfRule>
    <cfRule type="cellIs" dxfId="844" priority="1295" operator="equal">
      <formula>1</formula>
    </cfRule>
    <cfRule type="cellIs" dxfId="843" priority="1296" operator="equal">
      <formula>0</formula>
    </cfRule>
  </conditionalFormatting>
  <conditionalFormatting sqref="AQ94">
    <cfRule type="cellIs" dxfId="842" priority="1237" operator="equal">
      <formula>2</formula>
    </cfRule>
    <cfRule type="cellIs" dxfId="841" priority="1238" operator="equal">
      <formula>1</formula>
    </cfRule>
    <cfRule type="cellIs" dxfId="840" priority="1239" operator="equal">
      <formula>0</formula>
    </cfRule>
  </conditionalFormatting>
  <conditionalFormatting sqref="BC94">
    <cfRule type="cellIs" dxfId="839" priority="1231" operator="equal">
      <formula>2</formula>
    </cfRule>
    <cfRule type="cellIs" dxfId="838" priority="1232" operator="equal">
      <formula>1</formula>
    </cfRule>
    <cfRule type="cellIs" dxfId="837" priority="1233" operator="equal">
      <formula>0</formula>
    </cfRule>
  </conditionalFormatting>
  <conditionalFormatting sqref="BO94">
    <cfRule type="cellIs" dxfId="836" priority="1225" operator="equal">
      <formula>2</formula>
    </cfRule>
    <cfRule type="cellIs" dxfId="835" priority="1226" operator="equal">
      <formula>1</formula>
    </cfRule>
    <cfRule type="cellIs" dxfId="834" priority="1227" operator="equal">
      <formula>0</formula>
    </cfRule>
  </conditionalFormatting>
  <conditionalFormatting sqref="G95">
    <cfRule type="cellIs" dxfId="833" priority="1213" operator="equal">
      <formula>2</formula>
    </cfRule>
    <cfRule type="cellIs" dxfId="832" priority="1214" operator="equal">
      <formula>1</formula>
    </cfRule>
    <cfRule type="cellIs" dxfId="831" priority="1215" operator="equal">
      <formula>0</formula>
    </cfRule>
  </conditionalFormatting>
  <conditionalFormatting sqref="AQ95">
    <cfRule type="cellIs" dxfId="830" priority="1195" operator="equal">
      <formula>2</formula>
    </cfRule>
    <cfRule type="cellIs" dxfId="829" priority="1196" operator="equal">
      <formula>1</formula>
    </cfRule>
    <cfRule type="cellIs" dxfId="828" priority="1197" operator="equal">
      <formula>0</formula>
    </cfRule>
  </conditionalFormatting>
  <conditionalFormatting sqref="BC95">
    <cfRule type="cellIs" dxfId="827" priority="1189" operator="equal">
      <formula>2</formula>
    </cfRule>
    <cfRule type="cellIs" dxfId="826" priority="1190" operator="equal">
      <formula>1</formula>
    </cfRule>
    <cfRule type="cellIs" dxfId="825" priority="1191" operator="equal">
      <formula>0</formula>
    </cfRule>
  </conditionalFormatting>
  <conditionalFormatting sqref="BO95">
    <cfRule type="cellIs" dxfId="824" priority="1183" operator="equal">
      <formula>2</formula>
    </cfRule>
    <cfRule type="cellIs" dxfId="823" priority="1184" operator="equal">
      <formula>1</formula>
    </cfRule>
    <cfRule type="cellIs" dxfId="822" priority="1185" operator="equal">
      <formula>0</formula>
    </cfRule>
  </conditionalFormatting>
  <conditionalFormatting sqref="S66:S69 AK66:AL66 AK67:AK69 BI67:BI69 BO67:BO69 BU67:BU69 AQ67:AQ69 BC67:BC69 AW67:AW69 BC66:BD66 BI66:BJ66 BO66:BP66 BU66:BV66 CB66:CC66 AE66:AE69 CC67:CC69 CE66:CG69">
    <cfRule type="cellIs" dxfId="821" priority="1129" operator="equal">
      <formula>2</formula>
    </cfRule>
    <cfRule type="cellIs" dxfId="820" priority="1130" operator="equal">
      <formula>1</formula>
    </cfRule>
    <cfRule type="cellIs" dxfId="819" priority="1131" operator="equal">
      <formula>0</formula>
    </cfRule>
  </conditionalFormatting>
  <conditionalFormatting sqref="G115">
    <cfRule type="cellIs" dxfId="818" priority="1171" operator="equal">
      <formula>2</formula>
    </cfRule>
    <cfRule type="cellIs" dxfId="817" priority="1172" operator="equal">
      <formula>1</formula>
    </cfRule>
    <cfRule type="cellIs" dxfId="816" priority="1173" operator="equal">
      <formula>0</formula>
    </cfRule>
  </conditionalFormatting>
  <conditionalFormatting sqref="AE140:AE142 AK140:AK142 CC141:CC142 AW141:AW142 BC141:BC142 BI141:BI142 BO141:BO142 BU141:BU142 AQ141:AQ142 BC140:BD140 BI140:BJ140 BO140:BP140 BU140:BV140 CB140:CC140 CF140:CG142">
    <cfRule type="cellIs" dxfId="815" priority="1126" operator="equal">
      <formula>2</formula>
    </cfRule>
    <cfRule type="cellIs" dxfId="814" priority="1127" operator="equal">
      <formula>1</formula>
    </cfRule>
    <cfRule type="cellIs" dxfId="813" priority="1128" operator="equal">
      <formula>0</formula>
    </cfRule>
  </conditionalFormatting>
  <conditionalFormatting sqref="M185:M187 S185:S187 AK185:AK187 BC186:BC187 BI186:BI187 BO186:BO187 AQ186:AQ187 AW186:AW187 BC185:BD185 BI185:BJ185 BO185:BP185 BU185:BV185 CB185:CC185 BU186:BU187 AE185:AE187 CC186:CC187 CE185:CG187">
    <cfRule type="cellIs" dxfId="812" priority="1123" operator="equal">
      <formula>2</formula>
    </cfRule>
    <cfRule type="cellIs" dxfId="811" priority="1124" operator="equal">
      <formula>1</formula>
    </cfRule>
    <cfRule type="cellIs" dxfId="810" priority="1125" operator="equal">
      <formula>0</formula>
    </cfRule>
  </conditionalFormatting>
  <conditionalFormatting sqref="S92:S96 AE92:AE96">
    <cfRule type="cellIs" dxfId="809" priority="1111" operator="equal">
      <formula>2</formula>
    </cfRule>
    <cfRule type="cellIs" dxfId="808" priority="1112" operator="equal">
      <formula>1</formula>
    </cfRule>
    <cfRule type="cellIs" dxfId="807" priority="1113" operator="equal">
      <formula>0</formula>
    </cfRule>
  </conditionalFormatting>
  <conditionalFormatting sqref="S114:S116 AE114:AE116">
    <cfRule type="cellIs" dxfId="806" priority="1108" operator="equal">
      <formula>2</formula>
    </cfRule>
    <cfRule type="cellIs" dxfId="805" priority="1109" operator="equal">
      <formula>1</formula>
    </cfRule>
    <cfRule type="cellIs" dxfId="804" priority="1110" operator="equal">
      <formula>0</formula>
    </cfRule>
  </conditionalFormatting>
  <conditionalFormatting sqref="CC115:CG116 BC115:BC116 BO115:BO116 AQ115:AQ116 BC114:BD114 BO114:BP114 CB114:CG114">
    <cfRule type="cellIs" dxfId="803" priority="1105" operator="equal">
      <formula>2</formula>
    </cfRule>
    <cfRule type="cellIs" dxfId="802" priority="1106" operator="equal">
      <formula>1</formula>
    </cfRule>
    <cfRule type="cellIs" dxfId="801" priority="1107" operator="equal">
      <formula>0</formula>
    </cfRule>
  </conditionalFormatting>
  <conditionalFormatting sqref="M163:M165 S163:S165 BC164:BC165 BI164:BI165 BO164:BO165 BU164:BU165 AQ164:AQ165 AW164:AW165 BC163:BD163 BI163:BJ163 BO163:BP163 BU163:BV163 CB163:CC163 AE163:AE165 AK163:AK165 CC164:CC165 CE163:CG165">
    <cfRule type="cellIs" dxfId="800" priority="1102" operator="equal">
      <formula>2</formula>
    </cfRule>
    <cfRule type="cellIs" dxfId="799" priority="1103" operator="equal">
      <formula>1</formula>
    </cfRule>
    <cfRule type="cellIs" dxfId="798" priority="1104" operator="equal">
      <formula>0</formula>
    </cfRule>
  </conditionalFormatting>
  <conditionalFormatting sqref="M92">
    <cfRule type="cellIs" dxfId="797" priority="1099" operator="equal">
      <formula>2</formula>
    </cfRule>
    <cfRule type="cellIs" dxfId="796" priority="1100" operator="equal">
      <formula>1</formula>
    </cfRule>
    <cfRule type="cellIs" dxfId="795" priority="1101" operator="equal">
      <formula>0</formula>
    </cfRule>
  </conditionalFormatting>
  <conditionalFormatting sqref="M93">
    <cfRule type="cellIs" dxfId="794" priority="1096" operator="equal">
      <formula>2</formula>
    </cfRule>
    <cfRule type="cellIs" dxfId="793" priority="1097" operator="equal">
      <formula>1</formula>
    </cfRule>
    <cfRule type="cellIs" dxfId="792" priority="1098" operator="equal">
      <formula>0</formula>
    </cfRule>
  </conditionalFormatting>
  <conditionalFormatting sqref="M94">
    <cfRule type="cellIs" dxfId="791" priority="1093" operator="equal">
      <formula>2</formula>
    </cfRule>
    <cfRule type="cellIs" dxfId="790" priority="1094" operator="equal">
      <formula>1</formula>
    </cfRule>
    <cfRule type="cellIs" dxfId="789" priority="1095" operator="equal">
      <formula>0</formula>
    </cfRule>
  </conditionalFormatting>
  <conditionalFormatting sqref="M95">
    <cfRule type="cellIs" dxfId="788" priority="1090" operator="equal">
      <formula>2</formula>
    </cfRule>
    <cfRule type="cellIs" dxfId="787" priority="1091" operator="equal">
      <formula>1</formula>
    </cfRule>
    <cfRule type="cellIs" dxfId="786" priority="1092" operator="equal">
      <formula>0</formula>
    </cfRule>
  </conditionalFormatting>
  <conditionalFormatting sqref="M96">
    <cfRule type="cellIs" dxfId="785" priority="1087" operator="equal">
      <formula>2</formula>
    </cfRule>
    <cfRule type="cellIs" dxfId="784" priority="1088" operator="equal">
      <formula>1</formula>
    </cfRule>
    <cfRule type="cellIs" dxfId="783" priority="1089" operator="equal">
      <formula>0</formula>
    </cfRule>
  </conditionalFormatting>
  <conditionalFormatting sqref="AK114">
    <cfRule type="cellIs" dxfId="782" priority="937" operator="equal">
      <formula>2</formula>
    </cfRule>
    <cfRule type="cellIs" dxfId="781" priority="938" operator="equal">
      <formula>1</formula>
    </cfRule>
    <cfRule type="cellIs" dxfId="780" priority="939" operator="equal">
      <formula>0</formula>
    </cfRule>
  </conditionalFormatting>
  <conditionalFormatting sqref="AK115">
    <cfRule type="cellIs" dxfId="779" priority="934" operator="equal">
      <formula>2</formula>
    </cfRule>
    <cfRule type="cellIs" dxfId="778" priority="935" operator="equal">
      <formula>1</formula>
    </cfRule>
    <cfRule type="cellIs" dxfId="777" priority="936" operator="equal">
      <formula>0</formula>
    </cfRule>
  </conditionalFormatting>
  <conditionalFormatting sqref="AK116">
    <cfRule type="cellIs" dxfId="776" priority="931" operator="equal">
      <formula>2</formula>
    </cfRule>
    <cfRule type="cellIs" dxfId="775" priority="932" operator="equal">
      <formula>1</formula>
    </cfRule>
    <cfRule type="cellIs" dxfId="774" priority="933" operator="equal">
      <formula>0</formula>
    </cfRule>
  </conditionalFormatting>
  <conditionalFormatting sqref="AK109">
    <cfRule type="cellIs" dxfId="773" priority="928" operator="equal">
      <formula>2</formula>
    </cfRule>
    <cfRule type="cellIs" dxfId="772" priority="929" operator="equal">
      <formula>1</formula>
    </cfRule>
    <cfRule type="cellIs" dxfId="771" priority="930" operator="equal">
      <formula>0</formula>
    </cfRule>
  </conditionalFormatting>
  <conditionalFormatting sqref="AK110">
    <cfRule type="cellIs" dxfId="770" priority="925" operator="equal">
      <formula>2</formula>
    </cfRule>
    <cfRule type="cellIs" dxfId="769" priority="926" operator="equal">
      <formula>1</formula>
    </cfRule>
    <cfRule type="cellIs" dxfId="768" priority="927" operator="equal">
      <formula>0</formula>
    </cfRule>
  </conditionalFormatting>
  <conditionalFormatting sqref="AK111">
    <cfRule type="cellIs" dxfId="767" priority="922" operator="equal">
      <formula>2</formula>
    </cfRule>
    <cfRule type="cellIs" dxfId="766" priority="923" operator="equal">
      <formula>1</formula>
    </cfRule>
    <cfRule type="cellIs" dxfId="765" priority="924" operator="equal">
      <formula>0</formula>
    </cfRule>
  </conditionalFormatting>
  <conditionalFormatting sqref="AK112">
    <cfRule type="cellIs" dxfId="764" priority="919" operator="equal">
      <formula>2</formula>
    </cfRule>
    <cfRule type="cellIs" dxfId="763" priority="920" operator="equal">
      <formula>1</formula>
    </cfRule>
    <cfRule type="cellIs" dxfId="762" priority="921" operator="equal">
      <formula>0</formula>
    </cfRule>
  </conditionalFormatting>
  <conditionalFormatting sqref="AK113">
    <cfRule type="cellIs" dxfId="761" priority="916" operator="equal">
      <formula>2</formula>
    </cfRule>
    <cfRule type="cellIs" dxfId="760" priority="917" operator="equal">
      <formula>1</formula>
    </cfRule>
    <cfRule type="cellIs" dxfId="759" priority="918" operator="equal">
      <formula>0</formula>
    </cfRule>
  </conditionalFormatting>
  <conditionalFormatting sqref="AK104">
    <cfRule type="cellIs" dxfId="758" priority="913" operator="equal">
      <formula>2</formula>
    </cfRule>
    <cfRule type="cellIs" dxfId="757" priority="914" operator="equal">
      <formula>1</formula>
    </cfRule>
    <cfRule type="cellIs" dxfId="756" priority="915" operator="equal">
      <formula>0</formula>
    </cfRule>
  </conditionalFormatting>
  <conditionalFormatting sqref="AK105">
    <cfRule type="cellIs" dxfId="755" priority="910" operator="equal">
      <formula>2</formula>
    </cfRule>
    <cfRule type="cellIs" dxfId="754" priority="911" operator="equal">
      <formula>1</formula>
    </cfRule>
    <cfRule type="cellIs" dxfId="753" priority="912" operator="equal">
      <formula>0</formula>
    </cfRule>
  </conditionalFormatting>
  <conditionalFormatting sqref="AK106">
    <cfRule type="cellIs" dxfId="752" priority="907" operator="equal">
      <formula>2</formula>
    </cfRule>
    <cfRule type="cellIs" dxfId="751" priority="908" operator="equal">
      <formula>1</formula>
    </cfRule>
    <cfRule type="cellIs" dxfId="750" priority="909" operator="equal">
      <formula>0</formula>
    </cfRule>
  </conditionalFormatting>
  <conditionalFormatting sqref="AK108">
    <cfRule type="cellIs" dxfId="749" priority="904" operator="equal">
      <formula>2</formula>
    </cfRule>
    <cfRule type="cellIs" dxfId="748" priority="905" operator="equal">
      <formula>1</formula>
    </cfRule>
    <cfRule type="cellIs" dxfId="747" priority="906" operator="equal">
      <formula>0</formula>
    </cfRule>
  </conditionalFormatting>
  <conditionalFormatting sqref="AK107">
    <cfRule type="cellIs" dxfId="746" priority="901" operator="equal">
      <formula>2</formula>
    </cfRule>
    <cfRule type="cellIs" dxfId="745" priority="902" operator="equal">
      <formula>1</formula>
    </cfRule>
    <cfRule type="cellIs" dxfId="744" priority="903" operator="equal">
      <formula>0</formula>
    </cfRule>
  </conditionalFormatting>
  <conditionalFormatting sqref="AK101">
    <cfRule type="cellIs" dxfId="743" priority="898" operator="equal">
      <formula>2</formula>
    </cfRule>
    <cfRule type="cellIs" dxfId="742" priority="899" operator="equal">
      <formula>1</formula>
    </cfRule>
    <cfRule type="cellIs" dxfId="741" priority="900" operator="equal">
      <formula>0</formula>
    </cfRule>
  </conditionalFormatting>
  <conditionalFormatting sqref="AK102">
    <cfRule type="cellIs" dxfId="740" priority="895" operator="equal">
      <formula>2</formula>
    </cfRule>
    <cfRule type="cellIs" dxfId="739" priority="896" operator="equal">
      <formula>1</formula>
    </cfRule>
    <cfRule type="cellIs" dxfId="738" priority="897" operator="equal">
      <formula>0</formula>
    </cfRule>
  </conditionalFormatting>
  <conditionalFormatting sqref="AK103">
    <cfRule type="cellIs" dxfId="737" priority="892" operator="equal">
      <formula>2</formula>
    </cfRule>
    <cfRule type="cellIs" dxfId="736" priority="893" operator="equal">
      <formula>1</formula>
    </cfRule>
    <cfRule type="cellIs" dxfId="735" priority="894" operator="equal">
      <formula>0</formula>
    </cfRule>
  </conditionalFormatting>
  <conditionalFormatting sqref="AK98">
    <cfRule type="cellIs" dxfId="734" priority="889" operator="equal">
      <formula>2</formula>
    </cfRule>
    <cfRule type="cellIs" dxfId="733" priority="890" operator="equal">
      <formula>1</formula>
    </cfRule>
    <cfRule type="cellIs" dxfId="732" priority="891" operator="equal">
      <formula>0</formula>
    </cfRule>
  </conditionalFormatting>
  <conditionalFormatting sqref="AK99">
    <cfRule type="cellIs" dxfId="731" priority="886" operator="equal">
      <formula>2</formula>
    </cfRule>
    <cfRule type="cellIs" dxfId="730" priority="887" operator="equal">
      <formula>1</formula>
    </cfRule>
    <cfRule type="cellIs" dxfId="729" priority="888" operator="equal">
      <formula>0</formula>
    </cfRule>
  </conditionalFormatting>
  <conditionalFormatting sqref="AK100">
    <cfRule type="cellIs" dxfId="728" priority="883" operator="equal">
      <formula>2</formula>
    </cfRule>
    <cfRule type="cellIs" dxfId="727" priority="884" operator="equal">
      <formula>1</formula>
    </cfRule>
    <cfRule type="cellIs" dxfId="726" priority="885" operator="equal">
      <formula>0</formula>
    </cfRule>
  </conditionalFormatting>
  <conditionalFormatting sqref="AK92">
    <cfRule type="cellIs" dxfId="725" priority="880" operator="equal">
      <formula>2</formula>
    </cfRule>
    <cfRule type="cellIs" dxfId="724" priority="881" operator="equal">
      <formula>1</formula>
    </cfRule>
    <cfRule type="cellIs" dxfId="723" priority="882" operator="equal">
      <formula>0</formula>
    </cfRule>
  </conditionalFormatting>
  <conditionalFormatting sqref="AK93">
    <cfRule type="cellIs" dxfId="722" priority="877" operator="equal">
      <formula>2</formula>
    </cfRule>
    <cfRule type="cellIs" dxfId="721" priority="878" operator="equal">
      <formula>1</formula>
    </cfRule>
    <cfRule type="cellIs" dxfId="720" priority="879" operator="equal">
      <formula>0</formula>
    </cfRule>
  </conditionalFormatting>
  <conditionalFormatting sqref="AK94">
    <cfRule type="cellIs" dxfId="719" priority="874" operator="equal">
      <formula>2</formula>
    </cfRule>
    <cfRule type="cellIs" dxfId="718" priority="875" operator="equal">
      <formula>1</formula>
    </cfRule>
    <cfRule type="cellIs" dxfId="717" priority="876" operator="equal">
      <formula>0</formula>
    </cfRule>
  </conditionalFormatting>
  <conditionalFormatting sqref="AK95">
    <cfRule type="cellIs" dxfId="716" priority="871" operator="equal">
      <formula>2</formula>
    </cfRule>
    <cfRule type="cellIs" dxfId="715" priority="872" operator="equal">
      <formula>1</formula>
    </cfRule>
    <cfRule type="cellIs" dxfId="714" priority="873" operator="equal">
      <formula>0</formula>
    </cfRule>
  </conditionalFormatting>
  <conditionalFormatting sqref="AK96">
    <cfRule type="cellIs" dxfId="713" priority="868" operator="equal">
      <formula>2</formula>
    </cfRule>
    <cfRule type="cellIs" dxfId="712" priority="869" operator="equal">
      <formula>1</formula>
    </cfRule>
    <cfRule type="cellIs" dxfId="711" priority="870" operator="equal">
      <formula>0</formula>
    </cfRule>
  </conditionalFormatting>
  <conditionalFormatting sqref="AK87">
    <cfRule type="cellIs" dxfId="710" priority="865" operator="equal">
      <formula>2</formula>
    </cfRule>
    <cfRule type="cellIs" dxfId="709" priority="866" operator="equal">
      <formula>1</formula>
    </cfRule>
    <cfRule type="cellIs" dxfId="708" priority="867" operator="equal">
      <formula>0</formula>
    </cfRule>
  </conditionalFormatting>
  <conditionalFormatting sqref="AK88">
    <cfRule type="cellIs" dxfId="707" priority="862" operator="equal">
      <formula>2</formula>
    </cfRule>
    <cfRule type="cellIs" dxfId="706" priority="863" operator="equal">
      <formula>1</formula>
    </cfRule>
    <cfRule type="cellIs" dxfId="705" priority="864" operator="equal">
      <formula>0</formula>
    </cfRule>
  </conditionalFormatting>
  <conditionalFormatting sqref="AK89">
    <cfRule type="cellIs" dxfId="704" priority="859" operator="equal">
      <formula>2</formula>
    </cfRule>
    <cfRule type="cellIs" dxfId="703" priority="860" operator="equal">
      <formula>1</formula>
    </cfRule>
    <cfRule type="cellIs" dxfId="702" priority="861" operator="equal">
      <formula>0</formula>
    </cfRule>
  </conditionalFormatting>
  <conditionalFormatting sqref="AK90">
    <cfRule type="cellIs" dxfId="701" priority="856" operator="equal">
      <formula>2</formula>
    </cfRule>
    <cfRule type="cellIs" dxfId="700" priority="857" operator="equal">
      <formula>1</formula>
    </cfRule>
    <cfRule type="cellIs" dxfId="699" priority="858" operator="equal">
      <formula>0</formula>
    </cfRule>
  </conditionalFormatting>
  <conditionalFormatting sqref="AK91">
    <cfRule type="cellIs" dxfId="698" priority="853" operator="equal">
      <formula>2</formula>
    </cfRule>
    <cfRule type="cellIs" dxfId="697" priority="854" operator="equal">
      <formula>1</formula>
    </cfRule>
    <cfRule type="cellIs" dxfId="696" priority="855" operator="equal">
      <formula>0</formula>
    </cfRule>
  </conditionalFormatting>
  <conditionalFormatting sqref="AK80">
    <cfRule type="cellIs" dxfId="695" priority="850" operator="equal">
      <formula>2</formula>
    </cfRule>
    <cfRule type="cellIs" dxfId="694" priority="851" operator="equal">
      <formula>1</formula>
    </cfRule>
    <cfRule type="cellIs" dxfId="693" priority="852" operator="equal">
      <formula>0</formula>
    </cfRule>
  </conditionalFormatting>
  <conditionalFormatting sqref="AK81">
    <cfRule type="cellIs" dxfId="692" priority="847" operator="equal">
      <formula>2</formula>
    </cfRule>
    <cfRule type="cellIs" dxfId="691" priority="848" operator="equal">
      <formula>1</formula>
    </cfRule>
    <cfRule type="cellIs" dxfId="690" priority="849" operator="equal">
      <formula>0</formula>
    </cfRule>
  </conditionalFormatting>
  <conditionalFormatting sqref="AK82">
    <cfRule type="cellIs" dxfId="689" priority="844" operator="equal">
      <formula>2</formula>
    </cfRule>
    <cfRule type="cellIs" dxfId="688" priority="845" operator="equal">
      <formula>1</formula>
    </cfRule>
    <cfRule type="cellIs" dxfId="687" priority="846" operator="equal">
      <formula>0</formula>
    </cfRule>
  </conditionalFormatting>
  <conditionalFormatting sqref="AK83">
    <cfRule type="cellIs" dxfId="686" priority="841" operator="equal">
      <formula>2</formula>
    </cfRule>
    <cfRule type="cellIs" dxfId="685" priority="842" operator="equal">
      <formula>1</formula>
    </cfRule>
    <cfRule type="cellIs" dxfId="684" priority="843" operator="equal">
      <formula>0</formula>
    </cfRule>
  </conditionalFormatting>
  <conditionalFormatting sqref="AK84">
    <cfRule type="cellIs" dxfId="683" priority="838" operator="equal">
      <formula>2</formula>
    </cfRule>
    <cfRule type="cellIs" dxfId="682" priority="839" operator="equal">
      <formula>1</formula>
    </cfRule>
    <cfRule type="cellIs" dxfId="681" priority="840" operator="equal">
      <formula>0</formula>
    </cfRule>
  </conditionalFormatting>
  <conditionalFormatting sqref="AK85">
    <cfRule type="cellIs" dxfId="680" priority="835" operator="equal">
      <formula>2</formula>
    </cfRule>
    <cfRule type="cellIs" dxfId="679" priority="836" operator="equal">
      <formula>1</formula>
    </cfRule>
    <cfRule type="cellIs" dxfId="678" priority="837" operator="equal">
      <formula>0</formula>
    </cfRule>
  </conditionalFormatting>
  <conditionalFormatting sqref="AK86">
    <cfRule type="cellIs" dxfId="677" priority="832" operator="equal">
      <formula>2</formula>
    </cfRule>
    <cfRule type="cellIs" dxfId="676" priority="833" operator="equal">
      <formula>1</formula>
    </cfRule>
    <cfRule type="cellIs" dxfId="675" priority="834" operator="equal">
      <formula>0</formula>
    </cfRule>
  </conditionalFormatting>
  <conditionalFormatting sqref="AK75">
    <cfRule type="cellIs" dxfId="674" priority="829" operator="equal">
      <formula>2</formula>
    </cfRule>
    <cfRule type="cellIs" dxfId="673" priority="830" operator="equal">
      <formula>1</formula>
    </cfRule>
    <cfRule type="cellIs" dxfId="672" priority="831" operator="equal">
      <formula>0</formula>
    </cfRule>
  </conditionalFormatting>
  <conditionalFormatting sqref="AK76">
    <cfRule type="cellIs" dxfId="671" priority="826" operator="equal">
      <formula>2</formula>
    </cfRule>
    <cfRule type="cellIs" dxfId="670" priority="827" operator="equal">
      <formula>1</formula>
    </cfRule>
    <cfRule type="cellIs" dxfId="669" priority="828" operator="equal">
      <formula>0</formula>
    </cfRule>
  </conditionalFormatting>
  <conditionalFormatting sqref="AK77">
    <cfRule type="cellIs" dxfId="668" priority="823" operator="equal">
      <formula>2</formula>
    </cfRule>
    <cfRule type="cellIs" dxfId="667" priority="824" operator="equal">
      <formula>1</formula>
    </cfRule>
    <cfRule type="cellIs" dxfId="666" priority="825" operator="equal">
      <formula>0</formula>
    </cfRule>
  </conditionalFormatting>
  <conditionalFormatting sqref="AK78">
    <cfRule type="cellIs" dxfId="665" priority="820" operator="equal">
      <formula>2</formula>
    </cfRule>
    <cfRule type="cellIs" dxfId="664" priority="821" operator="equal">
      <formula>1</formula>
    </cfRule>
    <cfRule type="cellIs" dxfId="663" priority="822" operator="equal">
      <formula>0</formula>
    </cfRule>
  </conditionalFormatting>
  <conditionalFormatting sqref="AK79">
    <cfRule type="cellIs" dxfId="662" priority="817" operator="equal">
      <formula>2</formula>
    </cfRule>
    <cfRule type="cellIs" dxfId="661" priority="818" operator="equal">
      <formula>1</formula>
    </cfRule>
    <cfRule type="cellIs" dxfId="660" priority="819" operator="equal">
      <formula>0</formula>
    </cfRule>
  </conditionalFormatting>
  <conditionalFormatting sqref="AK71">
    <cfRule type="cellIs" dxfId="659" priority="814" operator="equal">
      <formula>2</formula>
    </cfRule>
    <cfRule type="cellIs" dxfId="658" priority="815" operator="equal">
      <formula>1</formula>
    </cfRule>
    <cfRule type="cellIs" dxfId="657" priority="816" operator="equal">
      <formula>0</formula>
    </cfRule>
  </conditionalFormatting>
  <conditionalFormatting sqref="AK72">
    <cfRule type="cellIs" dxfId="656" priority="811" operator="equal">
      <formula>2</formula>
    </cfRule>
    <cfRule type="cellIs" dxfId="655" priority="812" operator="equal">
      <formula>1</formula>
    </cfRule>
    <cfRule type="cellIs" dxfId="654" priority="813" operator="equal">
      <formula>0</formula>
    </cfRule>
  </conditionalFormatting>
  <conditionalFormatting sqref="AK73">
    <cfRule type="cellIs" dxfId="653" priority="808" operator="equal">
      <formula>2</formula>
    </cfRule>
    <cfRule type="cellIs" dxfId="652" priority="809" operator="equal">
      <formula>1</formula>
    </cfRule>
    <cfRule type="cellIs" dxfId="651" priority="810" operator="equal">
      <formula>0</formula>
    </cfRule>
  </conditionalFormatting>
  <conditionalFormatting sqref="AK74">
    <cfRule type="cellIs" dxfId="650" priority="805" operator="equal">
      <formula>2</formula>
    </cfRule>
    <cfRule type="cellIs" dxfId="649" priority="806" operator="equal">
      <formula>1</formula>
    </cfRule>
    <cfRule type="cellIs" dxfId="648" priority="807" operator="equal">
      <formula>0</formula>
    </cfRule>
  </conditionalFormatting>
  <conditionalFormatting sqref="AW71">
    <cfRule type="cellIs" dxfId="647" priority="802" operator="equal">
      <formula>2</formula>
    </cfRule>
    <cfRule type="cellIs" dxfId="646" priority="803" operator="equal">
      <formula>1</formula>
    </cfRule>
    <cfRule type="cellIs" dxfId="645" priority="804" operator="equal">
      <formula>0</formula>
    </cfRule>
  </conditionalFormatting>
  <conditionalFormatting sqref="AW72">
    <cfRule type="cellIs" dxfId="644" priority="799" operator="equal">
      <formula>2</formula>
    </cfRule>
    <cfRule type="cellIs" dxfId="643" priority="800" operator="equal">
      <formula>1</formula>
    </cfRule>
    <cfRule type="cellIs" dxfId="642" priority="801" operator="equal">
      <formula>0</formula>
    </cfRule>
  </conditionalFormatting>
  <conditionalFormatting sqref="AW73">
    <cfRule type="cellIs" dxfId="641" priority="796" operator="equal">
      <formula>2</formula>
    </cfRule>
    <cfRule type="cellIs" dxfId="640" priority="797" operator="equal">
      <formula>1</formula>
    </cfRule>
    <cfRule type="cellIs" dxfId="639" priority="798" operator="equal">
      <formula>0</formula>
    </cfRule>
  </conditionalFormatting>
  <conditionalFormatting sqref="AW74">
    <cfRule type="cellIs" dxfId="638" priority="793" operator="equal">
      <formula>2</formula>
    </cfRule>
    <cfRule type="cellIs" dxfId="637" priority="794" operator="equal">
      <formula>1</formula>
    </cfRule>
    <cfRule type="cellIs" dxfId="636" priority="795" operator="equal">
      <formula>0</formula>
    </cfRule>
  </conditionalFormatting>
  <conditionalFormatting sqref="BU71">
    <cfRule type="cellIs" dxfId="635" priority="778" operator="equal">
      <formula>2</formula>
    </cfRule>
    <cfRule type="cellIs" dxfId="634" priority="779" operator="equal">
      <formula>1</formula>
    </cfRule>
    <cfRule type="cellIs" dxfId="633" priority="780" operator="equal">
      <formula>0</formula>
    </cfRule>
  </conditionalFormatting>
  <conditionalFormatting sqref="BU72">
    <cfRule type="cellIs" dxfId="632" priority="775" operator="equal">
      <formula>2</formula>
    </cfRule>
    <cfRule type="cellIs" dxfId="631" priority="776" operator="equal">
      <formula>1</formula>
    </cfRule>
    <cfRule type="cellIs" dxfId="630" priority="777" operator="equal">
      <formula>0</formula>
    </cfRule>
  </conditionalFormatting>
  <conditionalFormatting sqref="BU73">
    <cfRule type="cellIs" dxfId="629" priority="772" operator="equal">
      <formula>2</formula>
    </cfRule>
    <cfRule type="cellIs" dxfId="628" priority="773" operator="equal">
      <formula>1</formula>
    </cfRule>
    <cfRule type="cellIs" dxfId="627" priority="774" operator="equal">
      <formula>0</formula>
    </cfRule>
  </conditionalFormatting>
  <conditionalFormatting sqref="BU74">
    <cfRule type="cellIs" dxfId="626" priority="769" operator="equal">
      <formula>2</formula>
    </cfRule>
    <cfRule type="cellIs" dxfId="625" priority="770" operator="equal">
      <formula>1</formula>
    </cfRule>
    <cfRule type="cellIs" dxfId="624" priority="771" operator="equal">
      <formula>0</formula>
    </cfRule>
  </conditionalFormatting>
  <conditionalFormatting sqref="AW75">
    <cfRule type="cellIs" dxfId="623" priority="766" operator="equal">
      <formula>2</formula>
    </cfRule>
    <cfRule type="cellIs" dxfId="622" priority="767" operator="equal">
      <formula>1</formula>
    </cfRule>
    <cfRule type="cellIs" dxfId="621" priority="768" operator="equal">
      <formula>0</formula>
    </cfRule>
  </conditionalFormatting>
  <conditionalFormatting sqref="AW76">
    <cfRule type="cellIs" dxfId="620" priority="763" operator="equal">
      <formula>2</formula>
    </cfRule>
    <cfRule type="cellIs" dxfId="619" priority="764" operator="equal">
      <formula>1</formula>
    </cfRule>
    <cfRule type="cellIs" dxfId="618" priority="765" operator="equal">
      <formula>0</formula>
    </cfRule>
  </conditionalFormatting>
  <conditionalFormatting sqref="AW77">
    <cfRule type="cellIs" dxfId="617" priority="760" operator="equal">
      <formula>2</formula>
    </cfRule>
    <cfRule type="cellIs" dxfId="616" priority="761" operator="equal">
      <formula>1</formula>
    </cfRule>
    <cfRule type="cellIs" dxfId="615" priority="762" operator="equal">
      <formula>0</formula>
    </cfRule>
  </conditionalFormatting>
  <conditionalFormatting sqref="AW78">
    <cfRule type="cellIs" dxfId="614" priority="757" operator="equal">
      <formula>2</formula>
    </cfRule>
    <cfRule type="cellIs" dxfId="613" priority="758" operator="equal">
      <formula>1</formula>
    </cfRule>
    <cfRule type="cellIs" dxfId="612" priority="759" operator="equal">
      <formula>0</formula>
    </cfRule>
  </conditionalFormatting>
  <conditionalFormatting sqref="AW79">
    <cfRule type="cellIs" dxfId="611" priority="754" operator="equal">
      <formula>2</formula>
    </cfRule>
    <cfRule type="cellIs" dxfId="610" priority="755" operator="equal">
      <formula>1</formula>
    </cfRule>
    <cfRule type="cellIs" dxfId="609" priority="756" operator="equal">
      <formula>0</formula>
    </cfRule>
  </conditionalFormatting>
  <conditionalFormatting sqref="BU75">
    <cfRule type="cellIs" dxfId="608" priority="736" operator="equal">
      <formula>2</formula>
    </cfRule>
    <cfRule type="cellIs" dxfId="607" priority="737" operator="equal">
      <formula>1</formula>
    </cfRule>
    <cfRule type="cellIs" dxfId="606" priority="738" operator="equal">
      <formula>0</formula>
    </cfRule>
  </conditionalFormatting>
  <conditionalFormatting sqref="BU76">
    <cfRule type="cellIs" dxfId="605" priority="733" operator="equal">
      <formula>2</formula>
    </cfRule>
    <cfRule type="cellIs" dxfId="604" priority="734" operator="equal">
      <formula>1</formula>
    </cfRule>
    <cfRule type="cellIs" dxfId="603" priority="735" operator="equal">
      <formula>0</formula>
    </cfRule>
  </conditionalFormatting>
  <conditionalFormatting sqref="BU77">
    <cfRule type="cellIs" dxfId="602" priority="730" operator="equal">
      <formula>2</formula>
    </cfRule>
    <cfRule type="cellIs" dxfId="601" priority="731" operator="equal">
      <formula>1</formula>
    </cfRule>
    <cfRule type="cellIs" dxfId="600" priority="732" operator="equal">
      <formula>0</formula>
    </cfRule>
  </conditionalFormatting>
  <conditionalFormatting sqref="BU78">
    <cfRule type="cellIs" dxfId="599" priority="727" operator="equal">
      <formula>2</formula>
    </cfRule>
    <cfRule type="cellIs" dxfId="598" priority="728" operator="equal">
      <formula>1</formula>
    </cfRule>
    <cfRule type="cellIs" dxfId="597" priority="729" operator="equal">
      <formula>0</formula>
    </cfRule>
  </conditionalFormatting>
  <conditionalFormatting sqref="BU79">
    <cfRule type="cellIs" dxfId="596" priority="724" operator="equal">
      <formula>2</formula>
    </cfRule>
    <cfRule type="cellIs" dxfId="595" priority="725" operator="equal">
      <formula>1</formula>
    </cfRule>
    <cfRule type="cellIs" dxfId="594" priority="726" operator="equal">
      <formula>0</formula>
    </cfRule>
  </conditionalFormatting>
  <conditionalFormatting sqref="AW80">
    <cfRule type="cellIs" dxfId="593" priority="721" operator="equal">
      <formula>2</formula>
    </cfRule>
    <cfRule type="cellIs" dxfId="592" priority="722" operator="equal">
      <formula>1</formula>
    </cfRule>
    <cfRule type="cellIs" dxfId="591" priority="723" operator="equal">
      <formula>0</formula>
    </cfRule>
  </conditionalFormatting>
  <conditionalFormatting sqref="AW81">
    <cfRule type="cellIs" dxfId="590" priority="718" operator="equal">
      <formula>2</formula>
    </cfRule>
    <cfRule type="cellIs" dxfId="589" priority="719" operator="equal">
      <formula>1</formula>
    </cfRule>
    <cfRule type="cellIs" dxfId="588" priority="720" operator="equal">
      <formula>0</formula>
    </cfRule>
  </conditionalFormatting>
  <conditionalFormatting sqref="AW82">
    <cfRule type="cellIs" dxfId="587" priority="715" operator="equal">
      <formula>2</formula>
    </cfRule>
    <cfRule type="cellIs" dxfId="586" priority="716" operator="equal">
      <formula>1</formula>
    </cfRule>
    <cfRule type="cellIs" dxfId="585" priority="717" operator="equal">
      <formula>0</formula>
    </cfRule>
  </conditionalFormatting>
  <conditionalFormatting sqref="AW83">
    <cfRule type="cellIs" dxfId="584" priority="712" operator="equal">
      <formula>2</formula>
    </cfRule>
    <cfRule type="cellIs" dxfId="583" priority="713" operator="equal">
      <formula>1</formula>
    </cfRule>
    <cfRule type="cellIs" dxfId="582" priority="714" operator="equal">
      <formula>0</formula>
    </cfRule>
  </conditionalFormatting>
  <conditionalFormatting sqref="AW84">
    <cfRule type="cellIs" dxfId="581" priority="709" operator="equal">
      <formula>2</formula>
    </cfRule>
    <cfRule type="cellIs" dxfId="580" priority="710" operator="equal">
      <formula>1</formula>
    </cfRule>
    <cfRule type="cellIs" dxfId="579" priority="711" operator="equal">
      <formula>0</formula>
    </cfRule>
  </conditionalFormatting>
  <conditionalFormatting sqref="AW85">
    <cfRule type="cellIs" dxfId="578" priority="706" operator="equal">
      <formula>2</formula>
    </cfRule>
    <cfRule type="cellIs" dxfId="577" priority="707" operator="equal">
      <formula>1</formula>
    </cfRule>
    <cfRule type="cellIs" dxfId="576" priority="708" operator="equal">
      <formula>0</formula>
    </cfRule>
  </conditionalFormatting>
  <conditionalFormatting sqref="AW86">
    <cfRule type="cellIs" dxfId="575" priority="703" operator="equal">
      <formula>2</formula>
    </cfRule>
    <cfRule type="cellIs" dxfId="574" priority="704" operator="equal">
      <formula>1</formula>
    </cfRule>
    <cfRule type="cellIs" dxfId="573" priority="705" operator="equal">
      <formula>0</formula>
    </cfRule>
  </conditionalFormatting>
  <conditionalFormatting sqref="BU80">
    <cfRule type="cellIs" dxfId="572" priority="679" operator="equal">
      <formula>2</formula>
    </cfRule>
    <cfRule type="cellIs" dxfId="571" priority="680" operator="equal">
      <formula>1</formula>
    </cfRule>
    <cfRule type="cellIs" dxfId="570" priority="681" operator="equal">
      <formula>0</formula>
    </cfRule>
  </conditionalFormatting>
  <conditionalFormatting sqref="BU81">
    <cfRule type="cellIs" dxfId="569" priority="676" operator="equal">
      <formula>2</formula>
    </cfRule>
    <cfRule type="cellIs" dxfId="568" priority="677" operator="equal">
      <formula>1</formula>
    </cfRule>
    <cfRule type="cellIs" dxfId="567" priority="678" operator="equal">
      <formula>0</formula>
    </cfRule>
  </conditionalFormatting>
  <conditionalFormatting sqref="BU82">
    <cfRule type="cellIs" dxfId="566" priority="673" operator="equal">
      <formula>2</formula>
    </cfRule>
    <cfRule type="cellIs" dxfId="565" priority="674" operator="equal">
      <formula>1</formula>
    </cfRule>
    <cfRule type="cellIs" dxfId="564" priority="675" operator="equal">
      <formula>0</formula>
    </cfRule>
  </conditionalFormatting>
  <conditionalFormatting sqref="BU83">
    <cfRule type="cellIs" dxfId="563" priority="670" operator="equal">
      <formula>2</formula>
    </cfRule>
    <cfRule type="cellIs" dxfId="562" priority="671" operator="equal">
      <formula>1</formula>
    </cfRule>
    <cfRule type="cellIs" dxfId="561" priority="672" operator="equal">
      <formula>0</formula>
    </cfRule>
  </conditionalFormatting>
  <conditionalFormatting sqref="BU84">
    <cfRule type="cellIs" dxfId="560" priority="667" operator="equal">
      <formula>2</formula>
    </cfRule>
    <cfRule type="cellIs" dxfId="559" priority="668" operator="equal">
      <formula>1</formula>
    </cfRule>
    <cfRule type="cellIs" dxfId="558" priority="669" operator="equal">
      <formula>0</formula>
    </cfRule>
  </conditionalFormatting>
  <conditionalFormatting sqref="BU85">
    <cfRule type="cellIs" dxfId="557" priority="664" operator="equal">
      <formula>2</formula>
    </cfRule>
    <cfRule type="cellIs" dxfId="556" priority="665" operator="equal">
      <formula>1</formula>
    </cfRule>
    <cfRule type="cellIs" dxfId="555" priority="666" operator="equal">
      <formula>0</formula>
    </cfRule>
  </conditionalFormatting>
  <conditionalFormatting sqref="BU86">
    <cfRule type="cellIs" dxfId="554" priority="661" operator="equal">
      <formula>2</formula>
    </cfRule>
    <cfRule type="cellIs" dxfId="553" priority="662" operator="equal">
      <formula>1</formula>
    </cfRule>
    <cfRule type="cellIs" dxfId="552" priority="663" operator="equal">
      <formula>0</formula>
    </cfRule>
  </conditionalFormatting>
  <conditionalFormatting sqref="AW87">
    <cfRule type="cellIs" dxfId="551" priority="658" operator="equal">
      <formula>2</formula>
    </cfRule>
    <cfRule type="cellIs" dxfId="550" priority="659" operator="equal">
      <formula>1</formula>
    </cfRule>
    <cfRule type="cellIs" dxfId="549" priority="660" operator="equal">
      <formula>0</formula>
    </cfRule>
  </conditionalFormatting>
  <conditionalFormatting sqref="AW88">
    <cfRule type="cellIs" dxfId="548" priority="655" operator="equal">
      <formula>2</formula>
    </cfRule>
    <cfRule type="cellIs" dxfId="547" priority="656" operator="equal">
      <formula>1</formula>
    </cfRule>
    <cfRule type="cellIs" dxfId="546" priority="657" operator="equal">
      <formula>0</formula>
    </cfRule>
  </conditionalFormatting>
  <conditionalFormatting sqref="AW89">
    <cfRule type="cellIs" dxfId="545" priority="652" operator="equal">
      <formula>2</formula>
    </cfRule>
    <cfRule type="cellIs" dxfId="544" priority="653" operator="equal">
      <formula>1</formula>
    </cfRule>
    <cfRule type="cellIs" dxfId="543" priority="654" operator="equal">
      <formula>0</formula>
    </cfRule>
  </conditionalFormatting>
  <conditionalFormatting sqref="AW90">
    <cfRule type="cellIs" dxfId="542" priority="649" operator="equal">
      <formula>2</formula>
    </cfRule>
    <cfRule type="cellIs" dxfId="541" priority="650" operator="equal">
      <formula>1</formula>
    </cfRule>
    <cfRule type="cellIs" dxfId="540" priority="651" operator="equal">
      <formula>0</formula>
    </cfRule>
  </conditionalFormatting>
  <conditionalFormatting sqref="AW91">
    <cfRule type="cellIs" dxfId="539" priority="646" operator="equal">
      <formula>2</formula>
    </cfRule>
    <cfRule type="cellIs" dxfId="538" priority="647" operator="equal">
      <formula>1</formula>
    </cfRule>
    <cfRule type="cellIs" dxfId="537" priority="648" operator="equal">
      <formula>0</formula>
    </cfRule>
  </conditionalFormatting>
  <conditionalFormatting sqref="BU87">
    <cfRule type="cellIs" dxfId="536" priority="628" operator="equal">
      <formula>2</formula>
    </cfRule>
    <cfRule type="cellIs" dxfId="535" priority="629" operator="equal">
      <formula>1</formula>
    </cfRule>
    <cfRule type="cellIs" dxfId="534" priority="630" operator="equal">
      <formula>0</formula>
    </cfRule>
  </conditionalFormatting>
  <conditionalFormatting sqref="BU88">
    <cfRule type="cellIs" dxfId="533" priority="625" operator="equal">
      <formula>2</formula>
    </cfRule>
    <cfRule type="cellIs" dxfId="532" priority="626" operator="equal">
      <formula>1</formula>
    </cfRule>
    <cfRule type="cellIs" dxfId="531" priority="627" operator="equal">
      <formula>0</formula>
    </cfRule>
  </conditionalFormatting>
  <conditionalFormatting sqref="BU89">
    <cfRule type="cellIs" dxfId="530" priority="622" operator="equal">
      <formula>2</formula>
    </cfRule>
    <cfRule type="cellIs" dxfId="529" priority="623" operator="equal">
      <formula>1</formula>
    </cfRule>
    <cfRule type="cellIs" dxfId="528" priority="624" operator="equal">
      <formula>0</formula>
    </cfRule>
  </conditionalFormatting>
  <conditionalFormatting sqref="BU90">
    <cfRule type="cellIs" dxfId="527" priority="619" operator="equal">
      <formula>2</formula>
    </cfRule>
    <cfRule type="cellIs" dxfId="526" priority="620" operator="equal">
      <formula>1</formula>
    </cfRule>
    <cfRule type="cellIs" dxfId="525" priority="621" operator="equal">
      <formula>0</formula>
    </cfRule>
  </conditionalFormatting>
  <conditionalFormatting sqref="BU91">
    <cfRule type="cellIs" dxfId="524" priority="616" operator="equal">
      <formula>2</formula>
    </cfRule>
    <cfRule type="cellIs" dxfId="523" priority="617" operator="equal">
      <formula>1</formula>
    </cfRule>
    <cfRule type="cellIs" dxfId="522" priority="618" operator="equal">
      <formula>0</formula>
    </cfRule>
  </conditionalFormatting>
  <conditionalFormatting sqref="AW92">
    <cfRule type="cellIs" dxfId="521" priority="613" operator="equal">
      <formula>2</formula>
    </cfRule>
    <cfRule type="cellIs" dxfId="520" priority="614" operator="equal">
      <formula>1</formula>
    </cfRule>
    <cfRule type="cellIs" dxfId="519" priority="615" operator="equal">
      <formula>0</formula>
    </cfRule>
  </conditionalFormatting>
  <conditionalFormatting sqref="AW93">
    <cfRule type="cellIs" dxfId="518" priority="610" operator="equal">
      <formula>2</formula>
    </cfRule>
    <cfRule type="cellIs" dxfId="517" priority="611" operator="equal">
      <formula>1</formula>
    </cfRule>
    <cfRule type="cellIs" dxfId="516" priority="612" operator="equal">
      <formula>0</formula>
    </cfRule>
  </conditionalFormatting>
  <conditionalFormatting sqref="AW94">
    <cfRule type="cellIs" dxfId="515" priority="607" operator="equal">
      <formula>2</formula>
    </cfRule>
    <cfRule type="cellIs" dxfId="514" priority="608" operator="equal">
      <formula>1</formula>
    </cfRule>
    <cfRule type="cellIs" dxfId="513" priority="609" operator="equal">
      <formula>0</formula>
    </cfRule>
  </conditionalFormatting>
  <conditionalFormatting sqref="AW95">
    <cfRule type="cellIs" dxfId="512" priority="604" operator="equal">
      <formula>2</formula>
    </cfRule>
    <cfRule type="cellIs" dxfId="511" priority="605" operator="equal">
      <formula>1</formula>
    </cfRule>
    <cfRule type="cellIs" dxfId="510" priority="606" operator="equal">
      <formula>0</formula>
    </cfRule>
  </conditionalFormatting>
  <conditionalFormatting sqref="AW96">
    <cfRule type="cellIs" dxfId="509" priority="601" operator="equal">
      <formula>2</formula>
    </cfRule>
    <cfRule type="cellIs" dxfId="508" priority="602" operator="equal">
      <formula>1</formula>
    </cfRule>
    <cfRule type="cellIs" dxfId="507" priority="603" operator="equal">
      <formula>0</formula>
    </cfRule>
  </conditionalFormatting>
  <conditionalFormatting sqref="BU92">
    <cfRule type="cellIs" dxfId="506" priority="583" operator="equal">
      <formula>2</formula>
    </cfRule>
    <cfRule type="cellIs" dxfId="505" priority="584" operator="equal">
      <formula>1</formula>
    </cfRule>
    <cfRule type="cellIs" dxfId="504" priority="585" operator="equal">
      <formula>0</formula>
    </cfRule>
  </conditionalFormatting>
  <conditionalFormatting sqref="BU93">
    <cfRule type="cellIs" dxfId="503" priority="580" operator="equal">
      <formula>2</formula>
    </cfRule>
    <cfRule type="cellIs" dxfId="502" priority="581" operator="equal">
      <formula>1</formula>
    </cfRule>
    <cfRule type="cellIs" dxfId="501" priority="582" operator="equal">
      <formula>0</formula>
    </cfRule>
  </conditionalFormatting>
  <conditionalFormatting sqref="BU94">
    <cfRule type="cellIs" dxfId="500" priority="577" operator="equal">
      <formula>2</formula>
    </cfRule>
    <cfRule type="cellIs" dxfId="499" priority="578" operator="equal">
      <formula>1</formula>
    </cfRule>
    <cfRule type="cellIs" dxfId="498" priority="579" operator="equal">
      <formula>0</formula>
    </cfRule>
  </conditionalFormatting>
  <conditionalFormatting sqref="BU95">
    <cfRule type="cellIs" dxfId="497" priority="574" operator="equal">
      <formula>2</formula>
    </cfRule>
    <cfRule type="cellIs" dxfId="496" priority="575" operator="equal">
      <formula>1</formula>
    </cfRule>
    <cfRule type="cellIs" dxfId="495" priority="576" operator="equal">
      <formula>0</formula>
    </cfRule>
  </conditionalFormatting>
  <conditionalFormatting sqref="BU96">
    <cfRule type="cellIs" dxfId="494" priority="571" operator="equal">
      <formula>2</formula>
    </cfRule>
    <cfRule type="cellIs" dxfId="493" priority="572" operator="equal">
      <formula>1</formula>
    </cfRule>
    <cfRule type="cellIs" dxfId="492" priority="573" operator="equal">
      <formula>0</formula>
    </cfRule>
  </conditionalFormatting>
  <conditionalFormatting sqref="AW98">
    <cfRule type="cellIs" dxfId="491" priority="568" operator="equal">
      <formula>2</formula>
    </cfRule>
    <cfRule type="cellIs" dxfId="490" priority="569" operator="equal">
      <formula>1</formula>
    </cfRule>
    <cfRule type="cellIs" dxfId="489" priority="570" operator="equal">
      <formula>0</formula>
    </cfRule>
  </conditionalFormatting>
  <conditionalFormatting sqref="AW99">
    <cfRule type="cellIs" dxfId="488" priority="565" operator="equal">
      <formula>2</formula>
    </cfRule>
    <cfRule type="cellIs" dxfId="487" priority="566" operator="equal">
      <formula>1</formula>
    </cfRule>
    <cfRule type="cellIs" dxfId="486" priority="567" operator="equal">
      <formula>0</formula>
    </cfRule>
  </conditionalFormatting>
  <conditionalFormatting sqref="AW100">
    <cfRule type="cellIs" dxfId="485" priority="562" operator="equal">
      <formula>2</formula>
    </cfRule>
    <cfRule type="cellIs" dxfId="484" priority="563" operator="equal">
      <formula>1</formula>
    </cfRule>
    <cfRule type="cellIs" dxfId="483" priority="564" operator="equal">
      <formula>0</formula>
    </cfRule>
  </conditionalFormatting>
  <conditionalFormatting sqref="BI98">
    <cfRule type="cellIs" dxfId="482" priority="559" operator="equal">
      <formula>2</formula>
    </cfRule>
    <cfRule type="cellIs" dxfId="481" priority="560" operator="equal">
      <formula>1</formula>
    </cfRule>
    <cfRule type="cellIs" dxfId="480" priority="561" operator="equal">
      <formula>0</formula>
    </cfRule>
  </conditionalFormatting>
  <conditionalFormatting sqref="BI99">
    <cfRule type="cellIs" dxfId="479" priority="556" operator="equal">
      <formula>2</formula>
    </cfRule>
    <cfRule type="cellIs" dxfId="478" priority="557" operator="equal">
      <formula>1</formula>
    </cfRule>
    <cfRule type="cellIs" dxfId="477" priority="558" operator="equal">
      <formula>0</formula>
    </cfRule>
  </conditionalFormatting>
  <conditionalFormatting sqref="BI100">
    <cfRule type="cellIs" dxfId="476" priority="553" operator="equal">
      <formula>2</formula>
    </cfRule>
    <cfRule type="cellIs" dxfId="475" priority="554" operator="equal">
      <formula>1</formula>
    </cfRule>
    <cfRule type="cellIs" dxfId="474" priority="555" operator="equal">
      <formula>0</formula>
    </cfRule>
  </conditionalFormatting>
  <conditionalFormatting sqref="BU98">
    <cfRule type="cellIs" dxfId="473" priority="550" operator="equal">
      <formula>2</formula>
    </cfRule>
    <cfRule type="cellIs" dxfId="472" priority="551" operator="equal">
      <formula>1</formula>
    </cfRule>
    <cfRule type="cellIs" dxfId="471" priority="552" operator="equal">
      <formula>0</formula>
    </cfRule>
  </conditionalFormatting>
  <conditionalFormatting sqref="BU99">
    <cfRule type="cellIs" dxfId="470" priority="547" operator="equal">
      <formula>2</formula>
    </cfRule>
    <cfRule type="cellIs" dxfId="469" priority="548" operator="equal">
      <formula>1</formula>
    </cfRule>
    <cfRule type="cellIs" dxfId="468" priority="549" operator="equal">
      <formula>0</formula>
    </cfRule>
  </conditionalFormatting>
  <conditionalFormatting sqref="BU100">
    <cfRule type="cellIs" dxfId="467" priority="544" operator="equal">
      <formula>2</formula>
    </cfRule>
    <cfRule type="cellIs" dxfId="466" priority="545" operator="equal">
      <formula>1</formula>
    </cfRule>
    <cfRule type="cellIs" dxfId="465" priority="546" operator="equal">
      <formula>0</formula>
    </cfRule>
  </conditionalFormatting>
  <conditionalFormatting sqref="AW101">
    <cfRule type="cellIs" dxfId="464" priority="541" operator="equal">
      <formula>2</formula>
    </cfRule>
    <cfRule type="cellIs" dxfId="463" priority="542" operator="equal">
      <formula>1</formula>
    </cfRule>
    <cfRule type="cellIs" dxfId="462" priority="543" operator="equal">
      <formula>0</formula>
    </cfRule>
  </conditionalFormatting>
  <conditionalFormatting sqref="AW102">
    <cfRule type="cellIs" dxfId="461" priority="538" operator="equal">
      <formula>2</formula>
    </cfRule>
    <cfRule type="cellIs" dxfId="460" priority="539" operator="equal">
      <formula>1</formula>
    </cfRule>
    <cfRule type="cellIs" dxfId="459" priority="540" operator="equal">
      <formula>0</formula>
    </cfRule>
  </conditionalFormatting>
  <conditionalFormatting sqref="AW103">
    <cfRule type="cellIs" dxfId="458" priority="535" operator="equal">
      <formula>2</formula>
    </cfRule>
    <cfRule type="cellIs" dxfId="457" priority="536" operator="equal">
      <formula>1</formula>
    </cfRule>
    <cfRule type="cellIs" dxfId="456" priority="537" operator="equal">
      <formula>0</formula>
    </cfRule>
  </conditionalFormatting>
  <conditionalFormatting sqref="BI101">
    <cfRule type="cellIs" dxfId="455" priority="532" operator="equal">
      <formula>2</formula>
    </cfRule>
    <cfRule type="cellIs" dxfId="454" priority="533" operator="equal">
      <formula>1</formula>
    </cfRule>
    <cfRule type="cellIs" dxfId="453" priority="534" operator="equal">
      <formula>0</formula>
    </cfRule>
  </conditionalFormatting>
  <conditionalFormatting sqref="BI102">
    <cfRule type="cellIs" dxfId="452" priority="529" operator="equal">
      <formula>2</formula>
    </cfRule>
    <cfRule type="cellIs" dxfId="451" priority="530" operator="equal">
      <formula>1</formula>
    </cfRule>
    <cfRule type="cellIs" dxfId="450" priority="531" operator="equal">
      <formula>0</formula>
    </cfRule>
  </conditionalFormatting>
  <conditionalFormatting sqref="BI103">
    <cfRule type="cellIs" dxfId="449" priority="526" operator="equal">
      <formula>2</formula>
    </cfRule>
    <cfRule type="cellIs" dxfId="448" priority="527" operator="equal">
      <formula>1</formula>
    </cfRule>
    <cfRule type="cellIs" dxfId="447" priority="528" operator="equal">
      <formula>0</formula>
    </cfRule>
  </conditionalFormatting>
  <conditionalFormatting sqref="BU101">
    <cfRule type="cellIs" dxfId="446" priority="523" operator="equal">
      <formula>2</formula>
    </cfRule>
    <cfRule type="cellIs" dxfId="445" priority="524" operator="equal">
      <formula>1</formula>
    </cfRule>
    <cfRule type="cellIs" dxfId="444" priority="525" operator="equal">
      <formula>0</formula>
    </cfRule>
  </conditionalFormatting>
  <conditionalFormatting sqref="BU102">
    <cfRule type="cellIs" dxfId="443" priority="520" operator="equal">
      <formula>2</formula>
    </cfRule>
    <cfRule type="cellIs" dxfId="442" priority="521" operator="equal">
      <formula>1</formula>
    </cfRule>
    <cfRule type="cellIs" dxfId="441" priority="522" operator="equal">
      <formula>0</formula>
    </cfRule>
  </conditionalFormatting>
  <conditionalFormatting sqref="BU103">
    <cfRule type="cellIs" dxfId="440" priority="517" operator="equal">
      <formula>2</formula>
    </cfRule>
    <cfRule type="cellIs" dxfId="439" priority="518" operator="equal">
      <formula>1</formula>
    </cfRule>
    <cfRule type="cellIs" dxfId="438" priority="519" operator="equal">
      <formula>0</formula>
    </cfRule>
  </conditionalFormatting>
  <conditionalFormatting sqref="AW104">
    <cfRule type="cellIs" dxfId="437" priority="514" operator="equal">
      <formula>2</formula>
    </cfRule>
    <cfRule type="cellIs" dxfId="436" priority="515" operator="equal">
      <formula>1</formula>
    </cfRule>
    <cfRule type="cellIs" dxfId="435" priority="516" operator="equal">
      <formula>0</formula>
    </cfRule>
  </conditionalFormatting>
  <conditionalFormatting sqref="AW105">
    <cfRule type="cellIs" dxfId="434" priority="511" operator="equal">
      <formula>2</formula>
    </cfRule>
    <cfRule type="cellIs" dxfId="433" priority="512" operator="equal">
      <formula>1</formula>
    </cfRule>
    <cfRule type="cellIs" dxfId="432" priority="513" operator="equal">
      <formula>0</formula>
    </cfRule>
  </conditionalFormatting>
  <conditionalFormatting sqref="AW106">
    <cfRule type="cellIs" dxfId="431" priority="508" operator="equal">
      <formula>2</formula>
    </cfRule>
    <cfRule type="cellIs" dxfId="430" priority="509" operator="equal">
      <formula>1</formula>
    </cfRule>
    <cfRule type="cellIs" dxfId="429" priority="510" operator="equal">
      <formula>0</formula>
    </cfRule>
  </conditionalFormatting>
  <conditionalFormatting sqref="AW108">
    <cfRule type="cellIs" dxfId="428" priority="505" operator="equal">
      <formula>2</formula>
    </cfRule>
    <cfRule type="cellIs" dxfId="427" priority="506" operator="equal">
      <formula>1</formula>
    </cfRule>
    <cfRule type="cellIs" dxfId="426" priority="507" operator="equal">
      <formula>0</formula>
    </cfRule>
  </conditionalFormatting>
  <conditionalFormatting sqref="AW107">
    <cfRule type="cellIs" dxfId="425" priority="502" operator="equal">
      <formula>2</formula>
    </cfRule>
    <cfRule type="cellIs" dxfId="424" priority="503" operator="equal">
      <formula>1</formula>
    </cfRule>
    <cfRule type="cellIs" dxfId="423" priority="504" operator="equal">
      <formula>0</formula>
    </cfRule>
  </conditionalFormatting>
  <conditionalFormatting sqref="BI104">
    <cfRule type="cellIs" dxfId="422" priority="499" operator="equal">
      <formula>2</formula>
    </cfRule>
    <cfRule type="cellIs" dxfId="421" priority="500" operator="equal">
      <formula>1</formula>
    </cfRule>
    <cfRule type="cellIs" dxfId="420" priority="501" operator="equal">
      <formula>0</formula>
    </cfRule>
  </conditionalFormatting>
  <conditionalFormatting sqref="BI105">
    <cfRule type="cellIs" dxfId="419" priority="496" operator="equal">
      <formula>2</formula>
    </cfRule>
    <cfRule type="cellIs" dxfId="418" priority="497" operator="equal">
      <formula>1</formula>
    </cfRule>
    <cfRule type="cellIs" dxfId="417" priority="498" operator="equal">
      <formula>0</formula>
    </cfRule>
  </conditionalFormatting>
  <conditionalFormatting sqref="BI106">
    <cfRule type="cellIs" dxfId="416" priority="493" operator="equal">
      <formula>2</formula>
    </cfRule>
    <cfRule type="cellIs" dxfId="415" priority="494" operator="equal">
      <formula>1</formula>
    </cfRule>
    <cfRule type="cellIs" dxfId="414" priority="495" operator="equal">
      <formula>0</formula>
    </cfRule>
  </conditionalFormatting>
  <conditionalFormatting sqref="BI108">
    <cfRule type="cellIs" dxfId="413" priority="490" operator="equal">
      <formula>2</formula>
    </cfRule>
    <cfRule type="cellIs" dxfId="412" priority="491" operator="equal">
      <formula>1</formula>
    </cfRule>
    <cfRule type="cellIs" dxfId="411" priority="492" operator="equal">
      <formula>0</formula>
    </cfRule>
  </conditionalFormatting>
  <conditionalFormatting sqref="BI107">
    <cfRule type="cellIs" dxfId="410" priority="487" operator="equal">
      <formula>2</formula>
    </cfRule>
    <cfRule type="cellIs" dxfId="409" priority="488" operator="equal">
      <formula>1</formula>
    </cfRule>
    <cfRule type="cellIs" dxfId="408" priority="489" operator="equal">
      <formula>0</formula>
    </cfRule>
  </conditionalFormatting>
  <conditionalFormatting sqref="BU104">
    <cfRule type="cellIs" dxfId="407" priority="484" operator="equal">
      <formula>2</formula>
    </cfRule>
    <cfRule type="cellIs" dxfId="406" priority="485" operator="equal">
      <formula>1</formula>
    </cfRule>
    <cfRule type="cellIs" dxfId="405" priority="486" operator="equal">
      <formula>0</formula>
    </cfRule>
  </conditionalFormatting>
  <conditionalFormatting sqref="BU105">
    <cfRule type="cellIs" dxfId="404" priority="481" operator="equal">
      <formula>2</formula>
    </cfRule>
    <cfRule type="cellIs" dxfId="403" priority="482" operator="equal">
      <formula>1</formula>
    </cfRule>
    <cfRule type="cellIs" dxfId="402" priority="483" operator="equal">
      <formula>0</formula>
    </cfRule>
  </conditionalFormatting>
  <conditionalFormatting sqref="BU106">
    <cfRule type="cellIs" dxfId="401" priority="478" operator="equal">
      <formula>2</formula>
    </cfRule>
    <cfRule type="cellIs" dxfId="400" priority="479" operator="equal">
      <formula>1</formula>
    </cfRule>
    <cfRule type="cellIs" dxfId="399" priority="480" operator="equal">
      <formula>0</formula>
    </cfRule>
  </conditionalFormatting>
  <conditionalFormatting sqref="BU108">
    <cfRule type="cellIs" dxfId="398" priority="475" operator="equal">
      <formula>2</formula>
    </cfRule>
    <cfRule type="cellIs" dxfId="397" priority="476" operator="equal">
      <formula>1</formula>
    </cfRule>
    <cfRule type="cellIs" dxfId="396" priority="477" operator="equal">
      <formula>0</formula>
    </cfRule>
  </conditionalFormatting>
  <conditionalFormatting sqref="BU107">
    <cfRule type="cellIs" dxfId="395" priority="472" operator="equal">
      <formula>2</formula>
    </cfRule>
    <cfRule type="cellIs" dxfId="394" priority="473" operator="equal">
      <formula>1</formula>
    </cfRule>
    <cfRule type="cellIs" dxfId="393" priority="474" operator="equal">
      <formula>0</formula>
    </cfRule>
  </conditionalFormatting>
  <conditionalFormatting sqref="AW109">
    <cfRule type="cellIs" dxfId="392" priority="469" operator="equal">
      <formula>2</formula>
    </cfRule>
    <cfRule type="cellIs" dxfId="391" priority="470" operator="equal">
      <formula>1</formula>
    </cfRule>
    <cfRule type="cellIs" dxfId="390" priority="471" operator="equal">
      <formula>0</formula>
    </cfRule>
  </conditionalFormatting>
  <conditionalFormatting sqref="AW110">
    <cfRule type="cellIs" dxfId="389" priority="466" operator="equal">
      <formula>2</formula>
    </cfRule>
    <cfRule type="cellIs" dxfId="388" priority="467" operator="equal">
      <formula>1</formula>
    </cfRule>
    <cfRule type="cellIs" dxfId="387" priority="468" operator="equal">
      <formula>0</formula>
    </cfRule>
  </conditionalFormatting>
  <conditionalFormatting sqref="AW111">
    <cfRule type="cellIs" dxfId="386" priority="463" operator="equal">
      <formula>2</formula>
    </cfRule>
    <cfRule type="cellIs" dxfId="385" priority="464" operator="equal">
      <formula>1</formula>
    </cfRule>
    <cfRule type="cellIs" dxfId="384" priority="465" operator="equal">
      <formula>0</formula>
    </cfRule>
  </conditionalFormatting>
  <conditionalFormatting sqref="AW112">
    <cfRule type="cellIs" dxfId="383" priority="460" operator="equal">
      <formula>2</formula>
    </cfRule>
    <cfRule type="cellIs" dxfId="382" priority="461" operator="equal">
      <formula>1</formula>
    </cfRule>
    <cfRule type="cellIs" dxfId="381" priority="462" operator="equal">
      <formula>0</formula>
    </cfRule>
  </conditionalFormatting>
  <conditionalFormatting sqref="AW113">
    <cfRule type="cellIs" dxfId="380" priority="457" operator="equal">
      <formula>2</formula>
    </cfRule>
    <cfRule type="cellIs" dxfId="379" priority="458" operator="equal">
      <formula>1</formula>
    </cfRule>
    <cfRule type="cellIs" dxfId="378" priority="459" operator="equal">
      <formula>0</formula>
    </cfRule>
  </conditionalFormatting>
  <conditionalFormatting sqref="BI109">
    <cfRule type="cellIs" dxfId="377" priority="454" operator="equal">
      <formula>2</formula>
    </cfRule>
    <cfRule type="cellIs" dxfId="376" priority="455" operator="equal">
      <formula>1</formula>
    </cfRule>
    <cfRule type="cellIs" dxfId="375" priority="456" operator="equal">
      <formula>0</formula>
    </cfRule>
  </conditionalFormatting>
  <conditionalFormatting sqref="BI110">
    <cfRule type="cellIs" dxfId="374" priority="451" operator="equal">
      <formula>2</formula>
    </cfRule>
    <cfRule type="cellIs" dxfId="373" priority="452" operator="equal">
      <formula>1</formula>
    </cfRule>
    <cfRule type="cellIs" dxfId="372" priority="453" operator="equal">
      <formula>0</formula>
    </cfRule>
  </conditionalFormatting>
  <conditionalFormatting sqref="BI111">
    <cfRule type="cellIs" dxfId="371" priority="448" operator="equal">
      <formula>2</formula>
    </cfRule>
    <cfRule type="cellIs" dxfId="370" priority="449" operator="equal">
      <formula>1</formula>
    </cfRule>
    <cfRule type="cellIs" dxfId="369" priority="450" operator="equal">
      <formula>0</formula>
    </cfRule>
  </conditionalFormatting>
  <conditionalFormatting sqref="BI112">
    <cfRule type="cellIs" dxfId="368" priority="445" operator="equal">
      <formula>2</formula>
    </cfRule>
    <cfRule type="cellIs" dxfId="367" priority="446" operator="equal">
      <formula>1</formula>
    </cfRule>
    <cfRule type="cellIs" dxfId="366" priority="447" operator="equal">
      <formula>0</formula>
    </cfRule>
  </conditionalFormatting>
  <conditionalFormatting sqref="BI113">
    <cfRule type="cellIs" dxfId="365" priority="442" operator="equal">
      <formula>2</formula>
    </cfRule>
    <cfRule type="cellIs" dxfId="364" priority="443" operator="equal">
      <formula>1</formula>
    </cfRule>
    <cfRule type="cellIs" dxfId="363" priority="444" operator="equal">
      <formula>0</formula>
    </cfRule>
  </conditionalFormatting>
  <conditionalFormatting sqref="BU109">
    <cfRule type="cellIs" dxfId="362" priority="439" operator="equal">
      <formula>2</formula>
    </cfRule>
    <cfRule type="cellIs" dxfId="361" priority="440" operator="equal">
      <formula>1</formula>
    </cfRule>
    <cfRule type="cellIs" dxfId="360" priority="441" operator="equal">
      <formula>0</formula>
    </cfRule>
  </conditionalFormatting>
  <conditionalFormatting sqref="BU110">
    <cfRule type="cellIs" dxfId="359" priority="436" operator="equal">
      <formula>2</formula>
    </cfRule>
    <cfRule type="cellIs" dxfId="358" priority="437" operator="equal">
      <formula>1</formula>
    </cfRule>
    <cfRule type="cellIs" dxfId="357" priority="438" operator="equal">
      <formula>0</formula>
    </cfRule>
  </conditionalFormatting>
  <conditionalFormatting sqref="BU111">
    <cfRule type="cellIs" dxfId="356" priority="433" operator="equal">
      <formula>2</formula>
    </cfRule>
    <cfRule type="cellIs" dxfId="355" priority="434" operator="equal">
      <formula>1</formula>
    </cfRule>
    <cfRule type="cellIs" dxfId="354" priority="435" operator="equal">
      <formula>0</formula>
    </cfRule>
  </conditionalFormatting>
  <conditionalFormatting sqref="BU112">
    <cfRule type="cellIs" dxfId="353" priority="430" operator="equal">
      <formula>2</formula>
    </cfRule>
    <cfRule type="cellIs" dxfId="352" priority="431" operator="equal">
      <formula>1</formula>
    </cfRule>
    <cfRule type="cellIs" dxfId="351" priority="432" operator="equal">
      <formula>0</formula>
    </cfRule>
  </conditionalFormatting>
  <conditionalFormatting sqref="BU113">
    <cfRule type="cellIs" dxfId="350" priority="427" operator="equal">
      <formula>2</formula>
    </cfRule>
    <cfRule type="cellIs" dxfId="349" priority="428" operator="equal">
      <formula>1</formula>
    </cfRule>
    <cfRule type="cellIs" dxfId="348" priority="429" operator="equal">
      <formula>0</formula>
    </cfRule>
  </conditionalFormatting>
  <conditionalFormatting sqref="AW114">
    <cfRule type="cellIs" dxfId="347" priority="424" operator="equal">
      <formula>2</formula>
    </cfRule>
    <cfRule type="cellIs" dxfId="346" priority="425" operator="equal">
      <formula>1</formula>
    </cfRule>
    <cfRule type="cellIs" dxfId="345" priority="426" operator="equal">
      <formula>0</formula>
    </cfRule>
  </conditionalFormatting>
  <conditionalFormatting sqref="AW115">
    <cfRule type="cellIs" dxfId="344" priority="421" operator="equal">
      <formula>2</formula>
    </cfRule>
    <cfRule type="cellIs" dxfId="343" priority="422" operator="equal">
      <formula>1</formula>
    </cfRule>
    <cfRule type="cellIs" dxfId="342" priority="423" operator="equal">
      <formula>0</formula>
    </cfRule>
  </conditionalFormatting>
  <conditionalFormatting sqref="AW116">
    <cfRule type="cellIs" dxfId="341" priority="418" operator="equal">
      <formula>2</formula>
    </cfRule>
    <cfRule type="cellIs" dxfId="340" priority="419" operator="equal">
      <formula>1</formula>
    </cfRule>
    <cfRule type="cellIs" dxfId="339" priority="420" operator="equal">
      <formula>0</formula>
    </cfRule>
  </conditionalFormatting>
  <conditionalFormatting sqref="BI114">
    <cfRule type="cellIs" dxfId="338" priority="415" operator="equal">
      <formula>2</formula>
    </cfRule>
    <cfRule type="cellIs" dxfId="337" priority="416" operator="equal">
      <formula>1</formula>
    </cfRule>
    <cfRule type="cellIs" dxfId="336" priority="417" operator="equal">
      <formula>0</formula>
    </cfRule>
  </conditionalFormatting>
  <conditionalFormatting sqref="BI115">
    <cfRule type="cellIs" dxfId="335" priority="412" operator="equal">
      <formula>2</formula>
    </cfRule>
    <cfRule type="cellIs" dxfId="334" priority="413" operator="equal">
      <formula>1</formula>
    </cfRule>
    <cfRule type="cellIs" dxfId="333" priority="414" operator="equal">
      <formula>0</formula>
    </cfRule>
  </conditionalFormatting>
  <conditionalFormatting sqref="BI116">
    <cfRule type="cellIs" dxfId="332" priority="409" operator="equal">
      <formula>2</formula>
    </cfRule>
    <cfRule type="cellIs" dxfId="331" priority="410" operator="equal">
      <formula>1</formula>
    </cfRule>
    <cfRule type="cellIs" dxfId="330" priority="411" operator="equal">
      <formula>0</formula>
    </cfRule>
  </conditionalFormatting>
  <conditionalFormatting sqref="BU114">
    <cfRule type="cellIs" dxfId="329" priority="406" operator="equal">
      <formula>2</formula>
    </cfRule>
    <cfRule type="cellIs" dxfId="328" priority="407" operator="equal">
      <formula>1</formula>
    </cfRule>
    <cfRule type="cellIs" dxfId="327" priority="408" operator="equal">
      <formula>0</formula>
    </cfRule>
  </conditionalFormatting>
  <conditionalFormatting sqref="BU115">
    <cfRule type="cellIs" dxfId="326" priority="403" operator="equal">
      <formula>2</formula>
    </cfRule>
    <cfRule type="cellIs" dxfId="325" priority="404" operator="equal">
      <formula>1</formula>
    </cfRule>
    <cfRule type="cellIs" dxfId="324" priority="405" operator="equal">
      <formula>0</formula>
    </cfRule>
  </conditionalFormatting>
  <conditionalFormatting sqref="BU116">
    <cfRule type="cellIs" dxfId="323" priority="400" operator="equal">
      <formula>2</formula>
    </cfRule>
    <cfRule type="cellIs" dxfId="322" priority="401" operator="equal">
      <formula>1</formula>
    </cfRule>
    <cfRule type="cellIs" dxfId="321" priority="402" operator="equal">
      <formula>0</formula>
    </cfRule>
  </conditionalFormatting>
  <conditionalFormatting sqref="BI83:BI96">
    <cfRule type="cellIs" dxfId="320" priority="388" operator="equal">
      <formula>2</formula>
    </cfRule>
    <cfRule type="cellIs" dxfId="319" priority="389" operator="equal">
      <formula>1</formula>
    </cfRule>
    <cfRule type="cellIs" dxfId="318" priority="390" operator="equal">
      <formula>0</formula>
    </cfRule>
  </conditionalFormatting>
  <conditionalFormatting sqref="BI71:BI82">
    <cfRule type="cellIs" dxfId="317" priority="385" operator="equal">
      <formula>2</formula>
    </cfRule>
    <cfRule type="cellIs" dxfId="316" priority="386" operator="equal">
      <formula>1</formula>
    </cfRule>
    <cfRule type="cellIs" dxfId="315" priority="387" operator="equal">
      <formula>0</formula>
    </cfRule>
  </conditionalFormatting>
  <conditionalFormatting sqref="CA37:CA41">
    <cfRule type="cellIs" dxfId="314" priority="364" operator="equal">
      <formula>2</formula>
    </cfRule>
    <cfRule type="cellIs" dxfId="313" priority="365" operator="equal">
      <formula>1</formula>
    </cfRule>
    <cfRule type="cellIs" dxfId="312" priority="366" operator="equal">
      <formula>0</formula>
    </cfRule>
  </conditionalFormatting>
  <conditionalFormatting sqref="CA11:CA13 CA36 CA15:CA34">
    <cfRule type="cellIs" dxfId="311" priority="361" operator="equal">
      <formula>2</formula>
    </cfRule>
    <cfRule type="cellIs" dxfId="310" priority="362" operator="equal">
      <formula>1</formula>
    </cfRule>
    <cfRule type="cellIs" dxfId="309" priority="363" operator="equal">
      <formula>0</formula>
    </cfRule>
  </conditionalFormatting>
  <conditionalFormatting sqref="CA35">
    <cfRule type="cellIs" dxfId="308" priority="358" operator="equal">
      <formula>2</formula>
    </cfRule>
    <cfRule type="cellIs" dxfId="307" priority="359" operator="equal">
      <formula>1</formula>
    </cfRule>
    <cfRule type="cellIs" dxfId="306" priority="360" operator="equal">
      <formula>0</formula>
    </cfRule>
  </conditionalFormatting>
  <conditionalFormatting sqref="CA14">
    <cfRule type="cellIs" dxfId="305" priority="355" operator="equal">
      <formula>2</formula>
    </cfRule>
    <cfRule type="cellIs" dxfId="304" priority="356" operator="equal">
      <formula>1</formula>
    </cfRule>
    <cfRule type="cellIs" dxfId="303" priority="357" operator="equal">
      <formula>0</formula>
    </cfRule>
  </conditionalFormatting>
  <conditionalFormatting sqref="S24">
    <cfRule type="cellIs" dxfId="302" priority="352" operator="equal">
      <formula>2</formula>
    </cfRule>
    <cfRule type="cellIs" dxfId="301" priority="353" operator="equal">
      <formula>1</formula>
    </cfRule>
    <cfRule type="cellIs" dxfId="300" priority="354" operator="equal">
      <formula>0</formula>
    </cfRule>
  </conditionalFormatting>
  <conditionalFormatting sqref="CA54:CA65 CA44:CA45 CA47:CA52">
    <cfRule type="cellIs" dxfId="299" priority="349" operator="equal">
      <formula>2</formula>
    </cfRule>
    <cfRule type="cellIs" dxfId="298" priority="350" operator="equal">
      <formula>1</formula>
    </cfRule>
    <cfRule type="cellIs" dxfId="297" priority="351" operator="equal">
      <formula>0</formula>
    </cfRule>
  </conditionalFormatting>
  <conditionalFormatting sqref="CA53">
    <cfRule type="cellIs" dxfId="296" priority="346" operator="equal">
      <formula>2</formula>
    </cfRule>
    <cfRule type="cellIs" dxfId="295" priority="347" operator="equal">
      <formula>1</formula>
    </cfRule>
    <cfRule type="cellIs" dxfId="294" priority="348" operator="equal">
      <formula>0</formula>
    </cfRule>
  </conditionalFormatting>
  <conditionalFormatting sqref="CA46">
    <cfRule type="cellIs" dxfId="293" priority="343" operator="equal">
      <formula>2</formula>
    </cfRule>
    <cfRule type="cellIs" dxfId="292" priority="344" operator="equal">
      <formula>1</formula>
    </cfRule>
    <cfRule type="cellIs" dxfId="291" priority="345" operator="equal">
      <formula>0</formula>
    </cfRule>
  </conditionalFormatting>
  <conditionalFormatting sqref="CA66:CA69">
    <cfRule type="cellIs" dxfId="290" priority="340" operator="equal">
      <formula>2</formula>
    </cfRule>
    <cfRule type="cellIs" dxfId="289" priority="341" operator="equal">
      <formula>1</formula>
    </cfRule>
    <cfRule type="cellIs" dxfId="288" priority="342" operator="equal">
      <formula>0</formula>
    </cfRule>
  </conditionalFormatting>
  <conditionalFormatting sqref="CA71:CA91">
    <cfRule type="cellIs" dxfId="287" priority="337" operator="equal">
      <formula>2</formula>
    </cfRule>
    <cfRule type="cellIs" dxfId="286" priority="338" operator="equal">
      <formula>1</formula>
    </cfRule>
    <cfRule type="cellIs" dxfId="285" priority="339" operator="equal">
      <formula>0</formula>
    </cfRule>
  </conditionalFormatting>
  <conditionalFormatting sqref="CA92:CA93 CA96">
    <cfRule type="cellIs" dxfId="284" priority="334" operator="equal">
      <formula>2</formula>
    </cfRule>
    <cfRule type="cellIs" dxfId="283" priority="335" operator="equal">
      <formula>1</formula>
    </cfRule>
    <cfRule type="cellIs" dxfId="282" priority="336" operator="equal">
      <formula>0</formula>
    </cfRule>
  </conditionalFormatting>
  <conditionalFormatting sqref="CA94">
    <cfRule type="cellIs" dxfId="281" priority="331" operator="equal">
      <formula>2</formula>
    </cfRule>
    <cfRule type="cellIs" dxfId="280" priority="332" operator="equal">
      <formula>1</formula>
    </cfRule>
    <cfRule type="cellIs" dxfId="279" priority="333" operator="equal">
      <formula>0</formula>
    </cfRule>
  </conditionalFormatting>
  <conditionalFormatting sqref="CA95">
    <cfRule type="cellIs" dxfId="278" priority="328" operator="equal">
      <formula>2</formula>
    </cfRule>
    <cfRule type="cellIs" dxfId="277" priority="329" operator="equal">
      <formula>1</formula>
    </cfRule>
    <cfRule type="cellIs" dxfId="276" priority="330" operator="equal">
      <formula>0</formula>
    </cfRule>
  </conditionalFormatting>
  <conditionalFormatting sqref="CA98:CA113">
    <cfRule type="cellIs" dxfId="275" priority="325" operator="equal">
      <formula>2</formula>
    </cfRule>
    <cfRule type="cellIs" dxfId="274" priority="326" operator="equal">
      <formula>1</formula>
    </cfRule>
    <cfRule type="cellIs" dxfId="273" priority="327" operator="equal">
      <formula>0</formula>
    </cfRule>
  </conditionalFormatting>
  <conditionalFormatting sqref="CA114:CA116">
    <cfRule type="cellIs" dxfId="272" priority="322" operator="equal">
      <formula>2</formula>
    </cfRule>
    <cfRule type="cellIs" dxfId="271" priority="323" operator="equal">
      <formula>1</formula>
    </cfRule>
    <cfRule type="cellIs" dxfId="270" priority="324" operator="equal">
      <formula>0</formula>
    </cfRule>
  </conditionalFormatting>
  <conditionalFormatting sqref="CA118:CA119">
    <cfRule type="cellIs" dxfId="269" priority="319" operator="equal">
      <formula>2</formula>
    </cfRule>
    <cfRule type="cellIs" dxfId="268" priority="320" operator="equal">
      <formula>1</formula>
    </cfRule>
    <cfRule type="cellIs" dxfId="267" priority="321" operator="equal">
      <formula>0</formula>
    </cfRule>
  </conditionalFormatting>
  <conditionalFormatting sqref="CA120">
    <cfRule type="cellIs" dxfId="266" priority="316" operator="equal">
      <formula>2</formula>
    </cfRule>
    <cfRule type="cellIs" dxfId="265" priority="317" operator="equal">
      <formula>1</formula>
    </cfRule>
    <cfRule type="cellIs" dxfId="264" priority="318" operator="equal">
      <formula>0</formula>
    </cfRule>
  </conditionalFormatting>
  <conditionalFormatting sqref="CA140:CA142">
    <cfRule type="cellIs" dxfId="263" priority="313" operator="equal">
      <formula>2</formula>
    </cfRule>
    <cfRule type="cellIs" dxfId="262" priority="314" operator="equal">
      <formula>1</formula>
    </cfRule>
    <cfRule type="cellIs" dxfId="261" priority="315" operator="equal">
      <formula>0</formula>
    </cfRule>
  </conditionalFormatting>
  <conditionalFormatting sqref="CA144:CA152 CA154:CA156 CA158:CA162">
    <cfRule type="cellIs" dxfId="260" priority="310" operator="equal">
      <formula>2</formula>
    </cfRule>
    <cfRule type="cellIs" dxfId="259" priority="311" operator="equal">
      <formula>1</formula>
    </cfRule>
    <cfRule type="cellIs" dxfId="258" priority="312" operator="equal">
      <formula>0</formula>
    </cfRule>
  </conditionalFormatting>
  <conditionalFormatting sqref="CA153">
    <cfRule type="cellIs" dxfId="257" priority="307" operator="equal">
      <formula>2</formula>
    </cfRule>
    <cfRule type="cellIs" dxfId="256" priority="308" operator="equal">
      <formula>1</formula>
    </cfRule>
    <cfRule type="cellIs" dxfId="255" priority="309" operator="equal">
      <formula>0</formula>
    </cfRule>
  </conditionalFormatting>
  <conditionalFormatting sqref="CA157">
    <cfRule type="cellIs" dxfId="254" priority="304" operator="equal">
      <formula>2</formula>
    </cfRule>
    <cfRule type="cellIs" dxfId="253" priority="305" operator="equal">
      <formula>1</formula>
    </cfRule>
    <cfRule type="cellIs" dxfId="252" priority="306" operator="equal">
      <formula>0</formula>
    </cfRule>
  </conditionalFormatting>
  <conditionalFormatting sqref="CA163:CA165">
    <cfRule type="cellIs" dxfId="251" priority="301" operator="equal">
      <formula>2</formula>
    </cfRule>
    <cfRule type="cellIs" dxfId="250" priority="302" operator="equal">
      <formula>1</formula>
    </cfRule>
    <cfRule type="cellIs" dxfId="249" priority="303" operator="equal">
      <formula>0</formula>
    </cfRule>
  </conditionalFormatting>
  <conditionalFormatting sqref="CA167:CA184">
    <cfRule type="cellIs" dxfId="248" priority="298" operator="equal">
      <formula>2</formula>
    </cfRule>
    <cfRule type="cellIs" dxfId="247" priority="299" operator="equal">
      <formula>1</formula>
    </cfRule>
    <cfRule type="cellIs" dxfId="246" priority="300" operator="equal">
      <formula>0</formula>
    </cfRule>
  </conditionalFormatting>
  <conditionalFormatting sqref="CA185:CA187">
    <cfRule type="cellIs" dxfId="245" priority="295" operator="equal">
      <formula>2</formula>
    </cfRule>
    <cfRule type="cellIs" dxfId="244" priority="296" operator="equal">
      <formula>1</formula>
    </cfRule>
    <cfRule type="cellIs" dxfId="243" priority="297" operator="equal">
      <formula>0</formula>
    </cfRule>
  </conditionalFormatting>
  <conditionalFormatting sqref="Y144:Y152 Y154:Y156 Y158:Y162 Y37:Y41">
    <cfRule type="cellIs" dxfId="242" priority="292" operator="equal">
      <formula>2</formula>
    </cfRule>
    <cfRule type="cellIs" dxfId="241" priority="293" operator="equal">
      <formula>1</formula>
    </cfRule>
    <cfRule type="cellIs" dxfId="240" priority="294" operator="equal">
      <formula>0</formula>
    </cfRule>
  </conditionalFormatting>
  <conditionalFormatting sqref="Y11:Y13 Y167:Y184 Y118:Y119 Y36 Y54:Y65 Y44:Y45 Y15:Y34 Y47:Y52">
    <cfRule type="cellIs" dxfId="239" priority="289" operator="equal">
      <formula>2</formula>
    </cfRule>
    <cfRule type="cellIs" dxfId="238" priority="290" operator="equal">
      <formula>1</formula>
    </cfRule>
    <cfRule type="cellIs" dxfId="237" priority="291" operator="equal">
      <formula>0</formula>
    </cfRule>
  </conditionalFormatting>
  <conditionalFormatting sqref="Y35">
    <cfRule type="cellIs" dxfId="236" priority="286" operator="equal">
      <formula>2</formula>
    </cfRule>
    <cfRule type="cellIs" dxfId="235" priority="287" operator="equal">
      <formula>1</formula>
    </cfRule>
    <cfRule type="cellIs" dxfId="234" priority="288" operator="equal">
      <formula>0</formula>
    </cfRule>
  </conditionalFormatting>
  <conditionalFormatting sqref="Y53">
    <cfRule type="cellIs" dxfId="233" priority="283" operator="equal">
      <formula>2</formula>
    </cfRule>
    <cfRule type="cellIs" dxfId="232" priority="284" operator="equal">
      <formula>1</formula>
    </cfRule>
    <cfRule type="cellIs" dxfId="231" priority="285" operator="equal">
      <formula>0</formula>
    </cfRule>
  </conditionalFormatting>
  <conditionalFormatting sqref="Y14">
    <cfRule type="cellIs" dxfId="230" priority="280" operator="equal">
      <formula>2</formula>
    </cfRule>
    <cfRule type="cellIs" dxfId="229" priority="281" operator="equal">
      <formula>1</formula>
    </cfRule>
    <cfRule type="cellIs" dxfId="228" priority="282" operator="equal">
      <formula>0</formula>
    </cfRule>
  </conditionalFormatting>
  <conditionalFormatting sqref="Y46">
    <cfRule type="cellIs" dxfId="227" priority="277" operator="equal">
      <formula>2</formula>
    </cfRule>
    <cfRule type="cellIs" dxfId="226" priority="278" operator="equal">
      <formula>1</formula>
    </cfRule>
    <cfRule type="cellIs" dxfId="225" priority="279" operator="equal">
      <formula>0</formula>
    </cfRule>
  </conditionalFormatting>
  <conditionalFormatting sqref="Y140:Y142">
    <cfRule type="cellIs" dxfId="224" priority="274" operator="equal">
      <formula>2</formula>
    </cfRule>
    <cfRule type="cellIs" dxfId="223" priority="275" operator="equal">
      <formula>1</formula>
    </cfRule>
    <cfRule type="cellIs" dxfId="222" priority="276" operator="equal">
      <formula>0</formula>
    </cfRule>
  </conditionalFormatting>
  <conditionalFormatting sqref="Y153">
    <cfRule type="cellIs" dxfId="221" priority="271" operator="equal">
      <formula>2</formula>
    </cfRule>
    <cfRule type="cellIs" dxfId="220" priority="272" operator="equal">
      <formula>1</formula>
    </cfRule>
    <cfRule type="cellIs" dxfId="219" priority="273" operator="equal">
      <formula>0</formula>
    </cfRule>
  </conditionalFormatting>
  <conditionalFormatting sqref="Y157">
    <cfRule type="cellIs" dxfId="218" priority="268" operator="equal">
      <formula>2</formula>
    </cfRule>
    <cfRule type="cellIs" dxfId="217" priority="269" operator="equal">
      <formula>1</formula>
    </cfRule>
    <cfRule type="cellIs" dxfId="216" priority="270" operator="equal">
      <formula>0</formula>
    </cfRule>
  </conditionalFormatting>
  <conditionalFormatting sqref="Y120">
    <cfRule type="cellIs" dxfId="215" priority="265" operator="equal">
      <formula>2</formula>
    </cfRule>
    <cfRule type="cellIs" dxfId="214" priority="266" operator="equal">
      <formula>1</formula>
    </cfRule>
    <cfRule type="cellIs" dxfId="213" priority="267" operator="equal">
      <formula>0</formula>
    </cfRule>
  </conditionalFormatting>
  <conditionalFormatting sqref="Y66:Y69">
    <cfRule type="cellIs" dxfId="212" priority="262" operator="equal">
      <formula>2</formula>
    </cfRule>
    <cfRule type="cellIs" dxfId="211" priority="263" operator="equal">
      <formula>1</formula>
    </cfRule>
    <cfRule type="cellIs" dxfId="210" priority="264" operator="equal">
      <formula>0</formula>
    </cfRule>
  </conditionalFormatting>
  <conditionalFormatting sqref="Y185:Y187">
    <cfRule type="cellIs" dxfId="209" priority="259" operator="equal">
      <formula>2</formula>
    </cfRule>
    <cfRule type="cellIs" dxfId="208" priority="260" operator="equal">
      <formula>1</formula>
    </cfRule>
    <cfRule type="cellIs" dxfId="207" priority="261" operator="equal">
      <formula>0</formula>
    </cfRule>
  </conditionalFormatting>
  <conditionalFormatting sqref="Y163:Y165">
    <cfRule type="cellIs" dxfId="206" priority="256" operator="equal">
      <formula>2</formula>
    </cfRule>
    <cfRule type="cellIs" dxfId="205" priority="257" operator="equal">
      <formula>1</formula>
    </cfRule>
    <cfRule type="cellIs" dxfId="204" priority="258" operator="equal">
      <formula>0</formula>
    </cfRule>
  </conditionalFormatting>
  <conditionalFormatting sqref="Y71">
    <cfRule type="cellIs" dxfId="203" priority="253" operator="equal">
      <formula>2</formula>
    </cfRule>
    <cfRule type="cellIs" dxfId="202" priority="254" operator="equal">
      <formula>1</formula>
    </cfRule>
    <cfRule type="cellIs" dxfId="201" priority="255" operator="equal">
      <formula>0</formula>
    </cfRule>
  </conditionalFormatting>
  <conditionalFormatting sqref="Y72">
    <cfRule type="cellIs" dxfId="200" priority="250" operator="equal">
      <formula>2</formula>
    </cfRule>
    <cfRule type="cellIs" dxfId="199" priority="251" operator="equal">
      <formula>1</formula>
    </cfRule>
    <cfRule type="cellIs" dxfId="198" priority="252" operator="equal">
      <formula>0</formula>
    </cfRule>
  </conditionalFormatting>
  <conditionalFormatting sqref="Y73">
    <cfRule type="cellIs" dxfId="197" priority="247" operator="equal">
      <formula>2</formula>
    </cfRule>
    <cfRule type="cellIs" dxfId="196" priority="248" operator="equal">
      <formula>1</formula>
    </cfRule>
    <cfRule type="cellIs" dxfId="195" priority="249" operator="equal">
      <formula>0</formula>
    </cfRule>
  </conditionalFormatting>
  <conditionalFormatting sqref="Y74">
    <cfRule type="cellIs" dxfId="194" priority="244" operator="equal">
      <formula>2</formula>
    </cfRule>
    <cfRule type="cellIs" dxfId="193" priority="245" operator="equal">
      <formula>1</formula>
    </cfRule>
    <cfRule type="cellIs" dxfId="192" priority="246" operator="equal">
      <formula>0</formula>
    </cfRule>
  </conditionalFormatting>
  <conditionalFormatting sqref="Y75">
    <cfRule type="cellIs" dxfId="191" priority="241" operator="equal">
      <formula>2</formula>
    </cfRule>
    <cfRule type="cellIs" dxfId="190" priority="242" operator="equal">
      <formula>1</formula>
    </cfRule>
    <cfRule type="cellIs" dxfId="189" priority="243" operator="equal">
      <formula>0</formula>
    </cfRule>
  </conditionalFormatting>
  <conditionalFormatting sqref="Y76">
    <cfRule type="cellIs" dxfId="188" priority="238" operator="equal">
      <formula>2</formula>
    </cfRule>
    <cfRule type="cellIs" dxfId="187" priority="239" operator="equal">
      <formula>1</formula>
    </cfRule>
    <cfRule type="cellIs" dxfId="186" priority="240" operator="equal">
      <formula>0</formula>
    </cfRule>
  </conditionalFormatting>
  <conditionalFormatting sqref="Y77">
    <cfRule type="cellIs" dxfId="185" priority="235" operator="equal">
      <formula>2</formula>
    </cfRule>
    <cfRule type="cellIs" dxfId="184" priority="236" operator="equal">
      <formula>1</formula>
    </cfRule>
    <cfRule type="cellIs" dxfId="183" priority="237" operator="equal">
      <formula>0</formula>
    </cfRule>
  </conditionalFormatting>
  <conditionalFormatting sqref="Y78">
    <cfRule type="cellIs" dxfId="182" priority="232" operator="equal">
      <formula>2</formula>
    </cfRule>
    <cfRule type="cellIs" dxfId="181" priority="233" operator="equal">
      <formula>1</formula>
    </cfRule>
    <cfRule type="cellIs" dxfId="180" priority="234" operator="equal">
      <formula>0</formula>
    </cfRule>
  </conditionalFormatting>
  <conditionalFormatting sqref="Y79">
    <cfRule type="cellIs" dxfId="179" priority="229" operator="equal">
      <formula>2</formula>
    </cfRule>
    <cfRule type="cellIs" dxfId="178" priority="230" operator="equal">
      <formula>1</formula>
    </cfRule>
    <cfRule type="cellIs" dxfId="177" priority="231" operator="equal">
      <formula>0</formula>
    </cfRule>
  </conditionalFormatting>
  <conditionalFormatting sqref="Y80">
    <cfRule type="cellIs" dxfId="176" priority="226" operator="equal">
      <formula>2</formula>
    </cfRule>
    <cfRule type="cellIs" dxfId="175" priority="227" operator="equal">
      <formula>1</formula>
    </cfRule>
    <cfRule type="cellIs" dxfId="174" priority="228" operator="equal">
      <formula>0</formula>
    </cfRule>
  </conditionalFormatting>
  <conditionalFormatting sqref="Y81">
    <cfRule type="cellIs" dxfId="173" priority="223" operator="equal">
      <formula>2</formula>
    </cfRule>
    <cfRule type="cellIs" dxfId="172" priority="224" operator="equal">
      <formula>1</formula>
    </cfRule>
    <cfRule type="cellIs" dxfId="171" priority="225" operator="equal">
      <formula>0</formula>
    </cfRule>
  </conditionalFormatting>
  <conditionalFormatting sqref="Y82">
    <cfRule type="cellIs" dxfId="170" priority="220" operator="equal">
      <formula>2</formula>
    </cfRule>
    <cfRule type="cellIs" dxfId="169" priority="221" operator="equal">
      <formula>1</formula>
    </cfRule>
    <cfRule type="cellIs" dxfId="168" priority="222" operator="equal">
      <formula>0</formula>
    </cfRule>
  </conditionalFormatting>
  <conditionalFormatting sqref="Y83">
    <cfRule type="cellIs" dxfId="167" priority="217" operator="equal">
      <formula>2</formula>
    </cfRule>
    <cfRule type="cellIs" dxfId="166" priority="218" operator="equal">
      <formula>1</formula>
    </cfRule>
    <cfRule type="cellIs" dxfId="165" priority="219" operator="equal">
      <formula>0</formula>
    </cfRule>
  </conditionalFormatting>
  <conditionalFormatting sqref="Y84">
    <cfRule type="cellIs" dxfId="164" priority="214" operator="equal">
      <formula>2</formula>
    </cfRule>
    <cfRule type="cellIs" dxfId="163" priority="215" operator="equal">
      <formula>1</formula>
    </cfRule>
    <cfRule type="cellIs" dxfId="162" priority="216" operator="equal">
      <formula>0</formula>
    </cfRule>
  </conditionalFormatting>
  <conditionalFormatting sqref="Y85">
    <cfRule type="cellIs" dxfId="161" priority="211" operator="equal">
      <formula>2</formula>
    </cfRule>
    <cfRule type="cellIs" dxfId="160" priority="212" operator="equal">
      <formula>1</formula>
    </cfRule>
    <cfRule type="cellIs" dxfId="159" priority="213" operator="equal">
      <formula>0</formula>
    </cfRule>
  </conditionalFormatting>
  <conditionalFormatting sqref="Y86">
    <cfRule type="cellIs" dxfId="158" priority="208" operator="equal">
      <formula>2</formula>
    </cfRule>
    <cfRule type="cellIs" dxfId="157" priority="209" operator="equal">
      <formula>1</formula>
    </cfRule>
    <cfRule type="cellIs" dxfId="156" priority="210" operator="equal">
      <formula>0</formula>
    </cfRule>
  </conditionalFormatting>
  <conditionalFormatting sqref="Y87">
    <cfRule type="cellIs" dxfId="155" priority="205" operator="equal">
      <formula>2</formula>
    </cfRule>
    <cfRule type="cellIs" dxfId="154" priority="206" operator="equal">
      <formula>1</formula>
    </cfRule>
    <cfRule type="cellIs" dxfId="153" priority="207" operator="equal">
      <formula>0</formula>
    </cfRule>
  </conditionalFormatting>
  <conditionalFormatting sqref="Y88">
    <cfRule type="cellIs" dxfId="152" priority="202" operator="equal">
      <formula>2</formula>
    </cfRule>
    <cfRule type="cellIs" dxfId="151" priority="203" operator="equal">
      <formula>1</formula>
    </cfRule>
    <cfRule type="cellIs" dxfId="150" priority="204" operator="equal">
      <formula>0</formula>
    </cfRule>
  </conditionalFormatting>
  <conditionalFormatting sqref="Y89">
    <cfRule type="cellIs" dxfId="149" priority="199" operator="equal">
      <formula>2</formula>
    </cfRule>
    <cfRule type="cellIs" dxfId="148" priority="200" operator="equal">
      <formula>1</formula>
    </cfRule>
    <cfRule type="cellIs" dxfId="147" priority="201" operator="equal">
      <formula>0</formula>
    </cfRule>
  </conditionalFormatting>
  <conditionalFormatting sqref="Y90">
    <cfRule type="cellIs" dxfId="146" priority="196" operator="equal">
      <formula>2</formula>
    </cfRule>
    <cfRule type="cellIs" dxfId="145" priority="197" operator="equal">
      <formula>1</formula>
    </cfRule>
    <cfRule type="cellIs" dxfId="144" priority="198" operator="equal">
      <formula>0</formula>
    </cfRule>
  </conditionalFormatting>
  <conditionalFormatting sqref="Y91">
    <cfRule type="cellIs" dxfId="143" priority="193" operator="equal">
      <formula>2</formula>
    </cfRule>
    <cfRule type="cellIs" dxfId="142" priority="194" operator="equal">
      <formula>1</formula>
    </cfRule>
    <cfRule type="cellIs" dxfId="141" priority="195" operator="equal">
      <formula>0</formula>
    </cfRule>
  </conditionalFormatting>
  <conditionalFormatting sqref="Y92">
    <cfRule type="cellIs" dxfId="140" priority="190" operator="equal">
      <formula>2</formula>
    </cfRule>
    <cfRule type="cellIs" dxfId="139" priority="191" operator="equal">
      <formula>1</formula>
    </cfRule>
    <cfRule type="cellIs" dxfId="138" priority="192" operator="equal">
      <formula>0</formula>
    </cfRule>
  </conditionalFormatting>
  <conditionalFormatting sqref="Y93">
    <cfRule type="cellIs" dxfId="137" priority="187" operator="equal">
      <formula>2</formula>
    </cfRule>
    <cfRule type="cellIs" dxfId="136" priority="188" operator="equal">
      <formula>1</formula>
    </cfRule>
    <cfRule type="cellIs" dxfId="135" priority="189" operator="equal">
      <formula>0</formula>
    </cfRule>
  </conditionalFormatting>
  <conditionalFormatting sqref="Y94">
    <cfRule type="cellIs" dxfId="134" priority="184" operator="equal">
      <formula>2</formula>
    </cfRule>
    <cfRule type="cellIs" dxfId="133" priority="185" operator="equal">
      <formula>1</formula>
    </cfRule>
    <cfRule type="cellIs" dxfId="132" priority="186" operator="equal">
      <formula>0</formula>
    </cfRule>
  </conditionalFormatting>
  <conditionalFormatting sqref="Y95">
    <cfRule type="cellIs" dxfId="131" priority="181" operator="equal">
      <formula>2</formula>
    </cfRule>
    <cfRule type="cellIs" dxfId="130" priority="182" operator="equal">
      <formula>1</formula>
    </cfRule>
    <cfRule type="cellIs" dxfId="129" priority="183" operator="equal">
      <formula>0</formula>
    </cfRule>
  </conditionalFormatting>
  <conditionalFormatting sqref="Y96">
    <cfRule type="cellIs" dxfId="128" priority="178" operator="equal">
      <formula>2</formula>
    </cfRule>
    <cfRule type="cellIs" dxfId="127" priority="179" operator="equal">
      <formula>1</formula>
    </cfRule>
    <cfRule type="cellIs" dxfId="126" priority="180" operator="equal">
      <formula>0</formula>
    </cfRule>
  </conditionalFormatting>
  <conditionalFormatting sqref="Y98">
    <cfRule type="cellIs" dxfId="125" priority="118" operator="equal">
      <formula>2</formula>
    </cfRule>
    <cfRule type="cellIs" dxfId="124" priority="119" operator="equal">
      <formula>1</formula>
    </cfRule>
    <cfRule type="cellIs" dxfId="123" priority="120" operator="equal">
      <formula>0</formula>
    </cfRule>
  </conditionalFormatting>
  <conditionalFormatting sqref="Y99">
    <cfRule type="cellIs" dxfId="122" priority="115" operator="equal">
      <formula>2</formula>
    </cfRule>
    <cfRule type="cellIs" dxfId="121" priority="116" operator="equal">
      <formula>1</formula>
    </cfRule>
    <cfRule type="cellIs" dxfId="120" priority="117" operator="equal">
      <formula>0</formula>
    </cfRule>
  </conditionalFormatting>
  <conditionalFormatting sqref="Y100">
    <cfRule type="cellIs" dxfId="119" priority="112" operator="equal">
      <formula>2</formula>
    </cfRule>
    <cfRule type="cellIs" dxfId="118" priority="113" operator="equal">
      <formula>1</formula>
    </cfRule>
    <cfRule type="cellIs" dxfId="117" priority="114" operator="equal">
      <formula>0</formula>
    </cfRule>
  </conditionalFormatting>
  <conditionalFormatting sqref="Y101">
    <cfRule type="cellIs" dxfId="116" priority="109" operator="equal">
      <formula>2</formula>
    </cfRule>
    <cfRule type="cellIs" dxfId="115" priority="110" operator="equal">
      <formula>1</formula>
    </cfRule>
    <cfRule type="cellIs" dxfId="114" priority="111" operator="equal">
      <formula>0</formula>
    </cfRule>
  </conditionalFormatting>
  <conditionalFormatting sqref="Y102">
    <cfRule type="cellIs" dxfId="113" priority="106" operator="equal">
      <formula>2</formula>
    </cfRule>
    <cfRule type="cellIs" dxfId="112" priority="107" operator="equal">
      <formula>1</formula>
    </cfRule>
    <cfRule type="cellIs" dxfId="111" priority="108" operator="equal">
      <formula>0</formula>
    </cfRule>
  </conditionalFormatting>
  <conditionalFormatting sqref="Y103">
    <cfRule type="cellIs" dxfId="110" priority="103" operator="equal">
      <formula>2</formula>
    </cfRule>
    <cfRule type="cellIs" dxfId="109" priority="104" operator="equal">
      <formula>1</formula>
    </cfRule>
    <cfRule type="cellIs" dxfId="108" priority="105" operator="equal">
      <formula>0</formula>
    </cfRule>
  </conditionalFormatting>
  <conditionalFormatting sqref="Y104">
    <cfRule type="cellIs" dxfId="107" priority="100" operator="equal">
      <formula>2</formula>
    </cfRule>
    <cfRule type="cellIs" dxfId="106" priority="101" operator="equal">
      <formula>1</formula>
    </cfRule>
    <cfRule type="cellIs" dxfId="105" priority="102" operator="equal">
      <formula>0</formula>
    </cfRule>
  </conditionalFormatting>
  <conditionalFormatting sqref="Y105">
    <cfRule type="cellIs" dxfId="104" priority="97" operator="equal">
      <formula>2</formula>
    </cfRule>
    <cfRule type="cellIs" dxfId="103" priority="98" operator="equal">
      <formula>1</formula>
    </cfRule>
    <cfRule type="cellIs" dxfId="102" priority="99" operator="equal">
      <formula>0</formula>
    </cfRule>
  </conditionalFormatting>
  <conditionalFormatting sqref="Y106">
    <cfRule type="cellIs" dxfId="101" priority="94" operator="equal">
      <formula>2</formula>
    </cfRule>
    <cfRule type="cellIs" dxfId="100" priority="95" operator="equal">
      <formula>1</formula>
    </cfRule>
    <cfRule type="cellIs" dxfId="99" priority="96" operator="equal">
      <formula>0</formula>
    </cfRule>
  </conditionalFormatting>
  <conditionalFormatting sqref="Y108">
    <cfRule type="cellIs" dxfId="98" priority="91" operator="equal">
      <formula>2</formula>
    </cfRule>
    <cfRule type="cellIs" dxfId="97" priority="92" operator="equal">
      <formula>1</formula>
    </cfRule>
    <cfRule type="cellIs" dxfId="96" priority="93" operator="equal">
      <formula>0</formula>
    </cfRule>
  </conditionalFormatting>
  <conditionalFormatting sqref="Y107">
    <cfRule type="cellIs" dxfId="95" priority="88" operator="equal">
      <formula>2</formula>
    </cfRule>
    <cfRule type="cellIs" dxfId="94" priority="89" operator="equal">
      <formula>1</formula>
    </cfRule>
    <cfRule type="cellIs" dxfId="93" priority="90" operator="equal">
      <formula>0</formula>
    </cfRule>
  </conditionalFormatting>
  <conditionalFormatting sqref="Y109">
    <cfRule type="cellIs" dxfId="92" priority="85" operator="equal">
      <formula>2</formula>
    </cfRule>
    <cfRule type="cellIs" dxfId="91" priority="86" operator="equal">
      <formula>1</formula>
    </cfRule>
    <cfRule type="cellIs" dxfId="90" priority="87" operator="equal">
      <formula>0</formula>
    </cfRule>
  </conditionalFormatting>
  <conditionalFormatting sqref="Y110">
    <cfRule type="cellIs" dxfId="89" priority="82" operator="equal">
      <formula>2</formula>
    </cfRule>
    <cfRule type="cellIs" dxfId="88" priority="83" operator="equal">
      <formula>1</formula>
    </cfRule>
    <cfRule type="cellIs" dxfId="87" priority="84" operator="equal">
      <formula>0</formula>
    </cfRule>
  </conditionalFormatting>
  <conditionalFormatting sqref="Y111">
    <cfRule type="cellIs" dxfId="86" priority="79" operator="equal">
      <formula>2</formula>
    </cfRule>
    <cfRule type="cellIs" dxfId="85" priority="80" operator="equal">
      <formula>1</formula>
    </cfRule>
    <cfRule type="cellIs" dxfId="84" priority="81" operator="equal">
      <formula>0</formula>
    </cfRule>
  </conditionalFormatting>
  <conditionalFormatting sqref="Y112">
    <cfRule type="cellIs" dxfId="83" priority="76" operator="equal">
      <formula>2</formula>
    </cfRule>
    <cfRule type="cellIs" dxfId="82" priority="77" operator="equal">
      <formula>1</formula>
    </cfRule>
    <cfRule type="cellIs" dxfId="81" priority="78" operator="equal">
      <formula>0</formula>
    </cfRule>
  </conditionalFormatting>
  <conditionalFormatting sqref="Y113">
    <cfRule type="cellIs" dxfId="80" priority="73" operator="equal">
      <formula>2</formula>
    </cfRule>
    <cfRule type="cellIs" dxfId="79" priority="74" operator="equal">
      <formula>1</formula>
    </cfRule>
    <cfRule type="cellIs" dxfId="78" priority="75" operator="equal">
      <formula>0</formula>
    </cfRule>
  </conditionalFormatting>
  <conditionalFormatting sqref="Y114">
    <cfRule type="cellIs" dxfId="77" priority="70" operator="equal">
      <formula>2</formula>
    </cfRule>
    <cfRule type="cellIs" dxfId="76" priority="71" operator="equal">
      <formula>1</formula>
    </cfRule>
    <cfRule type="cellIs" dxfId="75" priority="72" operator="equal">
      <formula>0</formula>
    </cfRule>
  </conditionalFormatting>
  <conditionalFormatting sqref="Y115">
    <cfRule type="cellIs" dxfId="74" priority="67" operator="equal">
      <formula>2</formula>
    </cfRule>
    <cfRule type="cellIs" dxfId="73" priority="68" operator="equal">
      <formula>1</formula>
    </cfRule>
    <cfRule type="cellIs" dxfId="72" priority="69" operator="equal">
      <formula>0</formula>
    </cfRule>
  </conditionalFormatting>
  <conditionalFormatting sqref="Y116">
    <cfRule type="cellIs" dxfId="71" priority="64" operator="equal">
      <formula>2</formula>
    </cfRule>
    <cfRule type="cellIs" dxfId="70" priority="65" operator="equal">
      <formula>1</formula>
    </cfRule>
    <cfRule type="cellIs" dxfId="69" priority="66" operator="equal">
      <formula>0</formula>
    </cfRule>
  </conditionalFormatting>
  <conditionalFormatting sqref="M98">
    <cfRule type="cellIs" dxfId="68" priority="55" operator="equal">
      <formula>2</formula>
    </cfRule>
    <cfRule type="cellIs" dxfId="67" priority="56" operator="equal">
      <formula>1</formula>
    </cfRule>
    <cfRule type="cellIs" dxfId="66" priority="57" operator="equal">
      <formula>0</formula>
    </cfRule>
  </conditionalFormatting>
  <conditionalFormatting sqref="M99">
    <cfRule type="cellIs" dxfId="65" priority="52" operator="equal">
      <formula>2</formula>
    </cfRule>
    <cfRule type="cellIs" dxfId="64" priority="53" operator="equal">
      <formula>1</formula>
    </cfRule>
    <cfRule type="cellIs" dxfId="63" priority="54" operator="equal">
      <formula>0</formula>
    </cfRule>
  </conditionalFormatting>
  <conditionalFormatting sqref="M100">
    <cfRule type="cellIs" dxfId="62" priority="49" operator="equal">
      <formula>2</formula>
    </cfRule>
    <cfRule type="cellIs" dxfId="61" priority="50" operator="equal">
      <formula>1</formula>
    </cfRule>
    <cfRule type="cellIs" dxfId="60" priority="51" operator="equal">
      <formula>0</formula>
    </cfRule>
  </conditionalFormatting>
  <conditionalFormatting sqref="M101">
    <cfRule type="cellIs" dxfId="59" priority="46" operator="equal">
      <formula>2</formula>
    </cfRule>
    <cfRule type="cellIs" dxfId="58" priority="47" operator="equal">
      <formula>1</formula>
    </cfRule>
    <cfRule type="cellIs" dxfId="57" priority="48" operator="equal">
      <formula>0</formula>
    </cfRule>
  </conditionalFormatting>
  <conditionalFormatting sqref="M102">
    <cfRule type="cellIs" dxfId="56" priority="43" operator="equal">
      <formula>2</formula>
    </cfRule>
    <cfRule type="cellIs" dxfId="55" priority="44" operator="equal">
      <formula>1</formula>
    </cfRule>
    <cfRule type="cellIs" dxfId="54" priority="45" operator="equal">
      <formula>0</formula>
    </cfRule>
  </conditionalFormatting>
  <conditionalFormatting sqref="M103">
    <cfRule type="cellIs" dxfId="53" priority="40" operator="equal">
      <formula>2</formula>
    </cfRule>
    <cfRule type="cellIs" dxfId="52" priority="41" operator="equal">
      <formula>1</formula>
    </cfRule>
    <cfRule type="cellIs" dxfId="51" priority="42" operator="equal">
      <formula>0</formula>
    </cfRule>
  </conditionalFormatting>
  <conditionalFormatting sqref="M104">
    <cfRule type="cellIs" dxfId="50" priority="37" operator="equal">
      <formula>2</formula>
    </cfRule>
    <cfRule type="cellIs" dxfId="49" priority="38" operator="equal">
      <formula>1</formula>
    </cfRule>
    <cfRule type="cellIs" dxfId="48" priority="39" operator="equal">
      <formula>0</formula>
    </cfRule>
  </conditionalFormatting>
  <conditionalFormatting sqref="M105">
    <cfRule type="cellIs" dxfId="47" priority="34" operator="equal">
      <formula>2</formula>
    </cfRule>
    <cfRule type="cellIs" dxfId="46" priority="35" operator="equal">
      <formula>1</formula>
    </cfRule>
    <cfRule type="cellIs" dxfId="45" priority="36" operator="equal">
      <formula>0</formula>
    </cfRule>
  </conditionalFormatting>
  <conditionalFormatting sqref="M106">
    <cfRule type="cellIs" dxfId="44" priority="31" operator="equal">
      <formula>2</formula>
    </cfRule>
    <cfRule type="cellIs" dxfId="43" priority="32" operator="equal">
      <formula>1</formula>
    </cfRule>
    <cfRule type="cellIs" dxfId="42" priority="33" operator="equal">
      <formula>0</formula>
    </cfRule>
  </conditionalFormatting>
  <conditionalFormatting sqref="M108">
    <cfRule type="cellIs" dxfId="41" priority="28" operator="equal">
      <formula>2</formula>
    </cfRule>
    <cfRule type="cellIs" dxfId="40" priority="29" operator="equal">
      <formula>1</formula>
    </cfRule>
    <cfRule type="cellIs" dxfId="39" priority="30" operator="equal">
      <formula>0</formula>
    </cfRule>
  </conditionalFormatting>
  <conditionalFormatting sqref="M107">
    <cfRule type="cellIs" dxfId="38" priority="25" operator="equal">
      <formula>2</formula>
    </cfRule>
    <cfRule type="cellIs" dxfId="37" priority="26" operator="equal">
      <formula>1</formula>
    </cfRule>
    <cfRule type="cellIs" dxfId="36" priority="27" operator="equal">
      <formula>0</formula>
    </cfRule>
  </conditionalFormatting>
  <conditionalFormatting sqref="M109">
    <cfRule type="cellIs" dxfId="35" priority="22" operator="equal">
      <formula>2</formula>
    </cfRule>
    <cfRule type="cellIs" dxfId="34" priority="23" operator="equal">
      <formula>1</formula>
    </cfRule>
    <cfRule type="cellIs" dxfId="33" priority="24" operator="equal">
      <formula>0</formula>
    </cfRule>
  </conditionalFormatting>
  <conditionalFormatting sqref="M110">
    <cfRule type="cellIs" dxfId="32" priority="19" operator="equal">
      <formula>2</formula>
    </cfRule>
    <cfRule type="cellIs" dxfId="31" priority="20" operator="equal">
      <formula>1</formula>
    </cfRule>
    <cfRule type="cellIs" dxfId="30" priority="21" operator="equal">
      <formula>0</formula>
    </cfRule>
  </conditionalFormatting>
  <conditionalFormatting sqref="M111">
    <cfRule type="cellIs" dxfId="29" priority="16" operator="equal">
      <formula>2</formula>
    </cfRule>
    <cfRule type="cellIs" dxfId="28" priority="17" operator="equal">
      <formula>1</formula>
    </cfRule>
    <cfRule type="cellIs" dxfId="27" priority="18" operator="equal">
      <formula>0</formula>
    </cfRule>
  </conditionalFormatting>
  <conditionalFormatting sqref="M112">
    <cfRule type="cellIs" dxfId="26" priority="13" operator="equal">
      <formula>2</formula>
    </cfRule>
    <cfRule type="cellIs" dxfId="25" priority="14" operator="equal">
      <formula>1</formula>
    </cfRule>
    <cfRule type="cellIs" dxfId="24" priority="15" operator="equal">
      <formula>0</formula>
    </cfRule>
  </conditionalFormatting>
  <conditionalFormatting sqref="M113">
    <cfRule type="cellIs" dxfId="23" priority="10" operator="equal">
      <formula>2</formula>
    </cfRule>
    <cfRule type="cellIs" dxfId="22" priority="11" operator="equal">
      <formula>1</formula>
    </cfRule>
    <cfRule type="cellIs" dxfId="21" priority="12" operator="equal">
      <formula>0</formula>
    </cfRule>
  </conditionalFormatting>
  <conditionalFormatting sqref="M114">
    <cfRule type="cellIs" dxfId="20" priority="7" operator="equal">
      <formula>2</formula>
    </cfRule>
    <cfRule type="cellIs" dxfId="19" priority="8" operator="equal">
      <formula>1</formula>
    </cfRule>
    <cfRule type="cellIs" dxfId="18" priority="9" operator="equal">
      <formula>0</formula>
    </cfRule>
  </conditionalFormatting>
  <conditionalFormatting sqref="M115">
    <cfRule type="cellIs" dxfId="17" priority="4" operator="equal">
      <formula>2</formula>
    </cfRule>
    <cfRule type="cellIs" dxfId="16" priority="5" operator="equal">
      <formula>1</formula>
    </cfRule>
    <cfRule type="cellIs" dxfId="15" priority="6" operator="equal">
      <formula>0</formula>
    </cfRule>
  </conditionalFormatting>
  <conditionalFormatting sqref="M116">
    <cfRule type="cellIs" dxfId="14" priority="1" operator="equal">
      <formula>2</formula>
    </cfRule>
    <cfRule type="cellIs" dxfId="13" priority="2" operator="equal">
      <formula>1</formula>
    </cfRule>
    <cfRule type="cellIs" dxfId="12" priority="3" operator="equal">
      <formula>0</formula>
    </cfRule>
  </conditionalFormatting>
  <dataValidations count="1">
    <dataValidation allowBlank="1" showDropDown="1" showErrorMessage="1" errorTitle="Do Not change this cell" error="Only a &quot;Y&quot;, &quot;N&quot; or &quot;DNA&quot;  is allowed" sqref="M167:M184 S167:S184 AE167:AE184 AK167:AK184 AQ167:AQ184 AW167:AW184 BC167:BC184 BI167:BI184 BO167:BO184 BU167:BU184 CA144:CA162 CG167:CG184 G167:G184 BU144:BU162 CG98:CG113 BO98:BO113 BC98:BC113 AQ98:AQ113 AE98:AE113 S98:S113 G98:G113 BO144:BO162 BI144:BI162 BC144:BC162 AW144:AW162 AQ144:AQ162 AK144:AK162 AE144:AE162 CA167:CA184 S144:S162 M144:M162 G144:G162 CG144:CG162 CA98:CA113 Y167:Y184 Y144:Y162 Y118:Y139 BI118:BI139 BO118:BO139 BU118:BU139 CG118:CG139 CA118:CA139 M118:M139 G118:G139 S118:S139 AW118:AW139 AK118:AK139 AE118:AE139 AQ118:AQ139 BC118:BC139" xr:uid="{00000000-0002-0000-0200-000000000000}"/>
  </dataValidations>
  <printOptions horizontalCentered="1"/>
  <pageMargins left="0.31496062992125984" right="0.31496062992125984" top="0.19685039370078741" bottom="0.19685039370078741" header="0" footer="0"/>
  <pageSetup paperSize="9" scale="50" fitToWidth="0" fitToHeight="0" orientation="portrait" r:id="rId1"/>
  <headerFooter>
    <oddFooter>&amp;LPG 369.02 ed. 2  09/01/2020</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filterMode="1">
    <tabColor theme="8"/>
    <pageSetUpPr fitToPage="1"/>
  </sheetPr>
  <dimension ref="A1:AB1476"/>
  <sheetViews>
    <sheetView zoomScale="52" zoomScaleNormal="52" workbookViewId="0">
      <pane ySplit="8" topLeftCell="A239" activePane="bottomLeft" state="frozen"/>
      <selection activeCell="I1" sqref="I1"/>
      <selection pane="bottomLeft" activeCell="A250" sqref="A250"/>
    </sheetView>
  </sheetViews>
  <sheetFormatPr baseColWidth="10" defaultColWidth="11.42578125" defaultRowHeight="15" x14ac:dyDescent="0.25"/>
  <cols>
    <col min="1" max="1" width="10.42578125" bestFit="1" customWidth="1"/>
    <col min="2" max="2" width="15.140625" style="113" bestFit="1" customWidth="1"/>
    <col min="3" max="3" width="16" style="1" bestFit="1" customWidth="1"/>
    <col min="4" max="4" width="27.42578125" style="446" customWidth="1"/>
    <col min="5" max="5" width="30.28515625" style="113" bestFit="1" customWidth="1"/>
    <col min="6" max="6" width="49.85546875" customWidth="1"/>
    <col min="7" max="7" width="0.5703125" customWidth="1"/>
    <col min="8" max="8" width="17.42578125" customWidth="1"/>
    <col min="9" max="9" width="15.85546875" customWidth="1"/>
    <col min="10" max="10" width="47.85546875" customWidth="1"/>
    <col min="11" max="11" width="7.28515625" customWidth="1"/>
    <col min="12" max="12" width="11.140625" customWidth="1"/>
    <col min="13" max="13" width="51.85546875" customWidth="1"/>
    <col min="14" max="14" width="21.85546875" customWidth="1"/>
    <col min="15" max="15" width="1.7109375" customWidth="1"/>
    <col min="16" max="16" width="11.28515625" customWidth="1"/>
    <col min="17" max="17" width="39.140625" style="446" bestFit="1" customWidth="1"/>
    <col min="18" max="18" width="34.42578125" style="113" bestFit="1" customWidth="1"/>
    <col min="19" max="19" width="20" style="446" bestFit="1" customWidth="1"/>
    <col min="20" max="20" width="8.42578125" style="113" bestFit="1" customWidth="1"/>
    <col min="21" max="21" width="92.140625" style="178" bestFit="1" customWidth="1"/>
    <col min="22" max="22" width="14.28515625" style="1" bestFit="1" customWidth="1"/>
    <col min="23" max="23" width="6.5703125" bestFit="1" customWidth="1"/>
    <col min="24" max="24" width="12.5703125" customWidth="1"/>
    <col min="25" max="25" width="13.5703125" customWidth="1"/>
    <col min="26" max="28" width="13.5703125" bestFit="1" customWidth="1"/>
  </cols>
  <sheetData>
    <row r="1" spans="1:28" x14ac:dyDescent="0.25">
      <c r="A1" s="515"/>
      <c r="B1" s="516"/>
      <c r="C1" s="516"/>
      <c r="D1" s="517"/>
      <c r="E1" s="517"/>
      <c r="F1" s="518"/>
      <c r="G1" s="542" t="s">
        <v>0</v>
      </c>
      <c r="H1" s="543"/>
      <c r="I1" s="543"/>
      <c r="J1" s="543"/>
      <c r="K1" s="543"/>
      <c r="L1" s="543"/>
      <c r="M1" s="543"/>
      <c r="N1" s="543"/>
      <c r="O1" s="543"/>
      <c r="P1" s="543"/>
      <c r="Q1" s="544"/>
      <c r="R1" s="500" t="s">
        <v>1</v>
      </c>
      <c r="S1" s="501"/>
      <c r="T1" s="502"/>
      <c r="U1" s="490"/>
    </row>
    <row r="2" spans="1:28" x14ac:dyDescent="0.25">
      <c r="A2" s="519"/>
      <c r="B2" s="520"/>
      <c r="C2" s="520"/>
      <c r="D2" s="521"/>
      <c r="E2" s="521"/>
      <c r="F2" s="522"/>
      <c r="G2" s="545"/>
      <c r="H2" s="546"/>
      <c r="I2" s="546"/>
      <c r="J2" s="546"/>
      <c r="K2" s="546"/>
      <c r="L2" s="546"/>
      <c r="M2" s="546"/>
      <c r="N2" s="546"/>
      <c r="O2" s="546"/>
      <c r="P2" s="546"/>
      <c r="Q2" s="547"/>
      <c r="R2" s="503" t="s">
        <v>4</v>
      </c>
      <c r="S2" s="504"/>
      <c r="T2" s="505"/>
      <c r="U2" s="490"/>
      <c r="W2" t="s">
        <v>3</v>
      </c>
    </row>
    <row r="3" spans="1:28" x14ac:dyDescent="0.25">
      <c r="A3" s="519"/>
      <c r="B3" s="520"/>
      <c r="C3" s="520"/>
      <c r="D3" s="521"/>
      <c r="E3" s="521"/>
      <c r="F3" s="522"/>
      <c r="G3" s="530" t="s">
        <v>5</v>
      </c>
      <c r="H3" s="532" t="str">
        <f>'INFORME AUDIT INTERNA'!C3</f>
        <v>MARCILLA</v>
      </c>
      <c r="I3" s="532"/>
      <c r="J3" s="532"/>
      <c r="K3" s="533"/>
      <c r="L3" s="536" t="s">
        <v>7</v>
      </c>
      <c r="M3" s="538">
        <v>2026</v>
      </c>
      <c r="N3" s="538"/>
      <c r="O3" s="538"/>
      <c r="P3" s="538"/>
      <c r="Q3" s="539"/>
      <c r="R3" s="506">
        <v>45288</v>
      </c>
      <c r="S3" s="507"/>
      <c r="T3" s="508"/>
      <c r="U3" s="491"/>
      <c r="X3" s="1"/>
      <c r="Y3" s="1"/>
    </row>
    <row r="4" spans="1:28" x14ac:dyDescent="0.25">
      <c r="A4" s="523"/>
      <c r="B4" s="524"/>
      <c r="C4" s="524"/>
      <c r="D4" s="525"/>
      <c r="E4" s="525"/>
      <c r="F4" s="526"/>
      <c r="G4" s="531"/>
      <c r="H4" s="534"/>
      <c r="I4" s="534"/>
      <c r="J4" s="534"/>
      <c r="K4" s="535"/>
      <c r="L4" s="537"/>
      <c r="M4" s="540"/>
      <c r="N4" s="540"/>
      <c r="O4" s="540"/>
      <c r="P4" s="540"/>
      <c r="Q4" s="541"/>
      <c r="R4" s="509" t="s">
        <v>620</v>
      </c>
      <c r="S4" s="510"/>
      <c r="T4" s="511"/>
      <c r="U4" s="490"/>
      <c r="V4" s="131">
        <f ca="1">TODAY()</f>
        <v>46318</v>
      </c>
      <c r="X4" s="43"/>
    </row>
    <row r="5" spans="1:28" ht="21" x14ac:dyDescent="0.25">
      <c r="A5" s="43"/>
      <c r="B5" s="446"/>
      <c r="C5" s="43"/>
      <c r="E5" s="446"/>
      <c r="F5" s="43"/>
      <c r="G5" s="318"/>
      <c r="H5" s="319"/>
      <c r="I5" s="319"/>
      <c r="J5" s="319"/>
      <c r="K5" s="319"/>
      <c r="L5" s="320"/>
      <c r="M5" s="321"/>
      <c r="N5" s="321"/>
      <c r="O5" s="321"/>
      <c r="P5" s="321"/>
      <c r="Q5" s="321"/>
      <c r="R5" s="473"/>
      <c r="S5" s="322"/>
      <c r="T5" s="473"/>
      <c r="U5" s="490"/>
      <c r="X5" s="43"/>
    </row>
    <row r="6" spans="1:28" ht="21" x14ac:dyDescent="0.3">
      <c r="A6" s="43"/>
      <c r="B6" s="472"/>
      <c r="C6" s="323" t="s">
        <v>28</v>
      </c>
      <c r="D6" s="454">
        <f>COUNTA(#REF!)</f>
        <v>1</v>
      </c>
      <c r="G6" s="324"/>
      <c r="H6" s="325"/>
      <c r="I6" s="326" t="s">
        <v>621</v>
      </c>
      <c r="J6" s="327" t="e">
        <f>COUNTIFS(#REF!,"&lt;&gt;",#REF!,"&lt;=0")</f>
        <v>#REF!</v>
      </c>
      <c r="L6" s="324"/>
      <c r="M6" s="325"/>
      <c r="N6" s="326" t="s">
        <v>622</v>
      </c>
      <c r="O6" s="327">
        <f>COUNTA(#REF!)</f>
        <v>1</v>
      </c>
      <c r="Q6" s="325"/>
      <c r="R6" s="325" t="s">
        <v>623</v>
      </c>
      <c r="S6" s="467" t="e">
        <f>COUNTIF(#REF!,"Abierta")</f>
        <v>#REF!</v>
      </c>
      <c r="X6" s="43"/>
    </row>
    <row r="7" spans="1:28" ht="15.75" thickBot="1" x14ac:dyDescent="0.3"/>
    <row r="8" spans="1:28" x14ac:dyDescent="0.25">
      <c r="A8" s="403" t="s">
        <v>624</v>
      </c>
      <c r="B8" s="471" t="s">
        <v>625</v>
      </c>
      <c r="C8" s="404" t="s">
        <v>626</v>
      </c>
      <c r="D8" s="453" t="s">
        <v>627</v>
      </c>
      <c r="E8" s="404" t="s">
        <v>628</v>
      </c>
      <c r="F8" s="512" t="s">
        <v>629</v>
      </c>
      <c r="G8" s="513"/>
      <c r="H8" s="513"/>
      <c r="I8" s="514"/>
      <c r="J8" s="487" t="s">
        <v>630</v>
      </c>
      <c r="K8" s="488"/>
      <c r="L8" s="489"/>
      <c r="M8" s="527" t="s">
        <v>631</v>
      </c>
      <c r="N8" s="528"/>
      <c r="O8" s="528"/>
      <c r="P8" s="529"/>
      <c r="Q8" s="452" t="s">
        <v>632</v>
      </c>
      <c r="R8" s="452" t="s">
        <v>633</v>
      </c>
      <c r="S8" s="466" t="s">
        <v>634</v>
      </c>
      <c r="T8" s="466" t="s">
        <v>635</v>
      </c>
      <c r="U8" s="435" t="s">
        <v>636</v>
      </c>
      <c r="V8" s="435" t="s">
        <v>637</v>
      </c>
      <c r="W8" s="435" t="s">
        <v>638</v>
      </c>
      <c r="X8" t="s">
        <v>639</v>
      </c>
      <c r="Y8" t="s">
        <v>640</v>
      </c>
      <c r="Z8" t="s">
        <v>641</v>
      </c>
      <c r="AA8" t="s">
        <v>642</v>
      </c>
      <c r="AB8" t="s">
        <v>643</v>
      </c>
    </row>
    <row r="9" spans="1:28" hidden="1" x14ac:dyDescent="0.25">
      <c r="A9" s="458">
        <v>1</v>
      </c>
      <c r="B9" s="479">
        <v>46042</v>
      </c>
      <c r="C9" s="480" t="s">
        <v>174</v>
      </c>
      <c r="D9" s="480" t="s">
        <v>644</v>
      </c>
      <c r="E9" s="480" t="s">
        <v>645</v>
      </c>
      <c r="F9" s="496" t="s">
        <v>646</v>
      </c>
      <c r="G9" s="497"/>
      <c r="H9" s="497"/>
      <c r="I9" s="498"/>
      <c r="J9" s="496" t="s">
        <v>647</v>
      </c>
      <c r="K9" s="497"/>
      <c r="L9" s="498"/>
      <c r="M9" s="496" t="s">
        <v>648</v>
      </c>
      <c r="N9" s="497"/>
      <c r="O9" s="497"/>
      <c r="P9" s="498"/>
      <c r="Q9" s="480" t="s">
        <v>649</v>
      </c>
      <c r="R9" s="479">
        <v>46072</v>
      </c>
      <c r="S9" s="479">
        <v>46072</v>
      </c>
      <c r="T9" s="480" t="s">
        <v>41</v>
      </c>
      <c r="U9" s="458"/>
      <c r="V9" s="460"/>
      <c r="W9" s="458"/>
    </row>
    <row r="10" spans="1:28" ht="14.45" hidden="1" customHeight="1" x14ac:dyDescent="0.25">
      <c r="A10" s="458">
        <v>2</v>
      </c>
      <c r="B10" s="477">
        <v>46042</v>
      </c>
      <c r="C10" s="478" t="s">
        <v>183</v>
      </c>
      <c r="D10" s="478" t="s">
        <v>644</v>
      </c>
      <c r="E10" s="478" t="s">
        <v>645</v>
      </c>
      <c r="F10" s="496" t="s">
        <v>650</v>
      </c>
      <c r="G10" s="497"/>
      <c r="H10" s="497"/>
      <c r="I10" s="498"/>
      <c r="J10" s="496" t="s">
        <v>651</v>
      </c>
      <c r="K10" s="497"/>
      <c r="L10" s="498"/>
      <c r="M10" s="496" t="s">
        <v>652</v>
      </c>
      <c r="N10" s="497"/>
      <c r="O10" s="497"/>
      <c r="P10" s="498"/>
      <c r="Q10" s="478" t="s">
        <v>649</v>
      </c>
      <c r="R10" s="477">
        <v>46072</v>
      </c>
      <c r="S10" s="477">
        <v>46062</v>
      </c>
      <c r="T10" s="478" t="s">
        <v>41</v>
      </c>
      <c r="U10" s="458"/>
      <c r="V10" s="460"/>
      <c r="W10" s="458"/>
    </row>
    <row r="11" spans="1:28" ht="14.45" hidden="1" customHeight="1" x14ac:dyDescent="0.25">
      <c r="A11" s="458">
        <v>3</v>
      </c>
      <c r="B11" s="479">
        <v>46042</v>
      </c>
      <c r="C11" s="480" t="s">
        <v>226</v>
      </c>
      <c r="D11" s="480" t="s">
        <v>644</v>
      </c>
      <c r="E11" s="480" t="s">
        <v>653</v>
      </c>
      <c r="F11" s="496" t="s">
        <v>654</v>
      </c>
      <c r="G11" s="497"/>
      <c r="H11" s="497"/>
      <c r="I11" s="498"/>
      <c r="J11" s="496" t="s">
        <v>655</v>
      </c>
      <c r="K11" s="497"/>
      <c r="L11" s="498"/>
      <c r="M11" s="496" t="s">
        <v>656</v>
      </c>
      <c r="N11" s="497"/>
      <c r="O11" s="497"/>
      <c r="P11" s="498"/>
      <c r="Q11" s="480" t="s">
        <v>657</v>
      </c>
      <c r="R11" s="479">
        <v>46072</v>
      </c>
      <c r="S11" s="479">
        <v>46072</v>
      </c>
      <c r="T11" s="480" t="s">
        <v>41</v>
      </c>
      <c r="U11" s="458"/>
      <c r="V11" s="460"/>
      <c r="W11" s="458"/>
    </row>
    <row r="12" spans="1:28" ht="14.45" hidden="1" customHeight="1" x14ac:dyDescent="0.25">
      <c r="A12" s="458">
        <v>4</v>
      </c>
      <c r="B12" s="477">
        <v>46042</v>
      </c>
      <c r="C12" s="478" t="s">
        <v>165</v>
      </c>
      <c r="D12" s="478" t="s">
        <v>644</v>
      </c>
      <c r="E12" s="478" t="s">
        <v>645</v>
      </c>
      <c r="F12" s="496" t="s">
        <v>658</v>
      </c>
      <c r="G12" s="497"/>
      <c r="H12" s="497"/>
      <c r="I12" s="498"/>
      <c r="J12" s="496" t="s">
        <v>659</v>
      </c>
      <c r="K12" s="497"/>
      <c r="L12" s="498"/>
      <c r="M12" s="496" t="s">
        <v>660</v>
      </c>
      <c r="N12" s="497"/>
      <c r="O12" s="497"/>
      <c r="P12" s="498"/>
      <c r="Q12" s="478" t="s">
        <v>649</v>
      </c>
      <c r="R12" s="477">
        <v>46072</v>
      </c>
      <c r="S12" s="477">
        <v>46108</v>
      </c>
      <c r="T12" s="478" t="s">
        <v>41</v>
      </c>
      <c r="U12" s="458"/>
      <c r="V12" s="460"/>
      <c r="W12" s="458"/>
    </row>
    <row r="13" spans="1:28" ht="14.45" hidden="1" customHeight="1" x14ac:dyDescent="0.25">
      <c r="A13" s="458">
        <v>5</v>
      </c>
      <c r="B13" s="479">
        <v>46042</v>
      </c>
      <c r="C13" s="480" t="s">
        <v>197</v>
      </c>
      <c r="D13" s="480" t="s">
        <v>644</v>
      </c>
      <c r="E13" s="480" t="s">
        <v>653</v>
      </c>
      <c r="F13" s="496" t="s">
        <v>661</v>
      </c>
      <c r="G13" s="497"/>
      <c r="H13" s="497"/>
      <c r="I13" s="498"/>
      <c r="J13" s="496" t="s">
        <v>662</v>
      </c>
      <c r="K13" s="497"/>
      <c r="L13" s="498"/>
      <c r="M13" s="496" t="s">
        <v>663</v>
      </c>
      <c r="N13" s="497"/>
      <c r="O13" s="497"/>
      <c r="P13" s="498"/>
      <c r="Q13" s="480" t="s">
        <v>649</v>
      </c>
      <c r="R13" s="479">
        <v>46072</v>
      </c>
      <c r="S13" s="479">
        <v>46108</v>
      </c>
      <c r="T13" s="480" t="s">
        <v>41</v>
      </c>
      <c r="U13" s="458"/>
      <c r="V13" s="460"/>
      <c r="W13" s="458"/>
    </row>
    <row r="14" spans="1:28" ht="14.45" hidden="1" customHeight="1" x14ac:dyDescent="0.25">
      <c r="A14" s="458">
        <v>6</v>
      </c>
      <c r="B14" s="477">
        <v>46042</v>
      </c>
      <c r="C14" s="478" t="s">
        <v>468</v>
      </c>
      <c r="D14" s="478" t="s">
        <v>664</v>
      </c>
      <c r="E14" s="478" t="s">
        <v>653</v>
      </c>
      <c r="F14" s="496" t="s">
        <v>665</v>
      </c>
      <c r="G14" s="497"/>
      <c r="H14" s="497"/>
      <c r="I14" s="498"/>
      <c r="J14" s="496" t="s">
        <v>666</v>
      </c>
      <c r="K14" s="497"/>
      <c r="L14" s="498"/>
      <c r="M14" s="496" t="s">
        <v>667</v>
      </c>
      <c r="N14" s="497"/>
      <c r="O14" s="497"/>
      <c r="P14" s="498"/>
      <c r="Q14" s="478" t="s">
        <v>657</v>
      </c>
      <c r="R14" s="477">
        <v>46072</v>
      </c>
      <c r="S14" s="477">
        <v>46049</v>
      </c>
      <c r="T14" s="478" t="s">
        <v>41</v>
      </c>
      <c r="U14" s="458"/>
      <c r="V14" s="460"/>
      <c r="W14" s="458"/>
    </row>
    <row r="15" spans="1:28" ht="14.45" hidden="1" customHeight="1" x14ac:dyDescent="0.25">
      <c r="A15" s="458">
        <v>7</v>
      </c>
      <c r="B15" s="479">
        <v>46042</v>
      </c>
      <c r="C15" s="480" t="s">
        <v>501</v>
      </c>
      <c r="D15" s="480" t="s">
        <v>664</v>
      </c>
      <c r="E15" s="480" t="s">
        <v>653</v>
      </c>
      <c r="F15" s="496" t="s">
        <v>502</v>
      </c>
      <c r="G15" s="497"/>
      <c r="H15" s="497"/>
      <c r="I15" s="498"/>
      <c r="J15" s="496" t="s">
        <v>19</v>
      </c>
      <c r="K15" s="497"/>
      <c r="L15" s="498"/>
      <c r="M15" s="496" t="s">
        <v>668</v>
      </c>
      <c r="N15" s="497"/>
      <c r="O15" s="497"/>
      <c r="P15" s="498"/>
      <c r="Q15" s="480" t="s">
        <v>657</v>
      </c>
      <c r="R15" s="479">
        <v>46072</v>
      </c>
      <c r="S15" s="479">
        <v>46049</v>
      </c>
      <c r="T15" s="480" t="s">
        <v>41</v>
      </c>
      <c r="U15" s="458"/>
      <c r="V15" s="460"/>
      <c r="W15" s="458"/>
    </row>
    <row r="16" spans="1:28" ht="14.45" hidden="1" customHeight="1" x14ac:dyDescent="0.25">
      <c r="A16" s="458">
        <v>8</v>
      </c>
      <c r="B16" s="477">
        <v>46042</v>
      </c>
      <c r="C16" s="478" t="s">
        <v>475</v>
      </c>
      <c r="D16" s="478" t="s">
        <v>664</v>
      </c>
      <c r="E16" s="478" t="s">
        <v>653</v>
      </c>
      <c r="F16" s="496" t="s">
        <v>669</v>
      </c>
      <c r="G16" s="497"/>
      <c r="H16" s="497"/>
      <c r="I16" s="498"/>
      <c r="J16" s="496" t="s">
        <v>670</v>
      </c>
      <c r="K16" s="497"/>
      <c r="L16" s="498"/>
      <c r="M16" s="496" t="s">
        <v>671</v>
      </c>
      <c r="N16" s="497"/>
      <c r="O16" s="497"/>
      <c r="P16" s="498"/>
      <c r="Q16" s="478" t="s">
        <v>657</v>
      </c>
      <c r="R16" s="477">
        <v>46072</v>
      </c>
      <c r="S16" s="477">
        <v>46049</v>
      </c>
      <c r="T16" s="478" t="s">
        <v>41</v>
      </c>
      <c r="U16" s="458"/>
      <c r="V16" s="460"/>
      <c r="W16" s="458"/>
    </row>
    <row r="17" spans="1:23" ht="14.45" hidden="1" customHeight="1" x14ac:dyDescent="0.25">
      <c r="A17" s="458">
        <v>9</v>
      </c>
      <c r="B17" s="479">
        <v>46042</v>
      </c>
      <c r="C17" s="480" t="s">
        <v>468</v>
      </c>
      <c r="D17" s="480" t="s">
        <v>664</v>
      </c>
      <c r="E17" s="480" t="s">
        <v>653</v>
      </c>
      <c r="F17" s="496" t="s">
        <v>672</v>
      </c>
      <c r="G17" s="497"/>
      <c r="H17" s="497"/>
      <c r="I17" s="498"/>
      <c r="J17" s="496" t="s">
        <v>666</v>
      </c>
      <c r="K17" s="497"/>
      <c r="L17" s="498"/>
      <c r="M17" s="496" t="s">
        <v>667</v>
      </c>
      <c r="N17" s="497"/>
      <c r="O17" s="497"/>
      <c r="P17" s="498"/>
      <c r="Q17" s="480" t="s">
        <v>657</v>
      </c>
      <c r="R17" s="479">
        <v>46072</v>
      </c>
      <c r="S17" s="479">
        <v>46049</v>
      </c>
      <c r="T17" s="480" t="s">
        <v>41</v>
      </c>
      <c r="U17" s="458"/>
      <c r="V17" s="460"/>
      <c r="W17" s="458"/>
    </row>
    <row r="18" spans="1:23" ht="14.45" hidden="1" customHeight="1" x14ac:dyDescent="0.25">
      <c r="A18" s="458">
        <v>10</v>
      </c>
      <c r="B18" s="477">
        <v>46042</v>
      </c>
      <c r="C18" s="478" t="s">
        <v>475</v>
      </c>
      <c r="D18" s="478" t="s">
        <v>664</v>
      </c>
      <c r="E18" s="478" t="s">
        <v>653</v>
      </c>
      <c r="F18" s="496" t="s">
        <v>673</v>
      </c>
      <c r="G18" s="497"/>
      <c r="H18" s="497"/>
      <c r="I18" s="498"/>
      <c r="J18" s="496" t="s">
        <v>666</v>
      </c>
      <c r="K18" s="497"/>
      <c r="L18" s="498"/>
      <c r="M18" s="496" t="s">
        <v>674</v>
      </c>
      <c r="N18" s="497"/>
      <c r="O18" s="497"/>
      <c r="P18" s="498"/>
      <c r="Q18" s="478" t="s">
        <v>657</v>
      </c>
      <c r="R18" s="477">
        <v>46072</v>
      </c>
      <c r="S18" s="477">
        <v>46049</v>
      </c>
      <c r="T18" s="478" t="s">
        <v>41</v>
      </c>
      <c r="U18" s="458"/>
      <c r="V18" s="460"/>
      <c r="W18" s="458"/>
    </row>
    <row r="19" spans="1:23" ht="14.45" hidden="1" customHeight="1" x14ac:dyDescent="0.25">
      <c r="A19" s="458">
        <v>11</v>
      </c>
      <c r="B19" s="479">
        <v>46042</v>
      </c>
      <c r="C19" s="480" t="s">
        <v>454</v>
      </c>
      <c r="D19" s="480" t="s">
        <v>664</v>
      </c>
      <c r="E19" s="480" t="s">
        <v>645</v>
      </c>
      <c r="F19" s="496" t="s">
        <v>675</v>
      </c>
      <c r="G19" s="497"/>
      <c r="H19" s="497"/>
      <c r="I19" s="498"/>
      <c r="J19" s="496" t="s">
        <v>676</v>
      </c>
      <c r="K19" s="497"/>
      <c r="L19" s="498"/>
      <c r="M19" s="496" t="s">
        <v>677</v>
      </c>
      <c r="N19" s="497"/>
      <c r="O19" s="497"/>
      <c r="P19" s="498"/>
      <c r="Q19" s="480" t="s">
        <v>649</v>
      </c>
      <c r="R19" s="479">
        <v>46072</v>
      </c>
      <c r="S19" s="479">
        <v>46069</v>
      </c>
      <c r="T19" s="480" t="s">
        <v>41</v>
      </c>
      <c r="U19" s="458"/>
      <c r="V19" s="460"/>
      <c r="W19" s="458"/>
    </row>
    <row r="20" spans="1:23" ht="14.45" hidden="1" customHeight="1" x14ac:dyDescent="0.25">
      <c r="A20" s="458">
        <v>12</v>
      </c>
      <c r="B20" s="477">
        <v>46042</v>
      </c>
      <c r="C20" s="478" t="s">
        <v>475</v>
      </c>
      <c r="D20" s="478" t="s">
        <v>664</v>
      </c>
      <c r="E20" s="478" t="s">
        <v>653</v>
      </c>
      <c r="F20" s="496" t="s">
        <v>678</v>
      </c>
      <c r="G20" s="497"/>
      <c r="H20" s="497"/>
      <c r="I20" s="498"/>
      <c r="J20" s="496" t="s">
        <v>666</v>
      </c>
      <c r="K20" s="497"/>
      <c r="L20" s="498"/>
      <c r="M20" s="496" t="s">
        <v>679</v>
      </c>
      <c r="N20" s="497"/>
      <c r="O20" s="497"/>
      <c r="P20" s="498"/>
      <c r="Q20" s="478" t="s">
        <v>657</v>
      </c>
      <c r="R20" s="477">
        <v>46072</v>
      </c>
      <c r="S20" s="477">
        <v>46049</v>
      </c>
      <c r="T20" s="478" t="s">
        <v>41</v>
      </c>
      <c r="U20" s="458"/>
      <c r="V20" s="460"/>
      <c r="W20" s="458"/>
    </row>
    <row r="21" spans="1:23" ht="14.45" hidden="1" customHeight="1" x14ac:dyDescent="0.25">
      <c r="A21" s="458">
        <v>13</v>
      </c>
      <c r="B21" s="479">
        <v>46042</v>
      </c>
      <c r="C21" s="480" t="s">
        <v>475</v>
      </c>
      <c r="D21" s="480" t="s">
        <v>664</v>
      </c>
      <c r="E21" s="480" t="s">
        <v>653</v>
      </c>
      <c r="F21" s="496" t="s">
        <v>680</v>
      </c>
      <c r="G21" s="497"/>
      <c r="H21" s="497"/>
      <c r="I21" s="498"/>
      <c r="J21" s="496" t="s">
        <v>666</v>
      </c>
      <c r="K21" s="497"/>
      <c r="L21" s="498"/>
      <c r="M21" s="496" t="s">
        <v>667</v>
      </c>
      <c r="N21" s="497"/>
      <c r="O21" s="497"/>
      <c r="P21" s="498"/>
      <c r="Q21" s="480" t="s">
        <v>657</v>
      </c>
      <c r="R21" s="479">
        <v>46072</v>
      </c>
      <c r="S21" s="479">
        <v>46049</v>
      </c>
      <c r="T21" s="480" t="s">
        <v>41</v>
      </c>
      <c r="U21" s="458"/>
      <c r="V21" s="460"/>
      <c r="W21" s="458"/>
    </row>
    <row r="22" spans="1:23" ht="14.45" hidden="1" customHeight="1" x14ac:dyDescent="0.25">
      <c r="A22" s="458">
        <v>14</v>
      </c>
      <c r="B22" s="477">
        <v>46042</v>
      </c>
      <c r="C22" s="478" t="s">
        <v>475</v>
      </c>
      <c r="D22" s="478" t="s">
        <v>664</v>
      </c>
      <c r="E22" s="478" t="s">
        <v>653</v>
      </c>
      <c r="F22" s="496" t="s">
        <v>681</v>
      </c>
      <c r="G22" s="497"/>
      <c r="H22" s="497"/>
      <c r="I22" s="498"/>
      <c r="J22" s="496" t="s">
        <v>666</v>
      </c>
      <c r="K22" s="497"/>
      <c r="L22" s="498"/>
      <c r="M22" s="496" t="s">
        <v>667</v>
      </c>
      <c r="N22" s="497"/>
      <c r="O22" s="497"/>
      <c r="P22" s="498"/>
      <c r="Q22" s="478" t="s">
        <v>657</v>
      </c>
      <c r="R22" s="477">
        <v>46072</v>
      </c>
      <c r="S22" s="477">
        <v>46049</v>
      </c>
      <c r="T22" s="478" t="s">
        <v>41</v>
      </c>
      <c r="U22" s="458"/>
      <c r="V22" s="460"/>
      <c r="W22" s="458"/>
    </row>
    <row r="23" spans="1:23" ht="14.45" hidden="1" customHeight="1" x14ac:dyDescent="0.25">
      <c r="A23" s="458">
        <v>15</v>
      </c>
      <c r="B23" s="479">
        <v>46042</v>
      </c>
      <c r="C23" s="480" t="s">
        <v>475</v>
      </c>
      <c r="D23" s="480" t="s">
        <v>664</v>
      </c>
      <c r="E23" s="480" t="s">
        <v>653</v>
      </c>
      <c r="F23" s="496" t="s">
        <v>682</v>
      </c>
      <c r="G23" s="497"/>
      <c r="H23" s="497"/>
      <c r="I23" s="498"/>
      <c r="J23" s="496" t="s">
        <v>666</v>
      </c>
      <c r="K23" s="497"/>
      <c r="L23" s="498"/>
      <c r="M23" s="496" t="s">
        <v>667</v>
      </c>
      <c r="N23" s="497"/>
      <c r="O23" s="497"/>
      <c r="P23" s="498"/>
      <c r="Q23" s="480" t="s">
        <v>657</v>
      </c>
      <c r="R23" s="479">
        <v>46072</v>
      </c>
      <c r="S23" s="479">
        <v>46080</v>
      </c>
      <c r="T23" s="480" t="s">
        <v>41</v>
      </c>
      <c r="U23" s="458"/>
      <c r="V23" s="460"/>
      <c r="W23" s="458"/>
    </row>
    <row r="24" spans="1:23" ht="14.45" hidden="1" customHeight="1" x14ac:dyDescent="0.25">
      <c r="A24" s="458">
        <v>16</v>
      </c>
      <c r="B24" s="477">
        <v>46042</v>
      </c>
      <c r="C24" s="478" t="s">
        <v>475</v>
      </c>
      <c r="D24" s="478" t="s">
        <v>664</v>
      </c>
      <c r="E24" s="478" t="s">
        <v>653</v>
      </c>
      <c r="F24" s="496" t="s">
        <v>683</v>
      </c>
      <c r="G24" s="497"/>
      <c r="H24" s="497"/>
      <c r="I24" s="498"/>
      <c r="J24" s="496" t="s">
        <v>666</v>
      </c>
      <c r="K24" s="497"/>
      <c r="L24" s="498"/>
      <c r="M24" s="496" t="s">
        <v>667</v>
      </c>
      <c r="N24" s="497"/>
      <c r="O24" s="497"/>
      <c r="P24" s="498"/>
      <c r="Q24" s="478" t="s">
        <v>657</v>
      </c>
      <c r="R24" s="477">
        <v>46072</v>
      </c>
      <c r="S24" s="477">
        <v>46049</v>
      </c>
      <c r="T24" s="478" t="s">
        <v>41</v>
      </c>
      <c r="U24" s="458"/>
      <c r="V24" s="460"/>
      <c r="W24" s="458"/>
    </row>
    <row r="25" spans="1:23" ht="14.45" hidden="1" customHeight="1" x14ac:dyDescent="0.25">
      <c r="A25" s="458">
        <v>17</v>
      </c>
      <c r="B25" s="479">
        <v>46042</v>
      </c>
      <c r="C25" s="480" t="s">
        <v>475</v>
      </c>
      <c r="D25" s="480" t="s">
        <v>664</v>
      </c>
      <c r="E25" s="480" t="s">
        <v>645</v>
      </c>
      <c r="F25" s="496" t="s">
        <v>684</v>
      </c>
      <c r="G25" s="497"/>
      <c r="H25" s="497"/>
      <c r="I25" s="498"/>
      <c r="J25" s="496" t="s">
        <v>666</v>
      </c>
      <c r="K25" s="497"/>
      <c r="L25" s="498"/>
      <c r="M25" s="496" t="s">
        <v>667</v>
      </c>
      <c r="N25" s="497"/>
      <c r="O25" s="497"/>
      <c r="P25" s="498"/>
      <c r="Q25" s="480" t="s">
        <v>649</v>
      </c>
      <c r="R25" s="479">
        <v>46072</v>
      </c>
      <c r="S25" s="479">
        <v>46094</v>
      </c>
      <c r="T25" s="480" t="s">
        <v>41</v>
      </c>
      <c r="U25" s="458"/>
      <c r="V25" s="460"/>
      <c r="W25" s="458"/>
    </row>
    <row r="26" spans="1:23" ht="14.45" hidden="1" customHeight="1" x14ac:dyDescent="0.25">
      <c r="A26" s="458">
        <v>18</v>
      </c>
      <c r="B26" s="477">
        <v>46042</v>
      </c>
      <c r="C26" s="478" t="s">
        <v>475</v>
      </c>
      <c r="D26" s="478" t="s">
        <v>664</v>
      </c>
      <c r="E26" s="478" t="s">
        <v>653</v>
      </c>
      <c r="F26" s="496" t="s">
        <v>685</v>
      </c>
      <c r="G26" s="497"/>
      <c r="H26" s="497"/>
      <c r="I26" s="498"/>
      <c r="J26" s="496" t="s">
        <v>666</v>
      </c>
      <c r="K26" s="497"/>
      <c r="L26" s="498"/>
      <c r="M26" s="496" t="s">
        <v>667</v>
      </c>
      <c r="N26" s="497"/>
      <c r="O26" s="497"/>
      <c r="P26" s="498"/>
      <c r="Q26" s="478" t="s">
        <v>657</v>
      </c>
      <c r="R26" s="477">
        <v>46072</v>
      </c>
      <c r="S26" s="477">
        <v>46049</v>
      </c>
      <c r="T26" s="478" t="s">
        <v>41</v>
      </c>
      <c r="U26" s="458"/>
      <c r="V26" s="460"/>
      <c r="W26" s="458"/>
    </row>
    <row r="27" spans="1:23" ht="14.45" hidden="1" customHeight="1" x14ac:dyDescent="0.25">
      <c r="A27" s="458">
        <v>19</v>
      </c>
      <c r="B27" s="479">
        <v>46042</v>
      </c>
      <c r="C27" s="480" t="s">
        <v>468</v>
      </c>
      <c r="D27" s="480" t="s">
        <v>664</v>
      </c>
      <c r="E27" s="480" t="s">
        <v>653</v>
      </c>
      <c r="F27" s="496" t="s">
        <v>686</v>
      </c>
      <c r="G27" s="497"/>
      <c r="H27" s="497"/>
      <c r="I27" s="498"/>
      <c r="J27" s="496" t="s">
        <v>666</v>
      </c>
      <c r="K27" s="497"/>
      <c r="L27" s="498"/>
      <c r="M27" s="496" t="s">
        <v>687</v>
      </c>
      <c r="N27" s="497"/>
      <c r="O27" s="497"/>
      <c r="P27" s="498"/>
      <c r="Q27" s="480" t="s">
        <v>657</v>
      </c>
      <c r="R27" s="479">
        <v>46072</v>
      </c>
      <c r="S27" s="479">
        <v>46049</v>
      </c>
      <c r="T27" s="480" t="s">
        <v>41</v>
      </c>
      <c r="U27" s="458"/>
      <c r="V27" s="460"/>
      <c r="W27" s="458"/>
    </row>
    <row r="28" spans="1:23" ht="14.45" hidden="1" customHeight="1" x14ac:dyDescent="0.25">
      <c r="A28" s="458">
        <v>20</v>
      </c>
      <c r="B28" s="477">
        <v>46042</v>
      </c>
      <c r="C28" s="478" t="s">
        <v>468</v>
      </c>
      <c r="D28" s="478" t="s">
        <v>664</v>
      </c>
      <c r="E28" s="478" t="s">
        <v>653</v>
      </c>
      <c r="F28" s="496" t="s">
        <v>688</v>
      </c>
      <c r="G28" s="497"/>
      <c r="H28" s="497"/>
      <c r="I28" s="498"/>
      <c r="J28" s="496" t="s">
        <v>666</v>
      </c>
      <c r="K28" s="497"/>
      <c r="L28" s="498"/>
      <c r="M28" s="496" t="s">
        <v>667</v>
      </c>
      <c r="N28" s="497"/>
      <c r="O28" s="497"/>
      <c r="P28" s="498"/>
      <c r="Q28" s="478" t="s">
        <v>657</v>
      </c>
      <c r="R28" s="477">
        <v>46072</v>
      </c>
      <c r="S28" s="477">
        <v>46080</v>
      </c>
      <c r="T28" s="478" t="s">
        <v>41</v>
      </c>
      <c r="U28" s="458"/>
      <c r="V28" s="460"/>
      <c r="W28" s="458"/>
    </row>
    <row r="29" spans="1:23" ht="14.45" hidden="1" customHeight="1" x14ac:dyDescent="0.25">
      <c r="A29" s="458">
        <v>21</v>
      </c>
      <c r="B29" s="479">
        <v>46042</v>
      </c>
      <c r="C29" s="480" t="s">
        <v>468</v>
      </c>
      <c r="D29" s="480" t="s">
        <v>664</v>
      </c>
      <c r="E29" s="480" t="s">
        <v>653</v>
      </c>
      <c r="F29" s="496" t="s">
        <v>689</v>
      </c>
      <c r="G29" s="497"/>
      <c r="H29" s="497"/>
      <c r="I29" s="498"/>
      <c r="J29" s="496" t="s">
        <v>666</v>
      </c>
      <c r="K29" s="497"/>
      <c r="L29" s="498"/>
      <c r="M29" s="496" t="s">
        <v>667</v>
      </c>
      <c r="N29" s="497"/>
      <c r="O29" s="497"/>
      <c r="P29" s="498"/>
      <c r="Q29" s="480" t="s">
        <v>657</v>
      </c>
      <c r="R29" s="479">
        <v>46072</v>
      </c>
      <c r="S29" s="479">
        <v>46111</v>
      </c>
      <c r="T29" s="480" t="s">
        <v>41</v>
      </c>
      <c r="U29" s="458"/>
      <c r="V29" s="460"/>
      <c r="W29" s="458"/>
    </row>
    <row r="30" spans="1:23" ht="14.45" hidden="1" customHeight="1" x14ac:dyDescent="0.25">
      <c r="A30" s="458">
        <v>22</v>
      </c>
      <c r="B30" s="477">
        <v>46042</v>
      </c>
      <c r="C30" s="478" t="s">
        <v>454</v>
      </c>
      <c r="D30" s="478" t="s">
        <v>664</v>
      </c>
      <c r="E30" s="478" t="s">
        <v>653</v>
      </c>
      <c r="F30" s="496" t="s">
        <v>481</v>
      </c>
      <c r="G30" s="497"/>
      <c r="H30" s="497"/>
      <c r="I30" s="498"/>
      <c r="J30" s="496" t="s">
        <v>690</v>
      </c>
      <c r="K30" s="497"/>
      <c r="L30" s="498"/>
      <c r="M30" s="496" t="s">
        <v>691</v>
      </c>
      <c r="N30" s="497"/>
      <c r="O30" s="497"/>
      <c r="P30" s="498"/>
      <c r="Q30" s="478" t="s">
        <v>649</v>
      </c>
      <c r="R30" s="477">
        <v>46072</v>
      </c>
      <c r="S30" s="477">
        <v>46072</v>
      </c>
      <c r="T30" s="478" t="s">
        <v>41</v>
      </c>
      <c r="U30" s="458"/>
      <c r="V30" s="460"/>
      <c r="W30" s="458"/>
    </row>
    <row r="31" spans="1:23" ht="14.45" hidden="1" customHeight="1" x14ac:dyDescent="0.25">
      <c r="A31" s="458">
        <v>23</v>
      </c>
      <c r="B31" s="479">
        <v>46042</v>
      </c>
      <c r="C31" s="480" t="s">
        <v>692</v>
      </c>
      <c r="D31" s="480" t="s">
        <v>664</v>
      </c>
      <c r="E31" s="480" t="s">
        <v>653</v>
      </c>
      <c r="F31" s="496" t="s">
        <v>693</v>
      </c>
      <c r="G31" s="497"/>
      <c r="H31" s="497"/>
      <c r="I31" s="498"/>
      <c r="J31" s="496" t="s">
        <v>666</v>
      </c>
      <c r="K31" s="497"/>
      <c r="L31" s="498"/>
      <c r="M31" s="496" t="s">
        <v>667</v>
      </c>
      <c r="N31" s="497"/>
      <c r="O31" s="497"/>
      <c r="P31" s="498"/>
      <c r="Q31" s="480" t="s">
        <v>657</v>
      </c>
      <c r="R31" s="479">
        <v>46072</v>
      </c>
      <c r="S31" s="479">
        <v>46111</v>
      </c>
      <c r="T31" s="480" t="s">
        <v>41</v>
      </c>
      <c r="U31" s="458"/>
      <c r="V31" s="460"/>
      <c r="W31" s="458"/>
    </row>
    <row r="32" spans="1:23" ht="14.45" hidden="1" customHeight="1" x14ac:dyDescent="0.25">
      <c r="A32" s="458">
        <v>24</v>
      </c>
      <c r="B32" s="477">
        <v>46042</v>
      </c>
      <c r="C32" s="478" t="s">
        <v>454</v>
      </c>
      <c r="D32" s="478" t="s">
        <v>664</v>
      </c>
      <c r="E32" s="478" t="s">
        <v>653</v>
      </c>
      <c r="F32" s="496" t="s">
        <v>694</v>
      </c>
      <c r="G32" s="497"/>
      <c r="H32" s="497"/>
      <c r="I32" s="498"/>
      <c r="J32" s="496" t="s">
        <v>695</v>
      </c>
      <c r="K32" s="497"/>
      <c r="L32" s="498"/>
      <c r="M32" s="496" t="s">
        <v>696</v>
      </c>
      <c r="N32" s="497"/>
      <c r="O32" s="497"/>
      <c r="P32" s="498"/>
      <c r="Q32" s="478" t="s">
        <v>649</v>
      </c>
      <c r="R32" s="477">
        <v>46072</v>
      </c>
      <c r="S32" s="477">
        <v>46069</v>
      </c>
      <c r="T32" s="478" t="s">
        <v>41</v>
      </c>
      <c r="U32" s="458"/>
      <c r="V32" s="460"/>
      <c r="W32" s="458"/>
    </row>
    <row r="33" spans="1:23" ht="14.45" hidden="1" customHeight="1" x14ac:dyDescent="0.25">
      <c r="A33" s="458">
        <v>25</v>
      </c>
      <c r="B33" s="479">
        <v>46043</v>
      </c>
      <c r="C33" s="480" t="s">
        <v>580</v>
      </c>
      <c r="D33" s="480" t="s">
        <v>697</v>
      </c>
      <c r="E33" s="480" t="s">
        <v>645</v>
      </c>
      <c r="F33" s="496" t="s">
        <v>583</v>
      </c>
      <c r="G33" s="497"/>
      <c r="H33" s="497"/>
      <c r="I33" s="498"/>
      <c r="J33" s="496" t="s">
        <v>698</v>
      </c>
      <c r="K33" s="497"/>
      <c r="L33" s="498"/>
      <c r="M33" s="496" t="s">
        <v>699</v>
      </c>
      <c r="N33" s="497"/>
      <c r="O33" s="497"/>
      <c r="P33" s="498"/>
      <c r="Q33" s="480" t="s">
        <v>649</v>
      </c>
      <c r="R33" s="479">
        <v>46073</v>
      </c>
      <c r="S33" s="479">
        <v>46080</v>
      </c>
      <c r="T33" s="480" t="s">
        <v>41</v>
      </c>
      <c r="U33" s="458"/>
      <c r="V33" s="460"/>
      <c r="W33" s="458"/>
    </row>
    <row r="34" spans="1:23" ht="14.45" hidden="1" customHeight="1" x14ac:dyDescent="0.25">
      <c r="A34" s="458">
        <v>26</v>
      </c>
      <c r="B34" s="477">
        <v>46044</v>
      </c>
      <c r="C34" s="478" t="s">
        <v>576</v>
      </c>
      <c r="D34" s="478" t="s">
        <v>697</v>
      </c>
      <c r="E34" s="478" t="s">
        <v>645</v>
      </c>
      <c r="F34" s="496" t="s">
        <v>700</v>
      </c>
      <c r="G34" s="497"/>
      <c r="H34" s="497"/>
      <c r="I34" s="498"/>
      <c r="J34" s="496" t="s">
        <v>701</v>
      </c>
      <c r="K34" s="497"/>
      <c r="L34" s="498"/>
      <c r="M34" s="496" t="s">
        <v>702</v>
      </c>
      <c r="N34" s="497"/>
      <c r="O34" s="497"/>
      <c r="P34" s="498"/>
      <c r="Q34" s="478" t="s">
        <v>649</v>
      </c>
      <c r="R34" s="477">
        <v>46074</v>
      </c>
      <c r="S34" s="477">
        <v>46105</v>
      </c>
      <c r="T34" s="478" t="s">
        <v>41</v>
      </c>
      <c r="U34" s="458"/>
      <c r="V34" s="460"/>
      <c r="W34" s="458"/>
    </row>
    <row r="35" spans="1:23" ht="14.45" hidden="1" customHeight="1" x14ac:dyDescent="0.25">
      <c r="A35" s="458">
        <v>27</v>
      </c>
      <c r="B35" s="479">
        <v>46044</v>
      </c>
      <c r="C35" s="480" t="s">
        <v>576</v>
      </c>
      <c r="D35" s="480" t="s">
        <v>697</v>
      </c>
      <c r="E35" s="480" t="s">
        <v>645</v>
      </c>
      <c r="F35" s="496" t="s">
        <v>703</v>
      </c>
      <c r="G35" s="497"/>
      <c r="H35" s="497"/>
      <c r="I35" s="498"/>
      <c r="J35" s="496" t="s">
        <v>704</v>
      </c>
      <c r="K35" s="497"/>
      <c r="L35" s="498"/>
      <c r="M35" s="496" t="s">
        <v>705</v>
      </c>
      <c r="N35" s="497"/>
      <c r="O35" s="497"/>
      <c r="P35" s="498"/>
      <c r="Q35" s="480" t="s">
        <v>649</v>
      </c>
      <c r="R35" s="479">
        <v>46074</v>
      </c>
      <c r="S35" s="479">
        <v>46105</v>
      </c>
      <c r="T35" s="480" t="s">
        <v>41</v>
      </c>
      <c r="U35" s="458"/>
      <c r="V35" s="460"/>
      <c r="W35" s="458"/>
    </row>
    <row r="36" spans="1:23" ht="14.45" hidden="1" customHeight="1" x14ac:dyDescent="0.25">
      <c r="A36" s="458">
        <v>28</v>
      </c>
      <c r="B36" s="477">
        <v>46044</v>
      </c>
      <c r="C36" s="478" t="s">
        <v>309</v>
      </c>
      <c r="D36" s="478" t="s">
        <v>706</v>
      </c>
      <c r="E36" s="478" t="s">
        <v>653</v>
      </c>
      <c r="F36" s="496" t="s">
        <v>707</v>
      </c>
      <c r="G36" s="497"/>
      <c r="H36" s="497"/>
      <c r="I36" s="498"/>
      <c r="J36" s="496" t="s">
        <v>708</v>
      </c>
      <c r="K36" s="497"/>
      <c r="L36" s="498"/>
      <c r="M36" s="496" t="s">
        <v>709</v>
      </c>
      <c r="N36" s="497"/>
      <c r="O36" s="497"/>
      <c r="P36" s="498"/>
      <c r="Q36" s="478" t="s">
        <v>657</v>
      </c>
      <c r="R36" s="477">
        <v>46067</v>
      </c>
      <c r="S36" s="477">
        <v>46112</v>
      </c>
      <c r="T36" s="478" t="s">
        <v>41</v>
      </c>
      <c r="U36" s="458"/>
      <c r="V36" s="460"/>
      <c r="W36" s="458"/>
    </row>
    <row r="37" spans="1:23" ht="14.45" hidden="1" customHeight="1" x14ac:dyDescent="0.25">
      <c r="A37" s="458">
        <v>29</v>
      </c>
      <c r="B37" s="479">
        <v>46044</v>
      </c>
      <c r="C37" s="480" t="s">
        <v>314</v>
      </c>
      <c r="D37" s="480" t="s">
        <v>706</v>
      </c>
      <c r="E37" s="480" t="s">
        <v>710</v>
      </c>
      <c r="F37" s="496" t="s">
        <v>711</v>
      </c>
      <c r="G37" s="497"/>
      <c r="H37" s="497"/>
      <c r="I37" s="498"/>
      <c r="J37" s="496" t="s">
        <v>712</v>
      </c>
      <c r="K37" s="497"/>
      <c r="L37" s="498"/>
      <c r="M37" s="496" t="s">
        <v>713</v>
      </c>
      <c r="N37" s="497"/>
      <c r="O37" s="497"/>
      <c r="P37" s="498"/>
      <c r="Q37" s="480" t="s">
        <v>714</v>
      </c>
      <c r="R37" s="479">
        <v>46074</v>
      </c>
      <c r="S37" s="479">
        <v>46056</v>
      </c>
      <c r="T37" s="480" t="s">
        <v>41</v>
      </c>
      <c r="U37" s="458"/>
      <c r="V37" s="460"/>
      <c r="W37" s="458"/>
    </row>
    <row r="38" spans="1:23" ht="14.45" hidden="1" customHeight="1" x14ac:dyDescent="0.25">
      <c r="A38" s="458">
        <v>30</v>
      </c>
      <c r="B38" s="477">
        <v>46044</v>
      </c>
      <c r="C38" s="478" t="s">
        <v>715</v>
      </c>
      <c r="D38" s="478" t="s">
        <v>706</v>
      </c>
      <c r="E38" s="478" t="s">
        <v>645</v>
      </c>
      <c r="F38" s="496" t="s">
        <v>329</v>
      </c>
      <c r="G38" s="497"/>
      <c r="H38" s="497"/>
      <c r="I38" s="498"/>
      <c r="J38" s="496" t="s">
        <v>716</v>
      </c>
      <c r="K38" s="497"/>
      <c r="L38" s="498"/>
      <c r="M38" s="496" t="s">
        <v>717</v>
      </c>
      <c r="N38" s="497"/>
      <c r="O38" s="497"/>
      <c r="P38" s="498"/>
      <c r="Q38" s="478" t="s">
        <v>649</v>
      </c>
      <c r="R38" s="477">
        <v>46074</v>
      </c>
      <c r="S38" s="477">
        <v>46126</v>
      </c>
      <c r="T38" s="478" t="s">
        <v>41</v>
      </c>
      <c r="U38" s="458"/>
      <c r="V38" s="460"/>
      <c r="W38" s="458"/>
    </row>
    <row r="39" spans="1:23" ht="14.45" hidden="1" customHeight="1" x14ac:dyDescent="0.25">
      <c r="A39" s="458">
        <v>31</v>
      </c>
      <c r="B39" s="479">
        <v>46044</v>
      </c>
      <c r="C39" s="480" t="s">
        <v>345</v>
      </c>
      <c r="D39" s="480" t="s">
        <v>706</v>
      </c>
      <c r="E39" s="480" t="s">
        <v>645</v>
      </c>
      <c r="F39" s="496" t="s">
        <v>346</v>
      </c>
      <c r="G39" s="497"/>
      <c r="H39" s="497"/>
      <c r="I39" s="498"/>
      <c r="J39" s="496" t="s">
        <v>718</v>
      </c>
      <c r="K39" s="497"/>
      <c r="L39" s="498"/>
      <c r="M39" s="496" t="s">
        <v>719</v>
      </c>
      <c r="N39" s="497"/>
      <c r="O39" s="497"/>
      <c r="P39" s="498"/>
      <c r="Q39" s="480" t="s">
        <v>649</v>
      </c>
      <c r="R39" s="479">
        <v>46074</v>
      </c>
      <c r="S39" s="479">
        <v>46105</v>
      </c>
      <c r="T39" s="480" t="s">
        <v>41</v>
      </c>
      <c r="U39" s="458"/>
      <c r="V39" s="460"/>
      <c r="W39" s="458"/>
    </row>
    <row r="40" spans="1:23" ht="14.45" hidden="1" customHeight="1" x14ac:dyDescent="0.25">
      <c r="A40" s="458">
        <v>32</v>
      </c>
      <c r="B40" s="477">
        <v>46044</v>
      </c>
      <c r="C40" s="478" t="s">
        <v>338</v>
      </c>
      <c r="D40" s="478" t="s">
        <v>706</v>
      </c>
      <c r="E40" s="478" t="s">
        <v>710</v>
      </c>
      <c r="F40" s="496" t="s">
        <v>340</v>
      </c>
      <c r="G40" s="497"/>
      <c r="H40" s="497"/>
      <c r="I40" s="498"/>
      <c r="J40" s="496" t="s">
        <v>720</v>
      </c>
      <c r="K40" s="497"/>
      <c r="L40" s="498"/>
      <c r="M40" s="496" t="s">
        <v>648</v>
      </c>
      <c r="N40" s="497"/>
      <c r="O40" s="497"/>
      <c r="P40" s="498"/>
      <c r="Q40" s="478" t="s">
        <v>714</v>
      </c>
      <c r="R40" s="477">
        <v>46074</v>
      </c>
      <c r="S40" s="477">
        <v>46056</v>
      </c>
      <c r="T40" s="478" t="s">
        <v>41</v>
      </c>
      <c r="U40" s="458"/>
      <c r="V40" s="460"/>
      <c r="W40" s="458"/>
    </row>
    <row r="41" spans="1:23" ht="14.45" hidden="1" customHeight="1" x14ac:dyDescent="0.25">
      <c r="A41" s="458">
        <v>33</v>
      </c>
      <c r="B41" s="479">
        <v>46044</v>
      </c>
      <c r="C41" s="480" t="s">
        <v>288</v>
      </c>
      <c r="D41" s="480" t="s">
        <v>706</v>
      </c>
      <c r="E41" s="480" t="s">
        <v>710</v>
      </c>
      <c r="F41" s="496" t="s">
        <v>721</v>
      </c>
      <c r="G41" s="497"/>
      <c r="H41" s="497"/>
      <c r="I41" s="498"/>
      <c r="J41" s="496" t="s">
        <v>712</v>
      </c>
      <c r="K41" s="497"/>
      <c r="L41" s="498"/>
      <c r="M41" s="496" t="s">
        <v>722</v>
      </c>
      <c r="N41" s="497"/>
      <c r="O41" s="497"/>
      <c r="P41" s="498"/>
      <c r="Q41" s="480" t="s">
        <v>714</v>
      </c>
      <c r="R41" s="479">
        <v>46074</v>
      </c>
      <c r="S41" s="479">
        <v>46056</v>
      </c>
      <c r="T41" s="480" t="s">
        <v>41</v>
      </c>
      <c r="U41" s="458"/>
      <c r="V41" s="460"/>
      <c r="W41" s="458"/>
    </row>
    <row r="42" spans="1:23" ht="14.45" hidden="1" customHeight="1" x14ac:dyDescent="0.25">
      <c r="A42" s="458">
        <v>34</v>
      </c>
      <c r="B42" s="477">
        <v>46044</v>
      </c>
      <c r="C42" s="478" t="s">
        <v>296</v>
      </c>
      <c r="D42" s="478" t="s">
        <v>706</v>
      </c>
      <c r="E42" s="478" t="s">
        <v>645</v>
      </c>
      <c r="F42" s="496" t="s">
        <v>297</v>
      </c>
      <c r="G42" s="497"/>
      <c r="H42" s="497"/>
      <c r="I42" s="498"/>
      <c r="J42" s="496" t="s">
        <v>723</v>
      </c>
      <c r="K42" s="497"/>
      <c r="L42" s="498"/>
      <c r="M42" s="496" t="s">
        <v>724</v>
      </c>
      <c r="N42" s="497"/>
      <c r="O42" s="497"/>
      <c r="P42" s="498"/>
      <c r="Q42" s="478" t="s">
        <v>649</v>
      </c>
      <c r="R42" s="477">
        <v>46074</v>
      </c>
      <c r="S42" s="477">
        <v>46107</v>
      </c>
      <c r="T42" s="478" t="s">
        <v>41</v>
      </c>
      <c r="U42" s="458"/>
      <c r="V42" s="460"/>
      <c r="W42" s="458"/>
    </row>
    <row r="43" spans="1:23" ht="14.45" hidden="1" customHeight="1" x14ac:dyDescent="0.25">
      <c r="A43" s="458">
        <v>35</v>
      </c>
      <c r="B43" s="479">
        <v>46044</v>
      </c>
      <c r="C43" s="480" t="s">
        <v>288</v>
      </c>
      <c r="D43" s="480" t="s">
        <v>706</v>
      </c>
      <c r="E43" s="480" t="s">
        <v>645</v>
      </c>
      <c r="F43" s="496" t="s">
        <v>725</v>
      </c>
      <c r="G43" s="497"/>
      <c r="H43" s="497"/>
      <c r="I43" s="498"/>
      <c r="J43" s="496" t="s">
        <v>726</v>
      </c>
      <c r="K43" s="497"/>
      <c r="L43" s="498"/>
      <c r="M43" s="496" t="s">
        <v>696</v>
      </c>
      <c r="N43" s="497"/>
      <c r="O43" s="497"/>
      <c r="P43" s="498"/>
      <c r="Q43" s="480" t="s">
        <v>649</v>
      </c>
      <c r="R43" s="479">
        <v>46074</v>
      </c>
      <c r="S43" s="479">
        <v>46073</v>
      </c>
      <c r="T43" s="480" t="s">
        <v>41</v>
      </c>
      <c r="U43" s="458"/>
      <c r="V43" s="460"/>
      <c r="W43" s="458"/>
    </row>
    <row r="44" spans="1:23" ht="14.45" hidden="1" customHeight="1" x14ac:dyDescent="0.25">
      <c r="A44" s="458">
        <v>36</v>
      </c>
      <c r="B44" s="477">
        <v>46044</v>
      </c>
      <c r="C44" s="478" t="s">
        <v>727</v>
      </c>
      <c r="D44" s="478" t="s">
        <v>728</v>
      </c>
      <c r="E44" s="478" t="s">
        <v>645</v>
      </c>
      <c r="F44" s="496" t="s">
        <v>729</v>
      </c>
      <c r="G44" s="497"/>
      <c r="H44" s="497"/>
      <c r="I44" s="498"/>
      <c r="J44" s="496" t="s">
        <v>730</v>
      </c>
      <c r="K44" s="497"/>
      <c r="L44" s="498"/>
      <c r="M44" s="496" t="s">
        <v>731</v>
      </c>
      <c r="N44" s="497"/>
      <c r="O44" s="497"/>
      <c r="P44" s="498"/>
      <c r="Q44" s="478" t="s">
        <v>649</v>
      </c>
      <c r="R44" s="477">
        <v>46074</v>
      </c>
      <c r="S44" s="477">
        <v>46074</v>
      </c>
      <c r="T44" s="478" t="s">
        <v>41</v>
      </c>
      <c r="U44" s="458"/>
      <c r="V44" s="460"/>
      <c r="W44" s="458"/>
    </row>
    <row r="45" spans="1:23" ht="14.45" hidden="1" customHeight="1" x14ac:dyDescent="0.25">
      <c r="A45" s="458">
        <v>37</v>
      </c>
      <c r="B45" s="479">
        <v>46044</v>
      </c>
      <c r="C45" s="480" t="s">
        <v>727</v>
      </c>
      <c r="D45" s="480" t="s">
        <v>728</v>
      </c>
      <c r="E45" s="480" t="s">
        <v>653</v>
      </c>
      <c r="F45" s="496" t="s">
        <v>732</v>
      </c>
      <c r="G45" s="497"/>
      <c r="H45" s="497"/>
      <c r="I45" s="498"/>
      <c r="J45" s="496" t="s">
        <v>733</v>
      </c>
      <c r="K45" s="497"/>
      <c r="L45" s="498"/>
      <c r="M45" s="496" t="s">
        <v>734</v>
      </c>
      <c r="N45" s="497"/>
      <c r="O45" s="497"/>
      <c r="P45" s="498"/>
      <c r="Q45" s="480" t="s">
        <v>657</v>
      </c>
      <c r="R45" s="479">
        <v>46074</v>
      </c>
      <c r="S45" s="479">
        <v>46112</v>
      </c>
      <c r="T45" s="480" t="s">
        <v>41</v>
      </c>
      <c r="U45" s="458"/>
      <c r="V45" s="460"/>
      <c r="W45" s="458"/>
    </row>
    <row r="46" spans="1:23" ht="14.45" hidden="1" customHeight="1" x14ac:dyDescent="0.25">
      <c r="A46" s="458">
        <v>38</v>
      </c>
      <c r="B46" s="477">
        <v>46044</v>
      </c>
      <c r="C46" s="478" t="s">
        <v>735</v>
      </c>
      <c r="D46" s="478" t="s">
        <v>728</v>
      </c>
      <c r="E46" s="478" t="s">
        <v>653</v>
      </c>
      <c r="F46" s="496" t="s">
        <v>542</v>
      </c>
      <c r="G46" s="497"/>
      <c r="H46" s="497"/>
      <c r="I46" s="498"/>
      <c r="J46" s="496" t="s">
        <v>712</v>
      </c>
      <c r="K46" s="497"/>
      <c r="L46" s="498"/>
      <c r="M46" s="496" t="s">
        <v>736</v>
      </c>
      <c r="N46" s="497"/>
      <c r="O46" s="497"/>
      <c r="P46" s="498"/>
      <c r="Q46" s="478" t="s">
        <v>657</v>
      </c>
      <c r="R46" s="477">
        <v>46074</v>
      </c>
      <c r="S46" s="477">
        <v>46112</v>
      </c>
      <c r="T46" s="478" t="s">
        <v>41</v>
      </c>
      <c r="U46" s="458"/>
      <c r="V46" s="460"/>
      <c r="W46" s="458"/>
    </row>
    <row r="47" spans="1:23" ht="14.45" hidden="1" customHeight="1" x14ac:dyDescent="0.25">
      <c r="A47" s="458">
        <v>39</v>
      </c>
      <c r="B47" s="479">
        <v>46044</v>
      </c>
      <c r="C47" s="480" t="s">
        <v>376</v>
      </c>
      <c r="D47" s="480" t="s">
        <v>737</v>
      </c>
      <c r="E47" s="480" t="s">
        <v>645</v>
      </c>
      <c r="F47" s="496" t="s">
        <v>377</v>
      </c>
      <c r="G47" s="497"/>
      <c r="H47" s="497"/>
      <c r="I47" s="498"/>
      <c r="J47" s="496" t="s">
        <v>712</v>
      </c>
      <c r="K47" s="497"/>
      <c r="L47" s="498"/>
      <c r="M47" s="496" t="s">
        <v>738</v>
      </c>
      <c r="N47" s="497"/>
      <c r="O47" s="497"/>
      <c r="P47" s="498"/>
      <c r="Q47" s="480" t="s">
        <v>649</v>
      </c>
      <c r="R47" s="479">
        <v>46074</v>
      </c>
      <c r="S47" s="479">
        <v>46069</v>
      </c>
      <c r="T47" s="480" t="s">
        <v>41</v>
      </c>
      <c r="U47" s="458"/>
      <c r="V47" s="460"/>
      <c r="W47" s="458"/>
    </row>
    <row r="48" spans="1:23" ht="14.45" hidden="1" customHeight="1" x14ac:dyDescent="0.25">
      <c r="A48" s="458">
        <v>40</v>
      </c>
      <c r="B48" s="477">
        <v>46044</v>
      </c>
      <c r="C48" s="478" t="s">
        <v>426</v>
      </c>
      <c r="D48" s="478" t="s">
        <v>739</v>
      </c>
      <c r="E48" s="478" t="s">
        <v>645</v>
      </c>
      <c r="F48" s="496" t="s">
        <v>428</v>
      </c>
      <c r="G48" s="497"/>
      <c r="H48" s="497"/>
      <c r="I48" s="498"/>
      <c r="J48" s="496" t="s">
        <v>720</v>
      </c>
      <c r="K48" s="497"/>
      <c r="L48" s="498"/>
      <c r="M48" s="496" t="s">
        <v>724</v>
      </c>
      <c r="N48" s="497"/>
      <c r="O48" s="497"/>
      <c r="P48" s="498"/>
      <c r="Q48" s="478" t="s">
        <v>649</v>
      </c>
      <c r="R48" s="477">
        <v>46074</v>
      </c>
      <c r="S48" s="477">
        <v>46060</v>
      </c>
      <c r="T48" s="478" t="s">
        <v>41</v>
      </c>
      <c r="U48" s="458"/>
      <c r="V48" s="460"/>
      <c r="W48" s="458"/>
    </row>
    <row r="49" spans="1:23" ht="14.45" hidden="1" customHeight="1" x14ac:dyDescent="0.25">
      <c r="A49" s="458">
        <v>41</v>
      </c>
      <c r="B49" s="479">
        <v>46044</v>
      </c>
      <c r="C49" s="480" t="s">
        <v>426</v>
      </c>
      <c r="D49" s="480" t="s">
        <v>739</v>
      </c>
      <c r="E49" s="480" t="s">
        <v>645</v>
      </c>
      <c r="F49" s="496" t="s">
        <v>432</v>
      </c>
      <c r="G49" s="497"/>
      <c r="H49" s="497"/>
      <c r="I49" s="498"/>
      <c r="J49" s="496" t="s">
        <v>720</v>
      </c>
      <c r="K49" s="497"/>
      <c r="L49" s="498"/>
      <c r="M49" s="496" t="s">
        <v>740</v>
      </c>
      <c r="N49" s="497"/>
      <c r="O49" s="497"/>
      <c r="P49" s="498"/>
      <c r="Q49" s="480" t="s">
        <v>649</v>
      </c>
      <c r="R49" s="479">
        <v>46074</v>
      </c>
      <c r="S49" s="479">
        <v>46062</v>
      </c>
      <c r="T49" s="480" t="s">
        <v>41</v>
      </c>
      <c r="U49" s="458"/>
      <c r="V49" s="460"/>
      <c r="W49" s="458"/>
    </row>
    <row r="50" spans="1:23" ht="14.45" hidden="1" customHeight="1" x14ac:dyDescent="0.25">
      <c r="A50" s="458">
        <v>42</v>
      </c>
      <c r="B50" s="477">
        <v>46066</v>
      </c>
      <c r="C50" s="478" t="s">
        <v>237</v>
      </c>
      <c r="D50" s="478" t="s">
        <v>644</v>
      </c>
      <c r="E50" s="478" t="s">
        <v>645</v>
      </c>
      <c r="F50" s="496" t="s">
        <v>741</v>
      </c>
      <c r="G50" s="497"/>
      <c r="H50" s="497"/>
      <c r="I50" s="498"/>
      <c r="J50" s="496" t="s">
        <v>742</v>
      </c>
      <c r="K50" s="497"/>
      <c r="L50" s="498"/>
      <c r="M50" s="496" t="s">
        <v>743</v>
      </c>
      <c r="N50" s="497"/>
      <c r="O50" s="497"/>
      <c r="P50" s="498"/>
      <c r="Q50" s="478" t="s">
        <v>649</v>
      </c>
      <c r="R50" s="477">
        <v>46096</v>
      </c>
      <c r="S50" s="477">
        <v>46080</v>
      </c>
      <c r="T50" s="478" t="s">
        <v>41</v>
      </c>
      <c r="U50" s="458"/>
      <c r="V50" s="460"/>
      <c r="W50" s="458"/>
    </row>
    <row r="51" spans="1:23" ht="14.45" hidden="1" customHeight="1" x14ac:dyDescent="0.25">
      <c r="A51" s="458">
        <v>43</v>
      </c>
      <c r="B51" s="479">
        <v>46066</v>
      </c>
      <c r="C51" s="480" t="s">
        <v>226</v>
      </c>
      <c r="D51" s="480" t="s">
        <v>644</v>
      </c>
      <c r="E51" s="480" t="s">
        <v>653</v>
      </c>
      <c r="F51" s="496" t="s">
        <v>230</v>
      </c>
      <c r="G51" s="497"/>
      <c r="H51" s="497"/>
      <c r="I51" s="498"/>
      <c r="J51" s="496" t="s">
        <v>733</v>
      </c>
      <c r="K51" s="497"/>
      <c r="L51" s="498"/>
      <c r="M51" s="496" t="s">
        <v>744</v>
      </c>
      <c r="N51" s="497"/>
      <c r="O51" s="497"/>
      <c r="P51" s="498"/>
      <c r="Q51" s="480" t="s">
        <v>657</v>
      </c>
      <c r="R51" s="479">
        <v>46096</v>
      </c>
      <c r="S51" s="479">
        <v>46080</v>
      </c>
      <c r="T51" s="480" t="s">
        <v>41</v>
      </c>
      <c r="U51" s="458"/>
      <c r="V51" s="460"/>
      <c r="W51" s="458"/>
    </row>
    <row r="52" spans="1:23" ht="14.45" hidden="1" customHeight="1" x14ac:dyDescent="0.25">
      <c r="A52" s="458">
        <v>44</v>
      </c>
      <c r="B52" s="477">
        <v>46066</v>
      </c>
      <c r="C52" s="478" t="s">
        <v>165</v>
      </c>
      <c r="D52" s="478" t="s">
        <v>644</v>
      </c>
      <c r="E52" s="478" t="s">
        <v>645</v>
      </c>
      <c r="F52" s="496" t="s">
        <v>745</v>
      </c>
      <c r="G52" s="497"/>
      <c r="H52" s="497"/>
      <c r="I52" s="498"/>
      <c r="J52" s="496" t="s">
        <v>666</v>
      </c>
      <c r="K52" s="497"/>
      <c r="L52" s="498"/>
      <c r="M52" s="496" t="s">
        <v>746</v>
      </c>
      <c r="N52" s="497"/>
      <c r="O52" s="497"/>
      <c r="P52" s="498"/>
      <c r="Q52" s="478" t="s">
        <v>649</v>
      </c>
      <c r="R52" s="477">
        <v>46096</v>
      </c>
      <c r="S52" s="477">
        <v>46080</v>
      </c>
      <c r="T52" s="478" t="s">
        <v>41</v>
      </c>
      <c r="U52" s="458"/>
      <c r="V52" s="460"/>
      <c r="W52" s="458"/>
    </row>
    <row r="53" spans="1:23" ht="14.45" hidden="1" customHeight="1" x14ac:dyDescent="0.25">
      <c r="A53" s="458">
        <v>45</v>
      </c>
      <c r="B53" s="479">
        <v>46066</v>
      </c>
      <c r="C53" s="480" t="s">
        <v>237</v>
      </c>
      <c r="D53" s="480" t="s">
        <v>644</v>
      </c>
      <c r="E53" s="480" t="s">
        <v>645</v>
      </c>
      <c r="F53" s="496" t="s">
        <v>747</v>
      </c>
      <c r="G53" s="497"/>
      <c r="H53" s="497"/>
      <c r="I53" s="498"/>
      <c r="J53" s="496" t="s">
        <v>748</v>
      </c>
      <c r="K53" s="497"/>
      <c r="L53" s="498"/>
      <c r="M53" s="496" t="s">
        <v>749</v>
      </c>
      <c r="N53" s="497"/>
      <c r="O53" s="497"/>
      <c r="P53" s="498"/>
      <c r="Q53" s="480" t="s">
        <v>649</v>
      </c>
      <c r="R53" s="479">
        <v>46096</v>
      </c>
      <c r="S53" s="479">
        <v>46096</v>
      </c>
      <c r="T53" s="480" t="s">
        <v>41</v>
      </c>
      <c r="U53" s="458"/>
      <c r="V53" s="460"/>
      <c r="W53" s="458"/>
    </row>
    <row r="54" spans="1:23" ht="14.45" hidden="1" customHeight="1" x14ac:dyDescent="0.25">
      <c r="A54" s="458">
        <v>46</v>
      </c>
      <c r="B54" s="477">
        <v>46066</v>
      </c>
      <c r="C54" s="478" t="s">
        <v>237</v>
      </c>
      <c r="D54" s="478" t="s">
        <v>644</v>
      </c>
      <c r="E54" s="478" t="s">
        <v>645</v>
      </c>
      <c r="F54" s="496" t="s">
        <v>750</v>
      </c>
      <c r="G54" s="497"/>
      <c r="H54" s="497"/>
      <c r="I54" s="498"/>
      <c r="J54" s="496" t="s">
        <v>751</v>
      </c>
      <c r="K54" s="497"/>
      <c r="L54" s="498"/>
      <c r="M54" s="496" t="s">
        <v>752</v>
      </c>
      <c r="N54" s="497"/>
      <c r="O54" s="497"/>
      <c r="P54" s="498"/>
      <c r="Q54" s="478" t="s">
        <v>649</v>
      </c>
      <c r="R54" s="477">
        <v>46096</v>
      </c>
      <c r="S54" s="477">
        <v>46101</v>
      </c>
      <c r="T54" s="478" t="s">
        <v>41</v>
      </c>
      <c r="U54" s="458"/>
      <c r="V54" s="460"/>
      <c r="W54" s="458"/>
    </row>
    <row r="55" spans="1:23" ht="14.45" hidden="1" customHeight="1" x14ac:dyDescent="0.25">
      <c r="A55" s="458">
        <v>47</v>
      </c>
      <c r="B55" s="479">
        <v>46066</v>
      </c>
      <c r="C55" s="480" t="s">
        <v>174</v>
      </c>
      <c r="D55" s="480" t="s">
        <v>644</v>
      </c>
      <c r="E55" s="480" t="s">
        <v>645</v>
      </c>
      <c r="F55" s="496" t="s">
        <v>178</v>
      </c>
      <c r="G55" s="497"/>
      <c r="H55" s="497"/>
      <c r="I55" s="498"/>
      <c r="J55" s="496" t="s">
        <v>753</v>
      </c>
      <c r="K55" s="497"/>
      <c r="L55" s="498"/>
      <c r="M55" s="496" t="s">
        <v>754</v>
      </c>
      <c r="N55" s="497"/>
      <c r="O55" s="497"/>
      <c r="P55" s="498"/>
      <c r="Q55" s="480" t="s">
        <v>649</v>
      </c>
      <c r="R55" s="479">
        <v>46096</v>
      </c>
      <c r="S55" s="479">
        <v>46085</v>
      </c>
      <c r="T55" s="480" t="s">
        <v>41</v>
      </c>
      <c r="U55" s="458"/>
      <c r="V55" s="460"/>
      <c r="W55" s="458"/>
    </row>
    <row r="56" spans="1:23" ht="14.45" hidden="1" customHeight="1" x14ac:dyDescent="0.25">
      <c r="A56" s="458">
        <v>48</v>
      </c>
      <c r="B56" s="477">
        <v>46066</v>
      </c>
      <c r="C56" s="478" t="s">
        <v>448</v>
      </c>
      <c r="D56" s="478" t="s">
        <v>664</v>
      </c>
      <c r="E56" s="478" t="s">
        <v>645</v>
      </c>
      <c r="F56" s="496" t="s">
        <v>449</v>
      </c>
      <c r="G56" s="497"/>
      <c r="H56" s="497"/>
      <c r="I56" s="498"/>
      <c r="J56" s="496" t="s">
        <v>751</v>
      </c>
      <c r="K56" s="497"/>
      <c r="L56" s="498"/>
      <c r="M56" s="496" t="s">
        <v>755</v>
      </c>
      <c r="N56" s="497"/>
      <c r="O56" s="497"/>
      <c r="P56" s="498"/>
      <c r="Q56" s="478" t="s">
        <v>649</v>
      </c>
      <c r="R56" s="477">
        <v>46096</v>
      </c>
      <c r="S56" s="477">
        <v>46096</v>
      </c>
      <c r="T56" s="478" t="s">
        <v>41</v>
      </c>
      <c r="U56" s="458"/>
      <c r="V56" s="460"/>
      <c r="W56" s="458"/>
    </row>
    <row r="57" spans="1:23" ht="14.45" hidden="1" customHeight="1" x14ac:dyDescent="0.25">
      <c r="A57" s="458">
        <v>49</v>
      </c>
      <c r="B57" s="479">
        <v>46066</v>
      </c>
      <c r="C57" s="480" t="s">
        <v>454</v>
      </c>
      <c r="D57" s="480" t="s">
        <v>664</v>
      </c>
      <c r="E57" s="480" t="s">
        <v>653</v>
      </c>
      <c r="F57" s="496" t="s">
        <v>457</v>
      </c>
      <c r="G57" s="497"/>
      <c r="H57" s="497"/>
      <c r="I57" s="498"/>
      <c r="J57" s="496" t="s">
        <v>733</v>
      </c>
      <c r="K57" s="497"/>
      <c r="L57" s="498"/>
      <c r="M57" s="496" t="s">
        <v>756</v>
      </c>
      <c r="N57" s="497"/>
      <c r="O57" s="497"/>
      <c r="P57" s="498"/>
      <c r="Q57" s="480" t="s">
        <v>657</v>
      </c>
      <c r="R57" s="479">
        <v>46096</v>
      </c>
      <c r="S57" s="479">
        <v>46079</v>
      </c>
      <c r="T57" s="480" t="s">
        <v>41</v>
      </c>
      <c r="U57" s="458"/>
      <c r="V57" s="460"/>
      <c r="W57" s="458"/>
    </row>
    <row r="58" spans="1:23" ht="14.45" hidden="1" customHeight="1" x14ac:dyDescent="0.25">
      <c r="A58" s="458">
        <v>50</v>
      </c>
      <c r="B58" s="477">
        <v>46066</v>
      </c>
      <c r="C58" s="478" t="s">
        <v>496</v>
      </c>
      <c r="D58" s="478" t="s">
        <v>664</v>
      </c>
      <c r="E58" s="478" t="s">
        <v>645</v>
      </c>
      <c r="F58" s="496" t="s">
        <v>757</v>
      </c>
      <c r="G58" s="497"/>
      <c r="H58" s="497"/>
      <c r="I58" s="498"/>
      <c r="J58" s="496" t="s">
        <v>758</v>
      </c>
      <c r="K58" s="497"/>
      <c r="L58" s="498"/>
      <c r="M58" s="496" t="s">
        <v>759</v>
      </c>
      <c r="N58" s="497"/>
      <c r="O58" s="497"/>
      <c r="P58" s="498"/>
      <c r="Q58" s="478" t="s">
        <v>649</v>
      </c>
      <c r="R58" s="477">
        <v>46096</v>
      </c>
      <c r="S58" s="477">
        <v>46109</v>
      </c>
      <c r="T58" s="478" t="s">
        <v>41</v>
      </c>
      <c r="U58" s="458"/>
      <c r="V58" s="460"/>
      <c r="W58" s="458"/>
    </row>
    <row r="59" spans="1:23" ht="14.45" hidden="1" customHeight="1" x14ac:dyDescent="0.25">
      <c r="A59" s="458">
        <v>51</v>
      </c>
      <c r="B59" s="479">
        <v>46066</v>
      </c>
      <c r="C59" s="480" t="s">
        <v>485</v>
      </c>
      <c r="D59" s="480" t="s">
        <v>664</v>
      </c>
      <c r="E59" s="480" t="s">
        <v>653</v>
      </c>
      <c r="F59" s="496" t="s">
        <v>760</v>
      </c>
      <c r="G59" s="497"/>
      <c r="H59" s="497"/>
      <c r="I59" s="498"/>
      <c r="J59" s="496" t="s">
        <v>666</v>
      </c>
      <c r="K59" s="497"/>
      <c r="L59" s="498"/>
      <c r="M59" s="496" t="s">
        <v>761</v>
      </c>
      <c r="N59" s="497"/>
      <c r="O59" s="497"/>
      <c r="P59" s="498"/>
      <c r="Q59" s="480" t="s">
        <v>657</v>
      </c>
      <c r="R59" s="479">
        <v>46096</v>
      </c>
      <c r="S59" s="479">
        <v>46080</v>
      </c>
      <c r="T59" s="480" t="s">
        <v>41</v>
      </c>
      <c r="U59" s="458"/>
      <c r="V59" s="460"/>
      <c r="W59" s="458"/>
    </row>
    <row r="60" spans="1:23" ht="14.45" hidden="1" customHeight="1" x14ac:dyDescent="0.25">
      <c r="A60" s="458">
        <v>52</v>
      </c>
      <c r="B60" s="477">
        <v>46066</v>
      </c>
      <c r="C60" s="478" t="s">
        <v>496</v>
      </c>
      <c r="D60" s="478" t="s">
        <v>664</v>
      </c>
      <c r="E60" s="478" t="s">
        <v>653</v>
      </c>
      <c r="F60" s="496" t="s">
        <v>762</v>
      </c>
      <c r="G60" s="497"/>
      <c r="H60" s="497"/>
      <c r="I60" s="498"/>
      <c r="J60" s="496" t="s">
        <v>763</v>
      </c>
      <c r="K60" s="497"/>
      <c r="L60" s="498"/>
      <c r="M60" s="496" t="s">
        <v>764</v>
      </c>
      <c r="N60" s="497"/>
      <c r="O60" s="497"/>
      <c r="P60" s="498"/>
      <c r="Q60" s="478" t="s">
        <v>657</v>
      </c>
      <c r="R60" s="477">
        <v>46096</v>
      </c>
      <c r="S60" s="477">
        <v>46170</v>
      </c>
      <c r="T60" s="478" t="s">
        <v>41</v>
      </c>
      <c r="U60" s="458"/>
      <c r="V60" s="460"/>
      <c r="W60" s="458"/>
    </row>
    <row r="61" spans="1:23" ht="14.45" hidden="1" customHeight="1" x14ac:dyDescent="0.25">
      <c r="A61" s="458">
        <v>53</v>
      </c>
      <c r="B61" s="479">
        <v>46066</v>
      </c>
      <c r="C61" s="480" t="s">
        <v>496</v>
      </c>
      <c r="D61" s="480" t="s">
        <v>664</v>
      </c>
      <c r="E61" s="480" t="s">
        <v>653</v>
      </c>
      <c r="F61" s="496" t="s">
        <v>765</v>
      </c>
      <c r="G61" s="497"/>
      <c r="H61" s="497"/>
      <c r="I61" s="498"/>
      <c r="J61" s="496" t="s">
        <v>766</v>
      </c>
      <c r="K61" s="497"/>
      <c r="L61" s="498"/>
      <c r="M61" s="496" t="s">
        <v>19</v>
      </c>
      <c r="N61" s="497"/>
      <c r="O61" s="497"/>
      <c r="P61" s="498"/>
      <c r="Q61" s="480" t="s">
        <v>657</v>
      </c>
      <c r="R61" s="479">
        <v>46096</v>
      </c>
      <c r="S61" s="479">
        <v>46170</v>
      </c>
      <c r="T61" s="480" t="s">
        <v>41</v>
      </c>
      <c r="U61" s="458"/>
      <c r="V61" s="460"/>
      <c r="W61" s="458"/>
    </row>
    <row r="62" spans="1:23" ht="14.45" hidden="1" customHeight="1" x14ac:dyDescent="0.25">
      <c r="A62" s="458">
        <v>54</v>
      </c>
      <c r="B62" s="477">
        <v>46066</v>
      </c>
      <c r="C62" s="478" t="s">
        <v>496</v>
      </c>
      <c r="D62" s="478" t="s">
        <v>664</v>
      </c>
      <c r="E62" s="478" t="s">
        <v>653</v>
      </c>
      <c r="F62" s="496" t="s">
        <v>767</v>
      </c>
      <c r="G62" s="497"/>
      <c r="H62" s="497"/>
      <c r="I62" s="498"/>
      <c r="J62" s="496" t="s">
        <v>708</v>
      </c>
      <c r="K62" s="497"/>
      <c r="L62" s="498"/>
      <c r="M62" s="496" t="s">
        <v>768</v>
      </c>
      <c r="N62" s="497"/>
      <c r="O62" s="497"/>
      <c r="P62" s="498"/>
      <c r="Q62" s="478" t="s">
        <v>649</v>
      </c>
      <c r="R62" s="477">
        <v>46096</v>
      </c>
      <c r="S62" s="477">
        <v>46109</v>
      </c>
      <c r="T62" s="478" t="s">
        <v>41</v>
      </c>
      <c r="U62" s="458"/>
      <c r="V62" s="460"/>
      <c r="W62" s="458"/>
    </row>
    <row r="63" spans="1:23" ht="14.45" hidden="1" customHeight="1" x14ac:dyDescent="0.25">
      <c r="A63" s="458">
        <v>55</v>
      </c>
      <c r="B63" s="479">
        <v>46066</v>
      </c>
      <c r="C63" s="480" t="s">
        <v>485</v>
      </c>
      <c r="D63" s="480" t="s">
        <v>664</v>
      </c>
      <c r="E63" s="480" t="s">
        <v>653</v>
      </c>
      <c r="F63" s="496" t="s">
        <v>769</v>
      </c>
      <c r="G63" s="497"/>
      <c r="H63" s="497"/>
      <c r="I63" s="498"/>
      <c r="J63" s="496" t="s">
        <v>770</v>
      </c>
      <c r="K63" s="497"/>
      <c r="L63" s="498"/>
      <c r="M63" s="496" t="s">
        <v>771</v>
      </c>
      <c r="N63" s="497"/>
      <c r="O63" s="497"/>
      <c r="P63" s="498"/>
      <c r="Q63" s="480" t="s">
        <v>657</v>
      </c>
      <c r="R63" s="479">
        <v>46096</v>
      </c>
      <c r="S63" s="479">
        <v>46170</v>
      </c>
      <c r="T63" s="480" t="s">
        <v>41</v>
      </c>
      <c r="U63" s="458"/>
      <c r="V63" s="460"/>
      <c r="W63" s="458"/>
    </row>
    <row r="64" spans="1:23" ht="14.45" hidden="1" customHeight="1" x14ac:dyDescent="0.25">
      <c r="A64" s="458">
        <v>56</v>
      </c>
      <c r="B64" s="477">
        <v>46066</v>
      </c>
      <c r="C64" s="478" t="s">
        <v>496</v>
      </c>
      <c r="D64" s="478" t="s">
        <v>664</v>
      </c>
      <c r="E64" s="478" t="s">
        <v>645</v>
      </c>
      <c r="F64" s="496" t="s">
        <v>772</v>
      </c>
      <c r="G64" s="497"/>
      <c r="H64" s="497"/>
      <c r="I64" s="498"/>
      <c r="J64" s="496" t="s">
        <v>773</v>
      </c>
      <c r="K64" s="497"/>
      <c r="L64" s="498"/>
      <c r="M64" s="496" t="s">
        <v>774</v>
      </c>
      <c r="N64" s="497"/>
      <c r="O64" s="497"/>
      <c r="P64" s="498"/>
      <c r="Q64" s="478" t="s">
        <v>649</v>
      </c>
      <c r="R64" s="477">
        <v>46096</v>
      </c>
      <c r="S64" s="477">
        <v>46108</v>
      </c>
      <c r="T64" s="478" t="s">
        <v>41</v>
      </c>
      <c r="U64" s="458"/>
      <c r="V64" s="460"/>
      <c r="W64" s="458"/>
    </row>
    <row r="65" spans="1:23" ht="14.45" hidden="1" customHeight="1" x14ac:dyDescent="0.25">
      <c r="A65" s="458">
        <v>57</v>
      </c>
      <c r="B65" s="479">
        <v>46066</v>
      </c>
      <c r="C65" s="480" t="s">
        <v>496</v>
      </c>
      <c r="D65" s="480" t="s">
        <v>664</v>
      </c>
      <c r="E65" s="480" t="s">
        <v>653</v>
      </c>
      <c r="F65" s="496" t="s">
        <v>775</v>
      </c>
      <c r="G65" s="497"/>
      <c r="H65" s="497"/>
      <c r="I65" s="498"/>
      <c r="J65" s="496" t="s">
        <v>776</v>
      </c>
      <c r="K65" s="497"/>
      <c r="L65" s="498"/>
      <c r="M65" s="496" t="s">
        <v>777</v>
      </c>
      <c r="N65" s="497"/>
      <c r="O65" s="497"/>
      <c r="P65" s="498"/>
      <c r="Q65" s="480" t="s">
        <v>657</v>
      </c>
      <c r="R65" s="479">
        <v>46096</v>
      </c>
      <c r="S65" s="479">
        <v>46170</v>
      </c>
      <c r="T65" s="480" t="s">
        <v>41</v>
      </c>
      <c r="U65" s="458"/>
      <c r="V65" s="460"/>
      <c r="W65" s="458"/>
    </row>
    <row r="66" spans="1:23" ht="14.45" hidden="1" customHeight="1" x14ac:dyDescent="0.25">
      <c r="A66" s="458">
        <v>58</v>
      </c>
      <c r="B66" s="477">
        <v>46066</v>
      </c>
      <c r="C66" s="478" t="s">
        <v>485</v>
      </c>
      <c r="D66" s="478" t="s">
        <v>664</v>
      </c>
      <c r="E66" s="478" t="s">
        <v>645</v>
      </c>
      <c r="F66" s="496" t="s">
        <v>778</v>
      </c>
      <c r="G66" s="497"/>
      <c r="H66" s="497"/>
      <c r="I66" s="498"/>
      <c r="J66" s="496" t="s">
        <v>779</v>
      </c>
      <c r="K66" s="497"/>
      <c r="L66" s="498"/>
      <c r="M66" s="496" t="s">
        <v>780</v>
      </c>
      <c r="N66" s="497"/>
      <c r="O66" s="497"/>
      <c r="P66" s="498"/>
      <c r="Q66" s="478" t="s">
        <v>649</v>
      </c>
      <c r="R66" s="477">
        <v>46096</v>
      </c>
      <c r="S66" s="477">
        <v>46109</v>
      </c>
      <c r="T66" s="478" t="s">
        <v>41</v>
      </c>
      <c r="U66" s="458"/>
      <c r="V66" s="460"/>
      <c r="W66" s="458"/>
    </row>
    <row r="67" spans="1:23" ht="14.45" hidden="1" customHeight="1" x14ac:dyDescent="0.25">
      <c r="A67" s="458">
        <v>59</v>
      </c>
      <c r="B67" s="479">
        <v>46066</v>
      </c>
      <c r="C67" s="480" t="s">
        <v>496</v>
      </c>
      <c r="D67" s="480" t="s">
        <v>664</v>
      </c>
      <c r="E67" s="480" t="s">
        <v>653</v>
      </c>
      <c r="F67" s="496" t="s">
        <v>781</v>
      </c>
      <c r="G67" s="497"/>
      <c r="H67" s="497"/>
      <c r="I67" s="498"/>
      <c r="J67" s="496" t="s">
        <v>733</v>
      </c>
      <c r="K67" s="497"/>
      <c r="L67" s="498"/>
      <c r="M67" s="496" t="s">
        <v>734</v>
      </c>
      <c r="N67" s="497"/>
      <c r="O67" s="497"/>
      <c r="P67" s="498"/>
      <c r="Q67" s="480" t="s">
        <v>657</v>
      </c>
      <c r="R67" s="479">
        <v>46096</v>
      </c>
      <c r="S67" s="479">
        <v>46080</v>
      </c>
      <c r="T67" s="480" t="s">
        <v>41</v>
      </c>
      <c r="U67" s="458"/>
      <c r="V67" s="460"/>
      <c r="W67" s="458"/>
    </row>
    <row r="68" spans="1:23" ht="14.45" hidden="1" customHeight="1" x14ac:dyDescent="0.25">
      <c r="A68" s="458">
        <v>60</v>
      </c>
      <c r="B68" s="477">
        <v>46066</v>
      </c>
      <c r="C68" s="478" t="s">
        <v>496</v>
      </c>
      <c r="D68" s="478" t="s">
        <v>664</v>
      </c>
      <c r="E68" s="478" t="s">
        <v>653</v>
      </c>
      <c r="F68" s="496" t="s">
        <v>782</v>
      </c>
      <c r="G68" s="497"/>
      <c r="H68" s="497"/>
      <c r="I68" s="498"/>
      <c r="J68" s="496" t="s">
        <v>783</v>
      </c>
      <c r="K68" s="497"/>
      <c r="L68" s="498"/>
      <c r="M68" s="496" t="s">
        <v>734</v>
      </c>
      <c r="N68" s="497"/>
      <c r="O68" s="497"/>
      <c r="P68" s="498"/>
      <c r="Q68" s="478" t="s">
        <v>657</v>
      </c>
      <c r="R68" s="477">
        <v>46096</v>
      </c>
      <c r="S68" s="477">
        <v>46080</v>
      </c>
      <c r="T68" s="478" t="s">
        <v>41</v>
      </c>
      <c r="U68" s="458"/>
      <c r="V68" s="460"/>
      <c r="W68" s="458"/>
    </row>
    <row r="69" spans="1:23" ht="14.45" hidden="1" customHeight="1" x14ac:dyDescent="0.25">
      <c r="A69" s="458">
        <v>61</v>
      </c>
      <c r="B69" s="479">
        <v>46066</v>
      </c>
      <c r="C69" s="480" t="s">
        <v>496</v>
      </c>
      <c r="D69" s="480" t="s">
        <v>664</v>
      </c>
      <c r="E69" s="480" t="s">
        <v>653</v>
      </c>
      <c r="F69" s="496" t="s">
        <v>784</v>
      </c>
      <c r="G69" s="497"/>
      <c r="H69" s="497"/>
      <c r="I69" s="498"/>
      <c r="J69" s="496" t="s">
        <v>708</v>
      </c>
      <c r="K69" s="497"/>
      <c r="L69" s="498"/>
      <c r="M69" s="496" t="s">
        <v>785</v>
      </c>
      <c r="N69" s="497"/>
      <c r="O69" s="497"/>
      <c r="P69" s="498"/>
      <c r="Q69" s="480" t="s">
        <v>657</v>
      </c>
      <c r="R69" s="479">
        <v>46096</v>
      </c>
      <c r="S69" s="479">
        <v>46080</v>
      </c>
      <c r="T69" s="480" t="s">
        <v>41</v>
      </c>
      <c r="U69" s="458"/>
      <c r="V69" s="460"/>
      <c r="W69" s="458"/>
    </row>
    <row r="70" spans="1:23" ht="14.45" hidden="1" customHeight="1" x14ac:dyDescent="0.25">
      <c r="A70" s="458">
        <v>62</v>
      </c>
      <c r="B70" s="477">
        <v>46066</v>
      </c>
      <c r="C70" s="478" t="s">
        <v>288</v>
      </c>
      <c r="D70" s="478" t="s">
        <v>706</v>
      </c>
      <c r="E70" s="478" t="s">
        <v>645</v>
      </c>
      <c r="F70" s="496" t="s">
        <v>786</v>
      </c>
      <c r="G70" s="497"/>
      <c r="H70" s="497"/>
      <c r="I70" s="498"/>
      <c r="J70" s="496" t="s">
        <v>787</v>
      </c>
      <c r="K70" s="497"/>
      <c r="L70" s="498"/>
      <c r="M70" s="496" t="s">
        <v>788</v>
      </c>
      <c r="N70" s="497"/>
      <c r="O70" s="497"/>
      <c r="P70" s="498"/>
      <c r="Q70" s="478" t="s">
        <v>649</v>
      </c>
      <c r="R70" s="477">
        <v>46096</v>
      </c>
      <c r="S70" s="477">
        <v>46096</v>
      </c>
      <c r="T70" s="478" t="s">
        <v>41</v>
      </c>
      <c r="U70" s="458"/>
      <c r="V70" s="460"/>
      <c r="W70" s="458"/>
    </row>
    <row r="71" spans="1:23" ht="14.45" hidden="1" customHeight="1" x14ac:dyDescent="0.25">
      <c r="A71" s="458">
        <v>63</v>
      </c>
      <c r="B71" s="479">
        <v>46066</v>
      </c>
      <c r="C71" s="480" t="s">
        <v>545</v>
      </c>
      <c r="D71" s="480" t="s">
        <v>728</v>
      </c>
      <c r="E71" s="480" t="s">
        <v>653</v>
      </c>
      <c r="F71" s="496" t="s">
        <v>789</v>
      </c>
      <c r="G71" s="497"/>
      <c r="H71" s="497"/>
      <c r="I71" s="498"/>
      <c r="J71" s="496" t="s">
        <v>790</v>
      </c>
      <c r="K71" s="497"/>
      <c r="L71" s="498"/>
      <c r="M71" s="496" t="s">
        <v>791</v>
      </c>
      <c r="N71" s="497"/>
      <c r="O71" s="497"/>
      <c r="P71" s="498"/>
      <c r="Q71" s="480" t="s">
        <v>657</v>
      </c>
      <c r="R71" s="479">
        <v>46096</v>
      </c>
      <c r="S71" s="479">
        <v>46111</v>
      </c>
      <c r="T71" s="480" t="s">
        <v>41</v>
      </c>
      <c r="U71" s="458"/>
      <c r="V71" s="460"/>
      <c r="W71" s="458"/>
    </row>
    <row r="72" spans="1:23" ht="14.45" hidden="1" customHeight="1" x14ac:dyDescent="0.25">
      <c r="A72" s="458">
        <v>64</v>
      </c>
      <c r="B72" s="477">
        <v>46066</v>
      </c>
      <c r="C72" s="478" t="s">
        <v>338</v>
      </c>
      <c r="D72" s="478" t="s">
        <v>706</v>
      </c>
      <c r="E72" s="478" t="s">
        <v>645</v>
      </c>
      <c r="F72" s="496" t="s">
        <v>792</v>
      </c>
      <c r="G72" s="497"/>
      <c r="H72" s="497"/>
      <c r="I72" s="498"/>
      <c r="J72" s="496" t="s">
        <v>790</v>
      </c>
      <c r="K72" s="497"/>
      <c r="L72" s="498"/>
      <c r="M72" s="496" t="s">
        <v>793</v>
      </c>
      <c r="N72" s="497"/>
      <c r="O72" s="497"/>
      <c r="P72" s="498"/>
      <c r="Q72" s="478" t="s">
        <v>649</v>
      </c>
      <c r="R72" s="477">
        <v>46096</v>
      </c>
      <c r="S72" s="477">
        <v>46096</v>
      </c>
      <c r="T72" s="478" t="s">
        <v>41</v>
      </c>
      <c r="U72" s="458"/>
      <c r="V72" s="460"/>
      <c r="W72" s="458"/>
    </row>
    <row r="73" spans="1:23" ht="14.45" hidden="1" customHeight="1" x14ac:dyDescent="0.25">
      <c r="A73" s="458">
        <v>65</v>
      </c>
      <c r="B73" s="479">
        <v>46066</v>
      </c>
      <c r="C73" s="480" t="s">
        <v>521</v>
      </c>
      <c r="D73" s="480" t="s">
        <v>728</v>
      </c>
      <c r="E73" s="480" t="s">
        <v>653</v>
      </c>
      <c r="F73" s="496" t="s">
        <v>794</v>
      </c>
      <c r="G73" s="497"/>
      <c r="H73" s="497"/>
      <c r="I73" s="498"/>
      <c r="J73" s="496" t="s">
        <v>790</v>
      </c>
      <c r="K73" s="497"/>
      <c r="L73" s="498"/>
      <c r="M73" s="496" t="s">
        <v>795</v>
      </c>
      <c r="N73" s="497"/>
      <c r="O73" s="497"/>
      <c r="P73" s="498"/>
      <c r="Q73" s="480" t="s">
        <v>714</v>
      </c>
      <c r="R73" s="479">
        <v>46096</v>
      </c>
      <c r="S73" s="479">
        <v>46084</v>
      </c>
      <c r="T73" s="480" t="s">
        <v>41</v>
      </c>
      <c r="U73" s="458"/>
      <c r="V73" s="460"/>
      <c r="W73" s="458"/>
    </row>
    <row r="74" spans="1:23" ht="14.45" hidden="1" customHeight="1" x14ac:dyDescent="0.25">
      <c r="A74" s="458">
        <v>66</v>
      </c>
      <c r="B74" s="477">
        <v>46066</v>
      </c>
      <c r="C74" s="478" t="s">
        <v>521</v>
      </c>
      <c r="D74" s="478" t="s">
        <v>728</v>
      </c>
      <c r="E74" s="478" t="s">
        <v>653</v>
      </c>
      <c r="F74" s="496" t="s">
        <v>796</v>
      </c>
      <c r="G74" s="497"/>
      <c r="H74" s="497"/>
      <c r="I74" s="498"/>
      <c r="J74" s="496" t="s">
        <v>790</v>
      </c>
      <c r="K74" s="497"/>
      <c r="L74" s="498"/>
      <c r="M74" s="496" t="s">
        <v>797</v>
      </c>
      <c r="N74" s="497"/>
      <c r="O74" s="497"/>
      <c r="P74" s="498"/>
      <c r="Q74" s="478" t="s">
        <v>657</v>
      </c>
      <c r="R74" s="477">
        <v>46096</v>
      </c>
      <c r="S74" s="477">
        <v>46080</v>
      </c>
      <c r="T74" s="478" t="s">
        <v>41</v>
      </c>
      <c r="U74" s="458"/>
      <c r="V74" s="460"/>
      <c r="W74" s="458"/>
    </row>
    <row r="75" spans="1:23" ht="14.45" hidden="1" customHeight="1" x14ac:dyDescent="0.25">
      <c r="A75" s="458">
        <v>67</v>
      </c>
      <c r="B75" s="479">
        <v>46066</v>
      </c>
      <c r="C75" s="480" t="s">
        <v>371</v>
      </c>
      <c r="D75" s="480" t="s">
        <v>737</v>
      </c>
      <c r="E75" s="480" t="s">
        <v>645</v>
      </c>
      <c r="F75" s="496" t="s">
        <v>798</v>
      </c>
      <c r="G75" s="497"/>
      <c r="H75" s="497"/>
      <c r="I75" s="498"/>
      <c r="J75" s="496" t="s">
        <v>799</v>
      </c>
      <c r="K75" s="497"/>
      <c r="L75" s="498"/>
      <c r="M75" s="496" t="s">
        <v>800</v>
      </c>
      <c r="N75" s="497"/>
      <c r="O75" s="497"/>
      <c r="P75" s="498"/>
      <c r="Q75" s="480" t="s">
        <v>649</v>
      </c>
      <c r="R75" s="479">
        <v>46096</v>
      </c>
      <c r="S75" s="479">
        <v>46085</v>
      </c>
      <c r="T75" s="480" t="s">
        <v>41</v>
      </c>
      <c r="U75" s="458"/>
      <c r="V75" s="460"/>
      <c r="W75" s="458"/>
    </row>
    <row r="76" spans="1:23" ht="14.45" hidden="1" customHeight="1" x14ac:dyDescent="0.25">
      <c r="A76" s="458">
        <v>68</v>
      </c>
      <c r="B76" s="477">
        <v>46066</v>
      </c>
      <c r="C76" s="478" t="s">
        <v>485</v>
      </c>
      <c r="D76" s="478" t="s">
        <v>664</v>
      </c>
      <c r="E76" s="478" t="s">
        <v>645</v>
      </c>
      <c r="F76" s="496" t="s">
        <v>801</v>
      </c>
      <c r="G76" s="497"/>
      <c r="H76" s="497"/>
      <c r="I76" s="498"/>
      <c r="J76" s="496" t="s">
        <v>802</v>
      </c>
      <c r="K76" s="497"/>
      <c r="L76" s="498"/>
      <c r="M76" s="496" t="s">
        <v>803</v>
      </c>
      <c r="N76" s="497"/>
      <c r="O76" s="497"/>
      <c r="P76" s="498"/>
      <c r="Q76" s="478" t="s">
        <v>649</v>
      </c>
      <c r="R76" s="477">
        <v>46096</v>
      </c>
      <c r="S76" s="477">
        <v>46109</v>
      </c>
      <c r="T76" s="478" t="s">
        <v>41</v>
      </c>
      <c r="U76" s="458"/>
      <c r="V76" s="460"/>
      <c r="W76" s="458"/>
    </row>
    <row r="77" spans="1:23" ht="14.45" hidden="1" customHeight="1" x14ac:dyDescent="0.25">
      <c r="A77" s="458">
        <v>69</v>
      </c>
      <c r="B77" s="479">
        <v>46091</v>
      </c>
      <c r="C77" s="480" t="s">
        <v>576</v>
      </c>
      <c r="D77" s="480" t="s">
        <v>697</v>
      </c>
      <c r="E77" s="480" t="s">
        <v>645</v>
      </c>
      <c r="F77" s="496" t="s">
        <v>804</v>
      </c>
      <c r="G77" s="497"/>
      <c r="H77" s="497"/>
      <c r="I77" s="498"/>
      <c r="J77" s="496" t="s">
        <v>720</v>
      </c>
      <c r="K77" s="497"/>
      <c r="L77" s="498"/>
      <c r="M77" s="496" t="s">
        <v>805</v>
      </c>
      <c r="N77" s="497"/>
      <c r="O77" s="497"/>
      <c r="P77" s="498"/>
      <c r="Q77" s="480" t="s">
        <v>649</v>
      </c>
      <c r="R77" s="479">
        <v>46121</v>
      </c>
      <c r="S77" s="479">
        <v>46105</v>
      </c>
      <c r="T77" s="480" t="s">
        <v>41</v>
      </c>
      <c r="U77" s="458"/>
      <c r="V77" s="460"/>
      <c r="W77" s="458"/>
    </row>
    <row r="78" spans="1:23" ht="14.45" hidden="1" customHeight="1" x14ac:dyDescent="0.25">
      <c r="A78" s="458">
        <v>70</v>
      </c>
      <c r="B78" s="477">
        <v>46091</v>
      </c>
      <c r="C78" s="478" t="s">
        <v>576</v>
      </c>
      <c r="D78" s="478" t="s">
        <v>697</v>
      </c>
      <c r="E78" s="478" t="s">
        <v>645</v>
      </c>
      <c r="F78" s="496" t="s">
        <v>806</v>
      </c>
      <c r="G78" s="497"/>
      <c r="H78" s="497"/>
      <c r="I78" s="498"/>
      <c r="J78" s="496" t="s">
        <v>712</v>
      </c>
      <c r="K78" s="497"/>
      <c r="L78" s="498"/>
      <c r="M78" s="496" t="s">
        <v>807</v>
      </c>
      <c r="N78" s="497"/>
      <c r="O78" s="497"/>
      <c r="P78" s="498"/>
      <c r="Q78" s="478" t="s">
        <v>649</v>
      </c>
      <c r="R78" s="477">
        <v>46121</v>
      </c>
      <c r="S78" s="477">
        <v>46108</v>
      </c>
      <c r="T78" s="478" t="s">
        <v>41</v>
      </c>
      <c r="U78" s="458"/>
      <c r="V78" s="460"/>
      <c r="W78" s="458"/>
    </row>
    <row r="79" spans="1:23" ht="14.45" hidden="1" customHeight="1" x14ac:dyDescent="0.25">
      <c r="A79" s="458">
        <v>71</v>
      </c>
      <c r="B79" s="479">
        <v>46091</v>
      </c>
      <c r="C79" s="480" t="s">
        <v>580</v>
      </c>
      <c r="D79" s="480" t="s">
        <v>697</v>
      </c>
      <c r="E79" s="480" t="s">
        <v>645</v>
      </c>
      <c r="F79" s="496" t="s">
        <v>584</v>
      </c>
      <c r="G79" s="497"/>
      <c r="H79" s="497"/>
      <c r="I79" s="498"/>
      <c r="J79" s="496" t="s">
        <v>723</v>
      </c>
      <c r="K79" s="497"/>
      <c r="L79" s="498"/>
      <c r="M79" s="496" t="s">
        <v>808</v>
      </c>
      <c r="N79" s="497"/>
      <c r="O79" s="497"/>
      <c r="P79" s="498"/>
      <c r="Q79" s="480" t="s">
        <v>649</v>
      </c>
      <c r="R79" s="479">
        <v>46121</v>
      </c>
      <c r="S79" s="479">
        <v>46122</v>
      </c>
      <c r="T79" s="480" t="s">
        <v>41</v>
      </c>
      <c r="U79" s="458"/>
      <c r="V79" s="460"/>
      <c r="W79" s="458"/>
    </row>
    <row r="80" spans="1:23" ht="14.45" hidden="1" customHeight="1" x14ac:dyDescent="0.25">
      <c r="A80" s="458">
        <v>72</v>
      </c>
      <c r="B80" s="477">
        <v>46091</v>
      </c>
      <c r="C80" s="478" t="s">
        <v>592</v>
      </c>
      <c r="D80" s="478" t="s">
        <v>697</v>
      </c>
      <c r="E80" s="478" t="s">
        <v>653</v>
      </c>
      <c r="F80" s="496" t="s">
        <v>809</v>
      </c>
      <c r="G80" s="497"/>
      <c r="H80" s="497"/>
      <c r="I80" s="498"/>
      <c r="J80" s="496" t="s">
        <v>712</v>
      </c>
      <c r="K80" s="497"/>
      <c r="L80" s="498"/>
      <c r="M80" s="496" t="s">
        <v>810</v>
      </c>
      <c r="N80" s="497"/>
      <c r="O80" s="497"/>
      <c r="P80" s="498"/>
      <c r="Q80" s="478" t="s">
        <v>657</v>
      </c>
      <c r="R80" s="477">
        <v>46121</v>
      </c>
      <c r="S80" s="477">
        <v>46111</v>
      </c>
      <c r="T80" s="478" t="s">
        <v>41</v>
      </c>
      <c r="U80" s="458"/>
      <c r="V80" s="460"/>
      <c r="W80" s="458"/>
    </row>
    <row r="81" spans="1:23" ht="14.45" hidden="1" customHeight="1" x14ac:dyDescent="0.25">
      <c r="A81" s="458">
        <v>73</v>
      </c>
      <c r="B81" s="479">
        <v>46091</v>
      </c>
      <c r="C81" s="480" t="s">
        <v>592</v>
      </c>
      <c r="D81" s="480" t="s">
        <v>697</v>
      </c>
      <c r="E81" s="480" t="s">
        <v>653</v>
      </c>
      <c r="F81" s="496" t="s">
        <v>811</v>
      </c>
      <c r="G81" s="497"/>
      <c r="H81" s="497"/>
      <c r="I81" s="498"/>
      <c r="J81" s="496" t="s">
        <v>712</v>
      </c>
      <c r="K81" s="497"/>
      <c r="L81" s="498"/>
      <c r="M81" s="496" t="s">
        <v>812</v>
      </c>
      <c r="N81" s="497"/>
      <c r="O81" s="497"/>
      <c r="P81" s="498"/>
      <c r="Q81" s="480" t="s">
        <v>657</v>
      </c>
      <c r="R81" s="479">
        <v>46121</v>
      </c>
      <c r="S81" s="479">
        <v>46111</v>
      </c>
      <c r="T81" s="480" t="s">
        <v>41</v>
      </c>
      <c r="U81" s="458"/>
      <c r="V81" s="460"/>
      <c r="W81" s="458"/>
    </row>
    <row r="82" spans="1:23" ht="14.45" hidden="1" customHeight="1" x14ac:dyDescent="0.25">
      <c r="A82" s="458">
        <v>74</v>
      </c>
      <c r="B82" s="477">
        <v>46091</v>
      </c>
      <c r="C82" s="478" t="s">
        <v>605</v>
      </c>
      <c r="D82" s="478" t="s">
        <v>697</v>
      </c>
      <c r="E82" s="478" t="s">
        <v>653</v>
      </c>
      <c r="F82" s="496" t="s">
        <v>813</v>
      </c>
      <c r="G82" s="497"/>
      <c r="H82" s="497"/>
      <c r="I82" s="498"/>
      <c r="J82" s="496" t="s">
        <v>814</v>
      </c>
      <c r="K82" s="497"/>
      <c r="L82" s="498"/>
      <c r="M82" s="496" t="s">
        <v>815</v>
      </c>
      <c r="N82" s="497"/>
      <c r="O82" s="497"/>
      <c r="P82" s="498"/>
      <c r="Q82" s="478" t="s">
        <v>657</v>
      </c>
      <c r="R82" s="477">
        <v>46121</v>
      </c>
      <c r="S82" s="477">
        <v>46111</v>
      </c>
      <c r="T82" s="478" t="s">
        <v>41</v>
      </c>
      <c r="U82" s="458"/>
      <c r="V82" s="460"/>
      <c r="W82" s="458"/>
    </row>
    <row r="83" spans="1:23" ht="14.45" hidden="1" customHeight="1" x14ac:dyDescent="0.25">
      <c r="A83" s="458">
        <v>75</v>
      </c>
      <c r="B83" s="479">
        <v>46091</v>
      </c>
      <c r="C83" s="480" t="s">
        <v>241</v>
      </c>
      <c r="D83" s="480" t="s">
        <v>644</v>
      </c>
      <c r="E83" s="480" t="s">
        <v>653</v>
      </c>
      <c r="F83" s="496" t="s">
        <v>816</v>
      </c>
      <c r="G83" s="497"/>
      <c r="H83" s="497"/>
      <c r="I83" s="498"/>
      <c r="J83" s="496" t="s">
        <v>712</v>
      </c>
      <c r="K83" s="497"/>
      <c r="L83" s="498"/>
      <c r="M83" s="496" t="s">
        <v>817</v>
      </c>
      <c r="N83" s="497"/>
      <c r="O83" s="497"/>
      <c r="P83" s="498"/>
      <c r="Q83" s="480" t="s">
        <v>657</v>
      </c>
      <c r="R83" s="479">
        <v>46121</v>
      </c>
      <c r="S83" s="479">
        <v>46111</v>
      </c>
      <c r="T83" s="480" t="s">
        <v>41</v>
      </c>
      <c r="U83" s="458"/>
      <c r="V83" s="460"/>
      <c r="W83" s="458"/>
    </row>
    <row r="84" spans="1:23" ht="14.45" hidden="1" customHeight="1" x14ac:dyDescent="0.25">
      <c r="A84" s="458">
        <v>76</v>
      </c>
      <c r="B84" s="477">
        <v>46091</v>
      </c>
      <c r="C84" s="478" t="s">
        <v>226</v>
      </c>
      <c r="D84" s="478" t="s">
        <v>644</v>
      </c>
      <c r="E84" s="478" t="s">
        <v>653</v>
      </c>
      <c r="F84" s="496" t="s">
        <v>818</v>
      </c>
      <c r="G84" s="497"/>
      <c r="H84" s="497"/>
      <c r="I84" s="498"/>
      <c r="J84" s="496" t="s">
        <v>733</v>
      </c>
      <c r="K84" s="497"/>
      <c r="L84" s="498"/>
      <c r="M84" s="496" t="s">
        <v>734</v>
      </c>
      <c r="N84" s="497"/>
      <c r="O84" s="497"/>
      <c r="P84" s="498"/>
      <c r="Q84" s="478" t="s">
        <v>657</v>
      </c>
      <c r="R84" s="477">
        <v>46121</v>
      </c>
      <c r="S84" s="477">
        <v>46120</v>
      </c>
      <c r="T84" s="478" t="s">
        <v>41</v>
      </c>
      <c r="U84" s="458"/>
      <c r="V84" s="460"/>
      <c r="W84" s="458"/>
    </row>
    <row r="85" spans="1:23" ht="14.45" hidden="1" customHeight="1" x14ac:dyDescent="0.25">
      <c r="A85" s="458">
        <v>77</v>
      </c>
      <c r="B85" s="479">
        <v>46091</v>
      </c>
      <c r="C85" s="480" t="s">
        <v>190</v>
      </c>
      <c r="D85" s="480" t="s">
        <v>644</v>
      </c>
      <c r="E85" s="480" t="s">
        <v>653</v>
      </c>
      <c r="F85" s="496" t="s">
        <v>819</v>
      </c>
      <c r="G85" s="497"/>
      <c r="H85" s="497"/>
      <c r="I85" s="498"/>
      <c r="J85" s="496" t="s">
        <v>820</v>
      </c>
      <c r="K85" s="497"/>
      <c r="L85" s="498"/>
      <c r="M85" s="496" t="s">
        <v>734</v>
      </c>
      <c r="N85" s="497"/>
      <c r="O85" s="497"/>
      <c r="P85" s="498"/>
      <c r="Q85" s="480" t="s">
        <v>657</v>
      </c>
      <c r="R85" s="479">
        <v>46121</v>
      </c>
      <c r="S85" s="479">
        <v>46112</v>
      </c>
      <c r="T85" s="480" t="s">
        <v>41</v>
      </c>
      <c r="U85" s="458"/>
      <c r="V85" s="460"/>
      <c r="W85" s="458"/>
    </row>
    <row r="86" spans="1:23" ht="14.45" hidden="1" customHeight="1" x14ac:dyDescent="0.25">
      <c r="A86" s="458">
        <v>78</v>
      </c>
      <c r="B86" s="477">
        <v>46091</v>
      </c>
      <c r="C86" s="478" t="s">
        <v>165</v>
      </c>
      <c r="D86" s="478" t="s">
        <v>644</v>
      </c>
      <c r="E86" s="478" t="s">
        <v>653</v>
      </c>
      <c r="F86" s="496" t="s">
        <v>821</v>
      </c>
      <c r="G86" s="497"/>
      <c r="H86" s="497"/>
      <c r="I86" s="498"/>
      <c r="J86" s="496" t="s">
        <v>720</v>
      </c>
      <c r="K86" s="497"/>
      <c r="L86" s="498"/>
      <c r="M86" s="496" t="s">
        <v>648</v>
      </c>
      <c r="N86" s="497"/>
      <c r="O86" s="497"/>
      <c r="P86" s="498"/>
      <c r="Q86" s="478" t="s">
        <v>649</v>
      </c>
      <c r="R86" s="477">
        <v>46121</v>
      </c>
      <c r="S86" s="477">
        <v>46121</v>
      </c>
      <c r="T86" s="478" t="s">
        <v>41</v>
      </c>
      <c r="U86" s="458"/>
      <c r="V86" s="460"/>
      <c r="W86" s="458"/>
    </row>
    <row r="87" spans="1:23" ht="14.45" hidden="1" customHeight="1" x14ac:dyDescent="0.25">
      <c r="A87" s="458">
        <v>79</v>
      </c>
      <c r="B87" s="479">
        <v>46091</v>
      </c>
      <c r="C87" s="480" t="s">
        <v>165</v>
      </c>
      <c r="D87" s="480" t="s">
        <v>644</v>
      </c>
      <c r="E87" s="480" t="s">
        <v>653</v>
      </c>
      <c r="F87" s="496" t="s">
        <v>822</v>
      </c>
      <c r="G87" s="497"/>
      <c r="H87" s="497"/>
      <c r="I87" s="498"/>
      <c r="J87" s="496" t="s">
        <v>733</v>
      </c>
      <c r="K87" s="497"/>
      <c r="L87" s="498"/>
      <c r="M87" s="496" t="s">
        <v>734</v>
      </c>
      <c r="N87" s="497"/>
      <c r="O87" s="497"/>
      <c r="P87" s="498"/>
      <c r="Q87" s="480" t="s">
        <v>657</v>
      </c>
      <c r="R87" s="479">
        <v>46121</v>
      </c>
      <c r="S87" s="479">
        <v>46120</v>
      </c>
      <c r="T87" s="480" t="s">
        <v>41</v>
      </c>
      <c r="U87" s="458"/>
      <c r="V87" s="460"/>
      <c r="W87" s="458"/>
    </row>
    <row r="88" spans="1:23" ht="14.45" hidden="1" customHeight="1" x14ac:dyDescent="0.25">
      <c r="A88" s="458">
        <v>80</v>
      </c>
      <c r="B88" s="477">
        <v>46091</v>
      </c>
      <c r="C88" s="478" t="s">
        <v>226</v>
      </c>
      <c r="D88" s="478" t="s">
        <v>644</v>
      </c>
      <c r="E88" s="478" t="s">
        <v>653</v>
      </c>
      <c r="F88" s="496" t="s">
        <v>823</v>
      </c>
      <c r="G88" s="497"/>
      <c r="H88" s="497"/>
      <c r="I88" s="498"/>
      <c r="J88" s="496" t="s">
        <v>824</v>
      </c>
      <c r="K88" s="497"/>
      <c r="L88" s="498"/>
      <c r="M88" s="496" t="s">
        <v>817</v>
      </c>
      <c r="N88" s="497"/>
      <c r="O88" s="497"/>
      <c r="P88" s="498"/>
      <c r="Q88" s="478" t="s">
        <v>657</v>
      </c>
      <c r="R88" s="477">
        <v>46121</v>
      </c>
      <c r="S88" s="477">
        <v>46112</v>
      </c>
      <c r="T88" s="478" t="s">
        <v>41</v>
      </c>
      <c r="U88" s="458"/>
      <c r="V88" s="460"/>
      <c r="W88" s="458"/>
    </row>
    <row r="89" spans="1:23" ht="14.45" hidden="1" customHeight="1" x14ac:dyDescent="0.25">
      <c r="A89" s="458">
        <v>81</v>
      </c>
      <c r="B89" s="479">
        <v>46091</v>
      </c>
      <c r="C89" s="480" t="s">
        <v>251</v>
      </c>
      <c r="D89" s="480" t="s">
        <v>644</v>
      </c>
      <c r="E89" s="480" t="s">
        <v>653</v>
      </c>
      <c r="F89" s="496" t="s">
        <v>825</v>
      </c>
      <c r="G89" s="497"/>
      <c r="H89" s="497"/>
      <c r="I89" s="498"/>
      <c r="J89" s="496" t="s">
        <v>712</v>
      </c>
      <c r="K89" s="497"/>
      <c r="L89" s="498"/>
      <c r="M89" s="496" t="s">
        <v>826</v>
      </c>
      <c r="N89" s="497"/>
      <c r="O89" s="497"/>
      <c r="P89" s="498"/>
      <c r="Q89" s="480" t="s">
        <v>657</v>
      </c>
      <c r="R89" s="479">
        <v>46121</v>
      </c>
      <c r="S89" s="479">
        <v>46120</v>
      </c>
      <c r="T89" s="480" t="s">
        <v>41</v>
      </c>
      <c r="U89" s="458"/>
      <c r="V89" s="460"/>
      <c r="W89" s="458"/>
    </row>
    <row r="90" spans="1:23" ht="14.45" hidden="1" customHeight="1" x14ac:dyDescent="0.25">
      <c r="A90" s="458">
        <v>82</v>
      </c>
      <c r="B90" s="477">
        <v>46091</v>
      </c>
      <c r="C90" s="478" t="s">
        <v>165</v>
      </c>
      <c r="D90" s="478" t="s">
        <v>644</v>
      </c>
      <c r="E90" s="478" t="s">
        <v>645</v>
      </c>
      <c r="F90" s="496" t="s">
        <v>827</v>
      </c>
      <c r="G90" s="497"/>
      <c r="H90" s="497"/>
      <c r="I90" s="498"/>
      <c r="J90" s="496" t="s">
        <v>828</v>
      </c>
      <c r="K90" s="497"/>
      <c r="L90" s="498"/>
      <c r="M90" s="496" t="s">
        <v>829</v>
      </c>
      <c r="N90" s="497"/>
      <c r="O90" s="497"/>
      <c r="P90" s="498"/>
      <c r="Q90" s="478" t="s">
        <v>649</v>
      </c>
      <c r="R90" s="477">
        <v>46121</v>
      </c>
      <c r="S90" s="477">
        <v>46121</v>
      </c>
      <c r="T90" s="478" t="s">
        <v>41</v>
      </c>
      <c r="U90" s="458"/>
      <c r="V90" s="460"/>
      <c r="W90" s="458"/>
    </row>
    <row r="91" spans="1:23" ht="14.45" hidden="1" customHeight="1" x14ac:dyDescent="0.25">
      <c r="A91" s="458">
        <v>83</v>
      </c>
      <c r="B91" s="479">
        <v>46091</v>
      </c>
      <c r="C91" s="480" t="s">
        <v>244</v>
      </c>
      <c r="D91" s="480" t="s">
        <v>644</v>
      </c>
      <c r="E91" s="480" t="s">
        <v>830</v>
      </c>
      <c r="F91" s="496" t="s">
        <v>831</v>
      </c>
      <c r="G91" s="497"/>
      <c r="H91" s="497"/>
      <c r="I91" s="498"/>
      <c r="J91" s="496" t="s">
        <v>832</v>
      </c>
      <c r="K91" s="497"/>
      <c r="L91" s="498"/>
      <c r="M91" s="496" t="s">
        <v>833</v>
      </c>
      <c r="N91" s="497"/>
      <c r="O91" s="497"/>
      <c r="P91" s="498"/>
      <c r="Q91" s="480" t="s">
        <v>834</v>
      </c>
      <c r="R91" s="479">
        <v>46121</v>
      </c>
      <c r="S91" s="479">
        <v>46101</v>
      </c>
      <c r="T91" s="480" t="s">
        <v>41</v>
      </c>
      <c r="U91" s="458"/>
      <c r="V91" s="460"/>
      <c r="W91" s="458"/>
    </row>
    <row r="92" spans="1:23" ht="14.45" hidden="1" customHeight="1" x14ac:dyDescent="0.25">
      <c r="A92" s="458">
        <v>84</v>
      </c>
      <c r="B92" s="477">
        <v>46091</v>
      </c>
      <c r="C92" s="478" t="s">
        <v>314</v>
      </c>
      <c r="D92" s="478" t="s">
        <v>706</v>
      </c>
      <c r="E92" s="478" t="s">
        <v>653</v>
      </c>
      <c r="F92" s="496" t="s">
        <v>835</v>
      </c>
      <c r="G92" s="497"/>
      <c r="H92" s="497"/>
      <c r="I92" s="498"/>
      <c r="J92" s="496" t="s">
        <v>712</v>
      </c>
      <c r="K92" s="497"/>
      <c r="L92" s="498"/>
      <c r="M92" s="496" t="s">
        <v>817</v>
      </c>
      <c r="N92" s="497"/>
      <c r="O92" s="497"/>
      <c r="P92" s="498"/>
      <c r="Q92" s="478" t="s">
        <v>714</v>
      </c>
      <c r="R92" s="477">
        <v>46121</v>
      </c>
      <c r="S92" s="477">
        <v>46128</v>
      </c>
      <c r="T92" s="478" t="s">
        <v>41</v>
      </c>
      <c r="U92" s="458"/>
      <c r="V92" s="460"/>
      <c r="W92" s="458"/>
    </row>
    <row r="93" spans="1:23" ht="14.45" hidden="1" customHeight="1" x14ac:dyDescent="0.25">
      <c r="A93" s="458">
        <v>85</v>
      </c>
      <c r="B93" s="479">
        <v>46091</v>
      </c>
      <c r="C93" s="480" t="s">
        <v>314</v>
      </c>
      <c r="D93" s="480" t="s">
        <v>706</v>
      </c>
      <c r="E93" s="480" t="s">
        <v>710</v>
      </c>
      <c r="F93" s="496" t="s">
        <v>836</v>
      </c>
      <c r="G93" s="497"/>
      <c r="H93" s="497"/>
      <c r="I93" s="498"/>
      <c r="J93" s="496" t="s">
        <v>712</v>
      </c>
      <c r="K93" s="497"/>
      <c r="L93" s="498"/>
      <c r="M93" s="496" t="s">
        <v>817</v>
      </c>
      <c r="N93" s="497"/>
      <c r="O93" s="497"/>
      <c r="P93" s="498"/>
      <c r="Q93" s="480" t="s">
        <v>714</v>
      </c>
      <c r="R93" s="479">
        <v>46121</v>
      </c>
      <c r="S93" s="479">
        <v>46128</v>
      </c>
      <c r="T93" s="480" t="s">
        <v>41</v>
      </c>
      <c r="U93" s="458"/>
      <c r="V93" s="460"/>
      <c r="W93" s="458"/>
    </row>
    <row r="94" spans="1:23" ht="14.45" hidden="1" customHeight="1" x14ac:dyDescent="0.25">
      <c r="A94" s="458">
        <v>86</v>
      </c>
      <c r="B94" s="477">
        <v>46091</v>
      </c>
      <c r="C94" s="478" t="s">
        <v>345</v>
      </c>
      <c r="D94" s="478" t="s">
        <v>706</v>
      </c>
      <c r="E94" s="478" t="s">
        <v>710</v>
      </c>
      <c r="F94" s="496" t="s">
        <v>837</v>
      </c>
      <c r="G94" s="497"/>
      <c r="H94" s="497"/>
      <c r="I94" s="498"/>
      <c r="J94" s="496" t="s">
        <v>814</v>
      </c>
      <c r="K94" s="497"/>
      <c r="L94" s="498"/>
      <c r="M94" s="496" t="s">
        <v>734</v>
      </c>
      <c r="N94" s="497"/>
      <c r="O94" s="497"/>
      <c r="P94" s="498"/>
      <c r="Q94" s="478" t="s">
        <v>714</v>
      </c>
      <c r="R94" s="477">
        <v>46121</v>
      </c>
      <c r="S94" s="477">
        <v>46133</v>
      </c>
      <c r="T94" s="478" t="s">
        <v>41</v>
      </c>
      <c r="U94" s="458"/>
      <c r="V94" s="460"/>
      <c r="W94" s="458"/>
    </row>
    <row r="95" spans="1:23" ht="14.45" hidden="1" customHeight="1" x14ac:dyDescent="0.25">
      <c r="A95" s="458">
        <v>87</v>
      </c>
      <c r="B95" s="479">
        <v>46091</v>
      </c>
      <c r="C95" s="480" t="s">
        <v>296</v>
      </c>
      <c r="D95" s="480" t="s">
        <v>706</v>
      </c>
      <c r="E95" s="480" t="s">
        <v>645</v>
      </c>
      <c r="F95" s="496" t="s">
        <v>838</v>
      </c>
      <c r="G95" s="497"/>
      <c r="H95" s="497"/>
      <c r="I95" s="498"/>
      <c r="J95" s="496" t="s">
        <v>839</v>
      </c>
      <c r="K95" s="497"/>
      <c r="L95" s="498"/>
      <c r="M95" s="496" t="s">
        <v>724</v>
      </c>
      <c r="N95" s="497"/>
      <c r="O95" s="497"/>
      <c r="P95" s="498"/>
      <c r="Q95" s="480" t="s">
        <v>649</v>
      </c>
      <c r="R95" s="479">
        <v>46121</v>
      </c>
      <c r="S95" s="479">
        <v>46121</v>
      </c>
      <c r="T95" s="480" t="s">
        <v>41</v>
      </c>
      <c r="U95" s="458"/>
      <c r="V95" s="460"/>
      <c r="W95" s="458"/>
    </row>
    <row r="96" spans="1:23" ht="14.45" hidden="1" customHeight="1" x14ac:dyDescent="0.25">
      <c r="A96" s="458">
        <v>88</v>
      </c>
      <c r="B96" s="477">
        <v>46091</v>
      </c>
      <c r="C96" s="478" t="s">
        <v>314</v>
      </c>
      <c r="D96" s="478" t="s">
        <v>706</v>
      </c>
      <c r="E96" s="478" t="s">
        <v>710</v>
      </c>
      <c r="F96" s="496" t="s">
        <v>840</v>
      </c>
      <c r="G96" s="497"/>
      <c r="H96" s="497"/>
      <c r="I96" s="498"/>
      <c r="J96" s="496" t="s">
        <v>712</v>
      </c>
      <c r="K96" s="497"/>
      <c r="L96" s="498"/>
      <c r="M96" s="496" t="s">
        <v>841</v>
      </c>
      <c r="N96" s="497"/>
      <c r="O96" s="497"/>
      <c r="P96" s="498"/>
      <c r="Q96" s="478" t="s">
        <v>714</v>
      </c>
      <c r="R96" s="477">
        <v>46121</v>
      </c>
      <c r="S96" s="477">
        <v>46128</v>
      </c>
      <c r="T96" s="478" t="s">
        <v>41</v>
      </c>
      <c r="U96" s="458"/>
      <c r="V96" s="460"/>
      <c r="W96" s="458"/>
    </row>
    <row r="97" spans="1:23" ht="14.45" hidden="1" customHeight="1" x14ac:dyDescent="0.25">
      <c r="A97" s="458">
        <v>89</v>
      </c>
      <c r="B97" s="479">
        <v>46091</v>
      </c>
      <c r="C97" s="480" t="s">
        <v>284</v>
      </c>
      <c r="D97" s="480" t="s">
        <v>706</v>
      </c>
      <c r="E97" s="480" t="s">
        <v>645</v>
      </c>
      <c r="F97" s="496" t="s">
        <v>842</v>
      </c>
      <c r="G97" s="497"/>
      <c r="H97" s="497"/>
      <c r="I97" s="498"/>
      <c r="J97" s="496" t="s">
        <v>843</v>
      </c>
      <c r="K97" s="497"/>
      <c r="L97" s="498"/>
      <c r="M97" s="496" t="s">
        <v>844</v>
      </c>
      <c r="N97" s="497"/>
      <c r="O97" s="497"/>
      <c r="P97" s="498"/>
      <c r="Q97" s="480" t="s">
        <v>649</v>
      </c>
      <c r="R97" s="479">
        <v>46121</v>
      </c>
      <c r="S97" s="479">
        <v>46108</v>
      </c>
      <c r="T97" s="480" t="s">
        <v>41</v>
      </c>
      <c r="U97" s="458"/>
      <c r="V97" s="460"/>
      <c r="W97" s="458"/>
    </row>
    <row r="98" spans="1:23" ht="14.45" hidden="1" customHeight="1" x14ac:dyDescent="0.25">
      <c r="A98" s="458">
        <v>90</v>
      </c>
      <c r="B98" s="477">
        <v>46091</v>
      </c>
      <c r="C98" s="478" t="s">
        <v>332</v>
      </c>
      <c r="D98" s="478" t="s">
        <v>706</v>
      </c>
      <c r="E98" s="478" t="s">
        <v>710</v>
      </c>
      <c r="F98" s="496" t="s">
        <v>845</v>
      </c>
      <c r="G98" s="497"/>
      <c r="H98" s="497"/>
      <c r="I98" s="498"/>
      <c r="J98" s="496" t="s">
        <v>733</v>
      </c>
      <c r="K98" s="497"/>
      <c r="L98" s="498"/>
      <c r="M98" s="496" t="s">
        <v>734</v>
      </c>
      <c r="N98" s="497"/>
      <c r="O98" s="497"/>
      <c r="P98" s="498"/>
      <c r="Q98" s="478" t="s">
        <v>714</v>
      </c>
      <c r="R98" s="477">
        <v>46121</v>
      </c>
      <c r="S98" s="477">
        <v>46133</v>
      </c>
      <c r="T98" s="478" t="s">
        <v>41</v>
      </c>
      <c r="U98" s="458"/>
      <c r="V98" s="460"/>
      <c r="W98" s="458"/>
    </row>
    <row r="99" spans="1:23" ht="14.45" hidden="1" customHeight="1" x14ac:dyDescent="0.25">
      <c r="A99" s="458">
        <v>91</v>
      </c>
      <c r="B99" s="479">
        <v>46091</v>
      </c>
      <c r="C99" s="480" t="s">
        <v>332</v>
      </c>
      <c r="D99" s="480" t="s">
        <v>706</v>
      </c>
      <c r="E99" s="480" t="s">
        <v>710</v>
      </c>
      <c r="F99" s="496" t="s">
        <v>846</v>
      </c>
      <c r="G99" s="497"/>
      <c r="H99" s="497"/>
      <c r="I99" s="498"/>
      <c r="J99" s="496" t="s">
        <v>733</v>
      </c>
      <c r="K99" s="497"/>
      <c r="L99" s="498"/>
      <c r="M99" s="496" t="s">
        <v>734</v>
      </c>
      <c r="N99" s="497"/>
      <c r="O99" s="497"/>
      <c r="P99" s="498"/>
      <c r="Q99" s="480" t="s">
        <v>714</v>
      </c>
      <c r="R99" s="479">
        <v>46121</v>
      </c>
      <c r="S99" s="479">
        <v>46140</v>
      </c>
      <c r="T99" s="480" t="s">
        <v>41</v>
      </c>
      <c r="U99" s="458"/>
      <c r="V99" s="460"/>
      <c r="W99" s="458"/>
    </row>
    <row r="100" spans="1:23" ht="14.45" hidden="1" customHeight="1" x14ac:dyDescent="0.25">
      <c r="A100" s="458">
        <v>92</v>
      </c>
      <c r="B100" s="477">
        <v>46091</v>
      </c>
      <c r="C100" s="478" t="s">
        <v>332</v>
      </c>
      <c r="D100" s="478" t="s">
        <v>706</v>
      </c>
      <c r="E100" s="478" t="s">
        <v>710</v>
      </c>
      <c r="F100" s="496" t="s">
        <v>847</v>
      </c>
      <c r="G100" s="497"/>
      <c r="H100" s="497"/>
      <c r="I100" s="498"/>
      <c r="J100" s="496" t="s">
        <v>848</v>
      </c>
      <c r="K100" s="497"/>
      <c r="L100" s="498"/>
      <c r="M100" s="496" t="s">
        <v>849</v>
      </c>
      <c r="N100" s="497"/>
      <c r="O100" s="497"/>
      <c r="P100" s="498"/>
      <c r="Q100" s="478" t="s">
        <v>714</v>
      </c>
      <c r="R100" s="477">
        <v>46121</v>
      </c>
      <c r="S100" s="477">
        <v>46128</v>
      </c>
      <c r="T100" s="478" t="s">
        <v>41</v>
      </c>
      <c r="U100" s="458"/>
      <c r="V100" s="460"/>
      <c r="W100" s="458"/>
    </row>
    <row r="101" spans="1:23" ht="14.45" hidden="1" customHeight="1" x14ac:dyDescent="0.25">
      <c r="A101" s="458">
        <v>93</v>
      </c>
      <c r="B101" s="479">
        <v>46091</v>
      </c>
      <c r="C101" s="480" t="s">
        <v>332</v>
      </c>
      <c r="D101" s="480" t="s">
        <v>706</v>
      </c>
      <c r="E101" s="480" t="s">
        <v>645</v>
      </c>
      <c r="F101" s="496" t="s">
        <v>850</v>
      </c>
      <c r="G101" s="497"/>
      <c r="H101" s="497"/>
      <c r="I101" s="498"/>
      <c r="J101" s="496" t="s">
        <v>851</v>
      </c>
      <c r="K101" s="497"/>
      <c r="L101" s="498"/>
      <c r="M101" s="496" t="s">
        <v>844</v>
      </c>
      <c r="N101" s="497"/>
      <c r="O101" s="497"/>
      <c r="P101" s="498"/>
      <c r="Q101" s="480" t="s">
        <v>649</v>
      </c>
      <c r="R101" s="479">
        <v>46121</v>
      </c>
      <c r="S101" s="479">
        <v>46111</v>
      </c>
      <c r="T101" s="480" t="s">
        <v>41</v>
      </c>
      <c r="U101" s="458"/>
      <c r="V101" s="460"/>
      <c r="W101" s="458"/>
    </row>
    <row r="102" spans="1:23" ht="14.45" hidden="1" customHeight="1" x14ac:dyDescent="0.25">
      <c r="A102" s="458">
        <v>94</v>
      </c>
      <c r="B102" s="477">
        <v>46091</v>
      </c>
      <c r="C102" s="478" t="s">
        <v>345</v>
      </c>
      <c r="D102" s="478" t="s">
        <v>706</v>
      </c>
      <c r="E102" s="478" t="s">
        <v>710</v>
      </c>
      <c r="F102" s="496" t="s">
        <v>852</v>
      </c>
      <c r="G102" s="497"/>
      <c r="H102" s="497"/>
      <c r="I102" s="498"/>
      <c r="J102" s="496" t="s">
        <v>708</v>
      </c>
      <c r="K102" s="497"/>
      <c r="L102" s="498"/>
      <c r="M102" s="496" t="s">
        <v>667</v>
      </c>
      <c r="N102" s="497"/>
      <c r="O102" s="497"/>
      <c r="P102" s="498"/>
      <c r="Q102" s="478" t="s">
        <v>649</v>
      </c>
      <c r="R102" s="477">
        <v>46121</v>
      </c>
      <c r="S102" s="477">
        <v>46121</v>
      </c>
      <c r="T102" s="478" t="s">
        <v>41</v>
      </c>
      <c r="U102" s="458"/>
      <c r="V102" s="460"/>
      <c r="W102" s="458"/>
    </row>
    <row r="103" spans="1:23" ht="14.45" hidden="1" customHeight="1" x14ac:dyDescent="0.25">
      <c r="A103" s="458">
        <v>95</v>
      </c>
      <c r="B103" s="479">
        <v>46091</v>
      </c>
      <c r="C103" s="480" t="s">
        <v>284</v>
      </c>
      <c r="D103" s="480" t="s">
        <v>706</v>
      </c>
      <c r="E103" s="480" t="s">
        <v>710</v>
      </c>
      <c r="F103" s="496" t="s">
        <v>853</v>
      </c>
      <c r="G103" s="497"/>
      <c r="H103" s="497"/>
      <c r="I103" s="498"/>
      <c r="J103" s="496" t="s">
        <v>854</v>
      </c>
      <c r="K103" s="497"/>
      <c r="L103" s="498"/>
      <c r="M103" s="496" t="s">
        <v>734</v>
      </c>
      <c r="N103" s="497"/>
      <c r="O103" s="497"/>
      <c r="P103" s="498"/>
      <c r="Q103" s="480" t="s">
        <v>714</v>
      </c>
      <c r="R103" s="479">
        <v>46121</v>
      </c>
      <c r="S103" s="479">
        <v>46128</v>
      </c>
      <c r="T103" s="480" t="s">
        <v>41</v>
      </c>
      <c r="U103" s="458"/>
      <c r="V103" s="460"/>
      <c r="W103" s="458"/>
    </row>
    <row r="104" spans="1:23" ht="14.45" hidden="1" customHeight="1" x14ac:dyDescent="0.25">
      <c r="A104" s="458">
        <v>96</v>
      </c>
      <c r="B104" s="477">
        <v>46091</v>
      </c>
      <c r="C104" s="478" t="s">
        <v>328</v>
      </c>
      <c r="D104" s="478" t="s">
        <v>706</v>
      </c>
      <c r="E104" s="478" t="s">
        <v>710</v>
      </c>
      <c r="F104" s="496" t="s">
        <v>855</v>
      </c>
      <c r="G104" s="497"/>
      <c r="H104" s="497"/>
      <c r="I104" s="498"/>
      <c r="J104" s="496" t="s">
        <v>712</v>
      </c>
      <c r="K104" s="497"/>
      <c r="L104" s="498"/>
      <c r="M104" s="496" t="s">
        <v>856</v>
      </c>
      <c r="N104" s="497"/>
      <c r="O104" s="497"/>
      <c r="P104" s="498"/>
      <c r="Q104" s="478" t="s">
        <v>714</v>
      </c>
      <c r="R104" s="477">
        <v>46121</v>
      </c>
      <c r="S104" s="477">
        <v>46128</v>
      </c>
      <c r="T104" s="478" t="s">
        <v>41</v>
      </c>
      <c r="U104" s="458"/>
      <c r="V104" s="460"/>
      <c r="W104" s="458"/>
    </row>
    <row r="105" spans="1:23" ht="14.45" hidden="1" customHeight="1" x14ac:dyDescent="0.25">
      <c r="A105" s="458">
        <v>97</v>
      </c>
      <c r="B105" s="479">
        <v>46091</v>
      </c>
      <c r="C105" s="480" t="s">
        <v>288</v>
      </c>
      <c r="D105" s="480" t="s">
        <v>706</v>
      </c>
      <c r="E105" s="480" t="s">
        <v>645</v>
      </c>
      <c r="F105" s="496" t="s">
        <v>857</v>
      </c>
      <c r="G105" s="497"/>
      <c r="H105" s="497"/>
      <c r="I105" s="498"/>
      <c r="J105" s="496" t="s">
        <v>858</v>
      </c>
      <c r="K105" s="497"/>
      <c r="L105" s="498"/>
      <c r="M105" s="496" t="s">
        <v>859</v>
      </c>
      <c r="N105" s="497"/>
      <c r="O105" s="497"/>
      <c r="P105" s="498"/>
      <c r="Q105" s="480" t="s">
        <v>649</v>
      </c>
      <c r="R105" s="479">
        <v>46121</v>
      </c>
      <c r="S105" s="479">
        <v>46107</v>
      </c>
      <c r="T105" s="480" t="s">
        <v>41</v>
      </c>
      <c r="U105" s="458"/>
      <c r="V105" s="460"/>
      <c r="W105" s="458"/>
    </row>
    <row r="106" spans="1:23" ht="14.45" hidden="1" customHeight="1" x14ac:dyDescent="0.25">
      <c r="A106" s="458">
        <v>98</v>
      </c>
      <c r="B106" s="477">
        <v>46091</v>
      </c>
      <c r="C106" s="478" t="s">
        <v>296</v>
      </c>
      <c r="D106" s="478" t="s">
        <v>706</v>
      </c>
      <c r="E106" s="478" t="s">
        <v>645</v>
      </c>
      <c r="F106" s="496" t="s">
        <v>860</v>
      </c>
      <c r="G106" s="497"/>
      <c r="H106" s="497"/>
      <c r="I106" s="498"/>
      <c r="J106" s="496" t="s">
        <v>720</v>
      </c>
      <c r="K106" s="497"/>
      <c r="L106" s="498"/>
      <c r="M106" s="496" t="s">
        <v>724</v>
      </c>
      <c r="N106" s="497"/>
      <c r="O106" s="497"/>
      <c r="P106" s="498"/>
      <c r="Q106" s="478" t="s">
        <v>649</v>
      </c>
      <c r="R106" s="477">
        <v>46121</v>
      </c>
      <c r="S106" s="477">
        <v>46121</v>
      </c>
      <c r="T106" s="478" t="s">
        <v>41</v>
      </c>
      <c r="U106" s="458"/>
      <c r="V106" s="460"/>
      <c r="W106" s="458"/>
    </row>
    <row r="107" spans="1:23" ht="14.45" hidden="1" customHeight="1" x14ac:dyDescent="0.25">
      <c r="A107" s="458">
        <v>99</v>
      </c>
      <c r="B107" s="479">
        <v>46091</v>
      </c>
      <c r="C107" s="480" t="s">
        <v>328</v>
      </c>
      <c r="D107" s="480" t="s">
        <v>706</v>
      </c>
      <c r="E107" s="480" t="s">
        <v>645</v>
      </c>
      <c r="F107" s="496" t="s">
        <v>861</v>
      </c>
      <c r="G107" s="497"/>
      <c r="H107" s="497"/>
      <c r="I107" s="498"/>
      <c r="J107" s="496" t="s">
        <v>712</v>
      </c>
      <c r="K107" s="497"/>
      <c r="L107" s="498"/>
      <c r="M107" s="496" t="s">
        <v>817</v>
      </c>
      <c r="N107" s="497"/>
      <c r="O107" s="497"/>
      <c r="P107" s="498"/>
      <c r="Q107" s="480" t="s">
        <v>649</v>
      </c>
      <c r="R107" s="479">
        <v>46121</v>
      </c>
      <c r="S107" s="479">
        <v>46108</v>
      </c>
      <c r="T107" s="480" t="s">
        <v>41</v>
      </c>
      <c r="U107" s="458"/>
      <c r="V107" s="460"/>
      <c r="W107" s="458"/>
    </row>
    <row r="108" spans="1:23" ht="14.45" hidden="1" customHeight="1" x14ac:dyDescent="0.25">
      <c r="A108" s="458">
        <v>100</v>
      </c>
      <c r="B108" s="477">
        <v>46091</v>
      </c>
      <c r="C108" s="478" t="s">
        <v>345</v>
      </c>
      <c r="D108" s="478" t="s">
        <v>706</v>
      </c>
      <c r="E108" s="478" t="s">
        <v>710</v>
      </c>
      <c r="F108" s="496" t="s">
        <v>862</v>
      </c>
      <c r="G108" s="497"/>
      <c r="H108" s="497"/>
      <c r="I108" s="498"/>
      <c r="J108" s="496" t="s">
        <v>863</v>
      </c>
      <c r="K108" s="497"/>
      <c r="L108" s="498"/>
      <c r="M108" s="496" t="s">
        <v>864</v>
      </c>
      <c r="N108" s="497"/>
      <c r="O108" s="497"/>
      <c r="P108" s="498"/>
      <c r="Q108" s="478" t="s">
        <v>714</v>
      </c>
      <c r="R108" s="477">
        <v>46121</v>
      </c>
      <c r="S108" s="477">
        <v>46133</v>
      </c>
      <c r="T108" s="478" t="s">
        <v>41</v>
      </c>
      <c r="U108" s="458"/>
      <c r="V108" s="460"/>
      <c r="W108" s="458"/>
    </row>
    <row r="109" spans="1:23" ht="14.45" hidden="1" customHeight="1" x14ac:dyDescent="0.25">
      <c r="A109" s="458">
        <v>101</v>
      </c>
      <c r="B109" s="479">
        <v>46091</v>
      </c>
      <c r="C109" s="480" t="s">
        <v>328</v>
      </c>
      <c r="D109" s="480" t="s">
        <v>706</v>
      </c>
      <c r="E109" s="480" t="s">
        <v>645</v>
      </c>
      <c r="F109" s="496" t="s">
        <v>865</v>
      </c>
      <c r="G109" s="497"/>
      <c r="H109" s="497"/>
      <c r="I109" s="498"/>
      <c r="J109" s="496" t="s">
        <v>712</v>
      </c>
      <c r="K109" s="497"/>
      <c r="L109" s="498"/>
      <c r="M109" s="496" t="s">
        <v>866</v>
      </c>
      <c r="N109" s="497"/>
      <c r="O109" s="497"/>
      <c r="P109" s="498"/>
      <c r="Q109" s="480" t="s">
        <v>649</v>
      </c>
      <c r="R109" s="479">
        <v>46121</v>
      </c>
      <c r="S109" s="479">
        <v>46108</v>
      </c>
      <c r="T109" s="480" t="s">
        <v>41</v>
      </c>
      <c r="U109" s="458"/>
      <c r="V109" s="460"/>
      <c r="W109" s="458"/>
    </row>
    <row r="110" spans="1:23" ht="14.45" hidden="1" customHeight="1" x14ac:dyDescent="0.25">
      <c r="A110" s="458">
        <v>102</v>
      </c>
      <c r="B110" s="477">
        <v>46091</v>
      </c>
      <c r="C110" s="478" t="s">
        <v>394</v>
      </c>
      <c r="D110" s="478" t="s">
        <v>737</v>
      </c>
      <c r="E110" s="478" t="s">
        <v>645</v>
      </c>
      <c r="F110" s="496" t="s">
        <v>867</v>
      </c>
      <c r="G110" s="497"/>
      <c r="H110" s="497"/>
      <c r="I110" s="498"/>
      <c r="J110" s="496" t="s">
        <v>868</v>
      </c>
      <c r="K110" s="497"/>
      <c r="L110" s="498"/>
      <c r="M110" s="496" t="s">
        <v>734</v>
      </c>
      <c r="N110" s="497"/>
      <c r="O110" s="497"/>
      <c r="P110" s="498"/>
      <c r="Q110" s="478" t="s">
        <v>649</v>
      </c>
      <c r="R110" s="477">
        <v>46121</v>
      </c>
      <c r="S110" s="477">
        <v>46121</v>
      </c>
      <c r="T110" s="478" t="s">
        <v>41</v>
      </c>
      <c r="U110" s="458"/>
      <c r="V110" s="460"/>
      <c r="W110" s="458"/>
    </row>
    <row r="111" spans="1:23" ht="14.45" hidden="1" customHeight="1" x14ac:dyDescent="0.25">
      <c r="A111" s="458">
        <v>103</v>
      </c>
      <c r="B111" s="479">
        <v>46091</v>
      </c>
      <c r="C111" s="480" t="s">
        <v>869</v>
      </c>
      <c r="D111" s="480" t="s">
        <v>728</v>
      </c>
      <c r="E111" s="480" t="s">
        <v>645</v>
      </c>
      <c r="F111" s="496" t="s">
        <v>870</v>
      </c>
      <c r="G111" s="497"/>
      <c r="H111" s="497"/>
      <c r="I111" s="498"/>
      <c r="J111" s="496" t="s">
        <v>871</v>
      </c>
      <c r="K111" s="497"/>
      <c r="L111" s="498"/>
      <c r="M111" s="496" t="s">
        <v>844</v>
      </c>
      <c r="N111" s="497"/>
      <c r="O111" s="497"/>
      <c r="P111" s="498"/>
      <c r="Q111" s="480" t="s">
        <v>649</v>
      </c>
      <c r="R111" s="479">
        <v>46121</v>
      </c>
      <c r="S111" s="479">
        <v>46121</v>
      </c>
      <c r="T111" s="480" t="s">
        <v>41</v>
      </c>
      <c r="U111" s="458"/>
      <c r="V111" s="460"/>
      <c r="W111" s="458"/>
    </row>
    <row r="112" spans="1:23" ht="14.45" hidden="1" customHeight="1" x14ac:dyDescent="0.25">
      <c r="A112" s="458">
        <v>104</v>
      </c>
      <c r="B112" s="477">
        <v>46091</v>
      </c>
      <c r="C112" s="478" t="s">
        <v>536</v>
      </c>
      <c r="D112" s="478" t="s">
        <v>728</v>
      </c>
      <c r="E112" s="478" t="s">
        <v>653</v>
      </c>
      <c r="F112" s="496" t="s">
        <v>872</v>
      </c>
      <c r="G112" s="497"/>
      <c r="H112" s="497"/>
      <c r="I112" s="498"/>
      <c r="J112" s="496" t="s">
        <v>832</v>
      </c>
      <c r="K112" s="497"/>
      <c r="L112" s="498"/>
      <c r="M112" s="496" t="s">
        <v>873</v>
      </c>
      <c r="N112" s="497"/>
      <c r="O112" s="497"/>
      <c r="P112" s="498"/>
      <c r="Q112" s="478" t="s">
        <v>657</v>
      </c>
      <c r="R112" s="477">
        <v>46121</v>
      </c>
      <c r="S112" s="477">
        <v>46112</v>
      </c>
      <c r="T112" s="478" t="s">
        <v>41</v>
      </c>
      <c r="U112" s="458"/>
      <c r="V112" s="460"/>
      <c r="W112" s="458"/>
    </row>
    <row r="113" spans="1:23" ht="14.45" hidden="1" customHeight="1" x14ac:dyDescent="0.25">
      <c r="A113" s="458">
        <v>105</v>
      </c>
      <c r="B113" s="479">
        <v>46091</v>
      </c>
      <c r="C113" s="480" t="s">
        <v>874</v>
      </c>
      <c r="D113" s="480" t="s">
        <v>728</v>
      </c>
      <c r="E113" s="480" t="s">
        <v>653</v>
      </c>
      <c r="F113" s="496" t="s">
        <v>875</v>
      </c>
      <c r="G113" s="497"/>
      <c r="H113" s="497"/>
      <c r="I113" s="498"/>
      <c r="J113" s="496" t="s">
        <v>712</v>
      </c>
      <c r="K113" s="497"/>
      <c r="L113" s="498"/>
      <c r="M113" s="496" t="s">
        <v>876</v>
      </c>
      <c r="N113" s="497"/>
      <c r="O113" s="497"/>
      <c r="P113" s="498"/>
      <c r="Q113" s="480" t="s">
        <v>657</v>
      </c>
      <c r="R113" s="479">
        <v>46121</v>
      </c>
      <c r="S113" s="479">
        <v>46112</v>
      </c>
      <c r="T113" s="480" t="s">
        <v>41</v>
      </c>
      <c r="U113" s="458"/>
      <c r="V113" s="460"/>
      <c r="W113" s="458"/>
    </row>
    <row r="114" spans="1:23" ht="14.45" hidden="1" customHeight="1" x14ac:dyDescent="0.25">
      <c r="A114" s="458">
        <v>106</v>
      </c>
      <c r="B114" s="477">
        <v>46091</v>
      </c>
      <c r="C114" s="478" t="s">
        <v>552</v>
      </c>
      <c r="D114" s="478" t="s">
        <v>728</v>
      </c>
      <c r="E114" s="478" t="s">
        <v>653</v>
      </c>
      <c r="F114" s="496" t="s">
        <v>877</v>
      </c>
      <c r="G114" s="497"/>
      <c r="H114" s="497"/>
      <c r="I114" s="498"/>
      <c r="J114" s="496" t="s">
        <v>832</v>
      </c>
      <c r="K114" s="497"/>
      <c r="L114" s="498"/>
      <c r="M114" s="496" t="s">
        <v>878</v>
      </c>
      <c r="N114" s="497"/>
      <c r="O114" s="497"/>
      <c r="P114" s="498"/>
      <c r="Q114" s="478" t="s">
        <v>657</v>
      </c>
      <c r="R114" s="477">
        <v>46121</v>
      </c>
      <c r="S114" s="477">
        <v>46112</v>
      </c>
      <c r="T114" s="478" t="s">
        <v>41</v>
      </c>
      <c r="U114" s="458"/>
      <c r="V114" s="460"/>
      <c r="W114" s="458"/>
    </row>
    <row r="115" spans="1:23" ht="14.45" hidden="1" customHeight="1" x14ac:dyDescent="0.25">
      <c r="A115" s="458">
        <v>107</v>
      </c>
      <c r="B115" s="479">
        <v>46091</v>
      </c>
      <c r="C115" s="480" t="s">
        <v>530</v>
      </c>
      <c r="D115" s="480" t="s">
        <v>664</v>
      </c>
      <c r="E115" s="480" t="s">
        <v>645</v>
      </c>
      <c r="F115" s="496" t="s">
        <v>879</v>
      </c>
      <c r="G115" s="497"/>
      <c r="H115" s="497"/>
      <c r="I115" s="498"/>
      <c r="J115" s="496" t="s">
        <v>880</v>
      </c>
      <c r="K115" s="497"/>
      <c r="L115" s="498"/>
      <c r="M115" s="496" t="s">
        <v>881</v>
      </c>
      <c r="N115" s="497"/>
      <c r="O115" s="497"/>
      <c r="P115" s="498"/>
      <c r="Q115" s="480" t="s">
        <v>649</v>
      </c>
      <c r="R115" s="479">
        <v>46121</v>
      </c>
      <c r="S115" s="479">
        <v>46121</v>
      </c>
      <c r="T115" s="480" t="s">
        <v>41</v>
      </c>
      <c r="U115" s="458"/>
      <c r="V115" s="460"/>
      <c r="W115" s="458"/>
    </row>
    <row r="116" spans="1:23" ht="14.45" hidden="1" customHeight="1" x14ac:dyDescent="0.25">
      <c r="A116" s="458">
        <v>108</v>
      </c>
      <c r="B116" s="477">
        <v>46091</v>
      </c>
      <c r="C116" s="478" t="s">
        <v>461</v>
      </c>
      <c r="D116" s="478" t="s">
        <v>664</v>
      </c>
      <c r="E116" s="478" t="s">
        <v>645</v>
      </c>
      <c r="F116" s="496" t="s">
        <v>882</v>
      </c>
      <c r="G116" s="497"/>
      <c r="H116" s="497"/>
      <c r="I116" s="498"/>
      <c r="J116" s="496" t="s">
        <v>720</v>
      </c>
      <c r="K116" s="497"/>
      <c r="L116" s="498"/>
      <c r="M116" s="496" t="s">
        <v>724</v>
      </c>
      <c r="N116" s="497"/>
      <c r="O116" s="497"/>
      <c r="P116" s="498"/>
      <c r="Q116" s="478" t="s">
        <v>649</v>
      </c>
      <c r="R116" s="477">
        <v>46121</v>
      </c>
      <c r="S116" s="477">
        <v>46121</v>
      </c>
      <c r="T116" s="478" t="s">
        <v>41</v>
      </c>
      <c r="U116" s="458"/>
      <c r="V116" s="460"/>
      <c r="W116" s="458"/>
    </row>
    <row r="117" spans="1:23" ht="14.45" hidden="1" customHeight="1" x14ac:dyDescent="0.25">
      <c r="A117" s="458">
        <v>109</v>
      </c>
      <c r="B117" s="479">
        <v>46091</v>
      </c>
      <c r="C117" s="480" t="s">
        <v>461</v>
      </c>
      <c r="D117" s="480" t="s">
        <v>664</v>
      </c>
      <c r="E117" s="480" t="s">
        <v>645</v>
      </c>
      <c r="F117" s="496" t="s">
        <v>883</v>
      </c>
      <c r="G117" s="497"/>
      <c r="H117" s="497"/>
      <c r="I117" s="498"/>
      <c r="J117" s="496" t="s">
        <v>884</v>
      </c>
      <c r="K117" s="497"/>
      <c r="L117" s="498"/>
      <c r="M117" s="496" t="s">
        <v>724</v>
      </c>
      <c r="N117" s="497"/>
      <c r="O117" s="497"/>
      <c r="P117" s="498"/>
      <c r="Q117" s="480" t="s">
        <v>649</v>
      </c>
      <c r="R117" s="479">
        <v>46121</v>
      </c>
      <c r="S117" s="479">
        <v>46121</v>
      </c>
      <c r="T117" s="480" t="s">
        <v>41</v>
      </c>
      <c r="U117" s="458"/>
      <c r="V117" s="460"/>
      <c r="W117" s="458"/>
    </row>
    <row r="118" spans="1:23" ht="14.45" hidden="1" customHeight="1" x14ac:dyDescent="0.25">
      <c r="A118" s="458">
        <v>110</v>
      </c>
      <c r="B118" s="477">
        <v>46091</v>
      </c>
      <c r="C118" s="478" t="s">
        <v>353</v>
      </c>
      <c r="D118" s="478" t="s">
        <v>706</v>
      </c>
      <c r="E118" s="478" t="s">
        <v>710</v>
      </c>
      <c r="F118" s="496" t="s">
        <v>885</v>
      </c>
      <c r="G118" s="497"/>
      <c r="H118" s="497"/>
      <c r="I118" s="498"/>
      <c r="J118" s="496" t="s">
        <v>712</v>
      </c>
      <c r="K118" s="497"/>
      <c r="L118" s="498"/>
      <c r="M118" s="496" t="s">
        <v>886</v>
      </c>
      <c r="N118" s="497"/>
      <c r="O118" s="497"/>
      <c r="P118" s="498"/>
      <c r="Q118" s="478" t="s">
        <v>649</v>
      </c>
      <c r="R118" s="477">
        <v>46121</v>
      </c>
      <c r="S118" s="477">
        <v>46108</v>
      </c>
      <c r="T118" s="478" t="s">
        <v>41</v>
      </c>
      <c r="U118" s="458"/>
      <c r="V118" s="460"/>
      <c r="W118" s="458"/>
    </row>
    <row r="119" spans="1:23" ht="14.45" hidden="1" customHeight="1" x14ac:dyDescent="0.25">
      <c r="A119" s="458">
        <v>111</v>
      </c>
      <c r="B119" s="479">
        <v>46091</v>
      </c>
      <c r="C119" s="480" t="s">
        <v>468</v>
      </c>
      <c r="D119" s="480" t="s">
        <v>664</v>
      </c>
      <c r="E119" s="480" t="s">
        <v>653</v>
      </c>
      <c r="F119" s="496" t="s">
        <v>887</v>
      </c>
      <c r="G119" s="497"/>
      <c r="H119" s="497"/>
      <c r="I119" s="498"/>
      <c r="J119" s="496" t="s">
        <v>708</v>
      </c>
      <c r="K119" s="497"/>
      <c r="L119" s="498"/>
      <c r="M119" s="496" t="s">
        <v>888</v>
      </c>
      <c r="N119" s="497"/>
      <c r="O119" s="497"/>
      <c r="P119" s="498"/>
      <c r="Q119" s="480" t="s">
        <v>657</v>
      </c>
      <c r="R119" s="479">
        <v>46121</v>
      </c>
      <c r="S119" s="479">
        <v>46111</v>
      </c>
      <c r="T119" s="480" t="s">
        <v>41</v>
      </c>
      <c r="U119" s="458"/>
      <c r="V119" s="460"/>
      <c r="W119" s="458"/>
    </row>
    <row r="120" spans="1:23" ht="14.45" hidden="1" customHeight="1" x14ac:dyDescent="0.25">
      <c r="A120" s="458">
        <v>112</v>
      </c>
      <c r="B120" s="477">
        <v>46091</v>
      </c>
      <c r="C120" s="478" t="s">
        <v>491</v>
      </c>
      <c r="D120" s="478" t="s">
        <v>664</v>
      </c>
      <c r="E120" s="478" t="s">
        <v>653</v>
      </c>
      <c r="F120" s="496" t="s">
        <v>889</v>
      </c>
      <c r="G120" s="497"/>
      <c r="H120" s="497"/>
      <c r="I120" s="498"/>
      <c r="J120" s="496" t="s">
        <v>733</v>
      </c>
      <c r="K120" s="497"/>
      <c r="L120" s="498"/>
      <c r="M120" s="496" t="s">
        <v>734</v>
      </c>
      <c r="N120" s="497"/>
      <c r="O120" s="497"/>
      <c r="P120" s="498"/>
      <c r="Q120" s="478" t="s">
        <v>657</v>
      </c>
      <c r="R120" s="477">
        <v>46121</v>
      </c>
      <c r="S120" s="477">
        <v>46111</v>
      </c>
      <c r="T120" s="478" t="s">
        <v>41</v>
      </c>
      <c r="U120" s="458"/>
      <c r="V120" s="460"/>
      <c r="W120" s="458"/>
    </row>
    <row r="121" spans="1:23" ht="14.45" hidden="1" customHeight="1" x14ac:dyDescent="0.25">
      <c r="A121" s="458">
        <v>113</v>
      </c>
      <c r="B121" s="479">
        <v>46091</v>
      </c>
      <c r="C121" s="480" t="s">
        <v>496</v>
      </c>
      <c r="D121" s="480" t="s">
        <v>664</v>
      </c>
      <c r="E121" s="480" t="s">
        <v>645</v>
      </c>
      <c r="F121" s="496" t="s">
        <v>890</v>
      </c>
      <c r="G121" s="497"/>
      <c r="H121" s="497"/>
      <c r="I121" s="498"/>
      <c r="J121" s="496" t="s">
        <v>712</v>
      </c>
      <c r="K121" s="497"/>
      <c r="L121" s="498"/>
      <c r="M121" s="496" t="s">
        <v>891</v>
      </c>
      <c r="N121" s="497"/>
      <c r="O121" s="497"/>
      <c r="P121" s="498"/>
      <c r="Q121" s="480" t="s">
        <v>649</v>
      </c>
      <c r="R121" s="479">
        <v>46121</v>
      </c>
      <c r="S121" s="479">
        <v>46121</v>
      </c>
      <c r="T121" s="480" t="s">
        <v>41</v>
      </c>
      <c r="U121" s="458"/>
      <c r="V121" s="460"/>
      <c r="W121" s="458"/>
    </row>
    <row r="122" spans="1:23" ht="14.45" hidden="1" customHeight="1" x14ac:dyDescent="0.25">
      <c r="A122" s="458">
        <v>114</v>
      </c>
      <c r="B122" s="477">
        <v>46091</v>
      </c>
      <c r="C122" s="478" t="s">
        <v>345</v>
      </c>
      <c r="D122" s="478" t="s">
        <v>706</v>
      </c>
      <c r="E122" s="478" t="s">
        <v>645</v>
      </c>
      <c r="F122" s="496" t="s">
        <v>892</v>
      </c>
      <c r="G122" s="497"/>
      <c r="H122" s="497"/>
      <c r="I122" s="498"/>
      <c r="J122" s="496" t="s">
        <v>712</v>
      </c>
      <c r="K122" s="497"/>
      <c r="L122" s="498"/>
      <c r="M122" s="496" t="s">
        <v>734</v>
      </c>
      <c r="N122" s="497"/>
      <c r="O122" s="497"/>
      <c r="P122" s="498"/>
      <c r="Q122" s="478" t="s">
        <v>649</v>
      </c>
      <c r="R122" s="477">
        <v>46121</v>
      </c>
      <c r="S122" s="477">
        <v>46107</v>
      </c>
      <c r="T122" s="478" t="s">
        <v>41</v>
      </c>
      <c r="U122" s="458"/>
      <c r="V122" s="460"/>
      <c r="W122" s="458"/>
    </row>
    <row r="123" spans="1:23" ht="14.45" hidden="1" customHeight="1" x14ac:dyDescent="0.25">
      <c r="A123" s="458">
        <v>115</v>
      </c>
      <c r="B123" s="479">
        <v>46091</v>
      </c>
      <c r="C123" s="480" t="s">
        <v>371</v>
      </c>
      <c r="D123" s="480" t="s">
        <v>737</v>
      </c>
      <c r="E123" s="480" t="s">
        <v>645</v>
      </c>
      <c r="F123" s="496" t="s">
        <v>893</v>
      </c>
      <c r="G123" s="497"/>
      <c r="H123" s="497"/>
      <c r="I123" s="498"/>
      <c r="J123" s="496" t="s">
        <v>712</v>
      </c>
      <c r="K123" s="497"/>
      <c r="L123" s="498"/>
      <c r="M123" s="496" t="s">
        <v>894</v>
      </c>
      <c r="N123" s="497"/>
      <c r="O123" s="497"/>
      <c r="P123" s="498"/>
      <c r="Q123" s="480" t="s">
        <v>649</v>
      </c>
      <c r="R123" s="479">
        <v>46121</v>
      </c>
      <c r="S123" s="479">
        <v>46109</v>
      </c>
      <c r="T123" s="480" t="s">
        <v>41</v>
      </c>
      <c r="U123" s="458"/>
      <c r="V123" s="460"/>
      <c r="W123" s="458"/>
    </row>
    <row r="124" spans="1:23" ht="14.45" hidden="1" customHeight="1" x14ac:dyDescent="0.25">
      <c r="A124" s="458">
        <v>116</v>
      </c>
      <c r="B124" s="477">
        <v>46091</v>
      </c>
      <c r="C124" s="478" t="s">
        <v>495</v>
      </c>
      <c r="D124" s="478" t="s">
        <v>664</v>
      </c>
      <c r="E124" s="478" t="s">
        <v>653</v>
      </c>
      <c r="F124" s="496" t="s">
        <v>895</v>
      </c>
      <c r="G124" s="497"/>
      <c r="H124" s="497"/>
      <c r="I124" s="498"/>
      <c r="J124" s="496" t="s">
        <v>712</v>
      </c>
      <c r="K124" s="497"/>
      <c r="L124" s="498"/>
      <c r="M124" s="496" t="s">
        <v>896</v>
      </c>
      <c r="N124" s="497"/>
      <c r="O124" s="497"/>
      <c r="P124" s="498"/>
      <c r="Q124" s="478" t="s">
        <v>657</v>
      </c>
      <c r="R124" s="477">
        <v>46121</v>
      </c>
      <c r="S124" s="477">
        <v>46111</v>
      </c>
      <c r="T124" s="478" t="s">
        <v>41</v>
      </c>
      <c r="U124" s="458"/>
      <c r="V124" s="460"/>
      <c r="W124" s="458"/>
    </row>
    <row r="125" spans="1:23" ht="14.45" hidden="1" customHeight="1" x14ac:dyDescent="0.25">
      <c r="A125" s="458">
        <v>117</v>
      </c>
      <c r="B125" s="479">
        <v>46091</v>
      </c>
      <c r="C125" s="480" t="s">
        <v>552</v>
      </c>
      <c r="D125" s="480" t="s">
        <v>728</v>
      </c>
      <c r="E125" s="480" t="s">
        <v>710</v>
      </c>
      <c r="F125" s="496" t="s">
        <v>897</v>
      </c>
      <c r="G125" s="497"/>
      <c r="H125" s="497"/>
      <c r="I125" s="498"/>
      <c r="J125" s="496" t="s">
        <v>712</v>
      </c>
      <c r="K125" s="497"/>
      <c r="L125" s="498"/>
      <c r="M125" s="496" t="s">
        <v>898</v>
      </c>
      <c r="N125" s="497"/>
      <c r="O125" s="497"/>
      <c r="P125" s="498"/>
      <c r="Q125" s="480" t="s">
        <v>714</v>
      </c>
      <c r="R125" s="479">
        <v>46121</v>
      </c>
      <c r="S125" s="479">
        <v>46128</v>
      </c>
      <c r="T125" s="480" t="s">
        <v>41</v>
      </c>
      <c r="U125" s="458"/>
      <c r="V125" s="460"/>
      <c r="W125" s="458"/>
    </row>
    <row r="126" spans="1:23" ht="14.45" hidden="1" customHeight="1" x14ac:dyDescent="0.25">
      <c r="A126" s="458">
        <v>118</v>
      </c>
      <c r="B126" s="477">
        <v>46091</v>
      </c>
      <c r="C126" s="478" t="s">
        <v>532</v>
      </c>
      <c r="D126" s="478" t="s">
        <v>728</v>
      </c>
      <c r="E126" s="478" t="s">
        <v>653</v>
      </c>
      <c r="F126" s="496" t="s">
        <v>899</v>
      </c>
      <c r="G126" s="497"/>
      <c r="H126" s="497"/>
      <c r="I126" s="498"/>
      <c r="J126" s="496" t="s">
        <v>712</v>
      </c>
      <c r="K126" s="497"/>
      <c r="L126" s="498"/>
      <c r="M126" s="496" t="s">
        <v>900</v>
      </c>
      <c r="N126" s="497"/>
      <c r="O126" s="497"/>
      <c r="P126" s="498"/>
      <c r="Q126" s="478" t="s">
        <v>657</v>
      </c>
      <c r="R126" s="477">
        <v>46121</v>
      </c>
      <c r="S126" s="477">
        <v>46112</v>
      </c>
      <c r="T126" s="478" t="s">
        <v>41</v>
      </c>
      <c r="U126" s="458"/>
      <c r="V126" s="460"/>
      <c r="W126" s="458"/>
    </row>
    <row r="127" spans="1:23" ht="14.45" hidden="1" customHeight="1" x14ac:dyDescent="0.25">
      <c r="A127" s="458">
        <v>119</v>
      </c>
      <c r="B127" s="479">
        <v>46091</v>
      </c>
      <c r="C127" s="480" t="s">
        <v>536</v>
      </c>
      <c r="D127" s="480" t="s">
        <v>728</v>
      </c>
      <c r="E127" s="480" t="s">
        <v>653</v>
      </c>
      <c r="F127" s="496" t="s">
        <v>901</v>
      </c>
      <c r="G127" s="497"/>
      <c r="H127" s="497"/>
      <c r="I127" s="498"/>
      <c r="J127" s="496" t="s">
        <v>712</v>
      </c>
      <c r="K127" s="497"/>
      <c r="L127" s="498"/>
      <c r="M127" s="496" t="s">
        <v>902</v>
      </c>
      <c r="N127" s="497"/>
      <c r="O127" s="497"/>
      <c r="P127" s="498"/>
      <c r="Q127" s="480" t="s">
        <v>657</v>
      </c>
      <c r="R127" s="479">
        <v>46121</v>
      </c>
      <c r="S127" s="479">
        <v>46112</v>
      </c>
      <c r="T127" s="480" t="s">
        <v>41</v>
      </c>
      <c r="U127" s="458"/>
      <c r="V127" s="460"/>
      <c r="W127" s="458"/>
    </row>
    <row r="128" spans="1:23" ht="14.45" hidden="1" customHeight="1" x14ac:dyDescent="0.25">
      <c r="A128" s="458">
        <v>120</v>
      </c>
      <c r="B128" s="477">
        <v>46091</v>
      </c>
      <c r="C128" s="478" t="s">
        <v>552</v>
      </c>
      <c r="D128" s="478" t="s">
        <v>728</v>
      </c>
      <c r="E128" s="478" t="s">
        <v>710</v>
      </c>
      <c r="F128" s="496" t="s">
        <v>903</v>
      </c>
      <c r="G128" s="497"/>
      <c r="H128" s="497"/>
      <c r="I128" s="498"/>
      <c r="J128" s="496" t="s">
        <v>712</v>
      </c>
      <c r="K128" s="497"/>
      <c r="L128" s="498"/>
      <c r="M128" s="496" t="s">
        <v>904</v>
      </c>
      <c r="N128" s="497"/>
      <c r="O128" s="497"/>
      <c r="P128" s="498"/>
      <c r="Q128" s="478" t="s">
        <v>714</v>
      </c>
      <c r="R128" s="477">
        <v>46121</v>
      </c>
      <c r="S128" s="477">
        <v>46128</v>
      </c>
      <c r="T128" s="478" t="s">
        <v>41</v>
      </c>
      <c r="U128" s="458"/>
      <c r="V128" s="460"/>
      <c r="W128" s="458"/>
    </row>
    <row r="129" spans="1:23" ht="14.45" hidden="1" customHeight="1" x14ac:dyDescent="0.25">
      <c r="A129" s="458">
        <v>121</v>
      </c>
      <c r="B129" s="479">
        <v>46091</v>
      </c>
      <c r="C129" s="480" t="s">
        <v>496</v>
      </c>
      <c r="D129" s="480" t="s">
        <v>664</v>
      </c>
      <c r="E129" s="480" t="s">
        <v>653</v>
      </c>
      <c r="F129" s="496" t="s">
        <v>905</v>
      </c>
      <c r="G129" s="497"/>
      <c r="H129" s="497"/>
      <c r="I129" s="498"/>
      <c r="J129" s="496" t="s">
        <v>712</v>
      </c>
      <c r="K129" s="497"/>
      <c r="L129" s="498"/>
      <c r="M129" s="496" t="s">
        <v>906</v>
      </c>
      <c r="N129" s="497"/>
      <c r="O129" s="497"/>
      <c r="P129" s="498"/>
      <c r="Q129" s="480" t="s">
        <v>657</v>
      </c>
      <c r="R129" s="479">
        <v>46121</v>
      </c>
      <c r="S129" s="479">
        <v>46112</v>
      </c>
      <c r="T129" s="480" t="s">
        <v>41</v>
      </c>
      <c r="U129" s="458"/>
      <c r="V129" s="460"/>
      <c r="W129" s="458"/>
    </row>
    <row r="130" spans="1:23" ht="14.45" hidden="1" customHeight="1" x14ac:dyDescent="0.25">
      <c r="A130" s="458">
        <v>122</v>
      </c>
      <c r="B130" s="477">
        <v>46091</v>
      </c>
      <c r="C130" s="478" t="s">
        <v>183</v>
      </c>
      <c r="D130" s="478" t="s">
        <v>644</v>
      </c>
      <c r="E130" s="478" t="s">
        <v>645</v>
      </c>
      <c r="F130" s="496" t="s">
        <v>907</v>
      </c>
      <c r="G130" s="497"/>
      <c r="H130" s="497"/>
      <c r="I130" s="498"/>
      <c r="J130" s="496" t="s">
        <v>720</v>
      </c>
      <c r="K130" s="497"/>
      <c r="L130" s="498"/>
      <c r="M130" s="496" t="s">
        <v>696</v>
      </c>
      <c r="N130" s="497"/>
      <c r="O130" s="497"/>
      <c r="P130" s="498"/>
      <c r="Q130" s="478" t="s">
        <v>649</v>
      </c>
      <c r="R130" s="477">
        <v>46121</v>
      </c>
      <c r="S130" s="477">
        <v>46122</v>
      </c>
      <c r="T130" s="478" t="s">
        <v>41</v>
      </c>
      <c r="U130" s="458"/>
      <c r="V130" s="460"/>
      <c r="W130" s="458"/>
    </row>
    <row r="131" spans="1:23" ht="14.45" hidden="1" customHeight="1" x14ac:dyDescent="0.25">
      <c r="A131" s="458">
        <v>123</v>
      </c>
      <c r="B131" s="479">
        <v>46148</v>
      </c>
      <c r="C131" s="480" t="s">
        <v>284</v>
      </c>
      <c r="D131" s="480" t="s">
        <v>706</v>
      </c>
      <c r="E131" s="480" t="s">
        <v>645</v>
      </c>
      <c r="F131" s="496" t="s">
        <v>908</v>
      </c>
      <c r="G131" s="497"/>
      <c r="H131" s="497"/>
      <c r="I131" s="498"/>
      <c r="J131" s="496" t="s">
        <v>909</v>
      </c>
      <c r="K131" s="497"/>
      <c r="L131" s="498"/>
      <c r="M131" s="496" t="s">
        <v>696</v>
      </c>
      <c r="N131" s="497"/>
      <c r="O131" s="497"/>
      <c r="P131" s="498"/>
      <c r="Q131" s="480" t="s">
        <v>649</v>
      </c>
      <c r="R131" s="479">
        <v>46178</v>
      </c>
      <c r="S131" s="479">
        <v>46248</v>
      </c>
      <c r="T131" s="480" t="s">
        <v>41</v>
      </c>
      <c r="U131" s="458"/>
      <c r="V131" s="460"/>
      <c r="W131" s="458"/>
    </row>
    <row r="132" spans="1:23" ht="14.45" hidden="1" customHeight="1" x14ac:dyDescent="0.25">
      <c r="A132" s="458">
        <v>124</v>
      </c>
      <c r="B132" s="477">
        <v>46148</v>
      </c>
      <c r="C132" s="478" t="s">
        <v>284</v>
      </c>
      <c r="D132" s="478" t="s">
        <v>706</v>
      </c>
      <c r="E132" s="478" t="s">
        <v>645</v>
      </c>
      <c r="F132" s="496" t="s">
        <v>910</v>
      </c>
      <c r="G132" s="497"/>
      <c r="H132" s="497"/>
      <c r="I132" s="498"/>
      <c r="J132" s="496" t="s">
        <v>911</v>
      </c>
      <c r="K132" s="497"/>
      <c r="L132" s="498"/>
      <c r="M132" s="496" t="s">
        <v>912</v>
      </c>
      <c r="N132" s="497"/>
      <c r="O132" s="497"/>
      <c r="P132" s="498"/>
      <c r="Q132" s="478" t="s">
        <v>649</v>
      </c>
      <c r="R132" s="477">
        <v>46178</v>
      </c>
      <c r="S132" s="477">
        <v>46178</v>
      </c>
      <c r="T132" s="478" t="s">
        <v>41</v>
      </c>
      <c r="U132" s="458"/>
      <c r="V132" s="460"/>
      <c r="W132" s="458"/>
    </row>
    <row r="133" spans="1:23" ht="14.45" hidden="1" customHeight="1" x14ac:dyDescent="0.25">
      <c r="A133" s="458">
        <v>125</v>
      </c>
      <c r="B133" s="479">
        <v>46148</v>
      </c>
      <c r="C133" s="480" t="s">
        <v>303</v>
      </c>
      <c r="D133" s="480" t="s">
        <v>706</v>
      </c>
      <c r="E133" s="480" t="s">
        <v>710</v>
      </c>
      <c r="F133" s="496" t="s">
        <v>913</v>
      </c>
      <c r="G133" s="497"/>
      <c r="H133" s="497"/>
      <c r="I133" s="498"/>
      <c r="J133" s="496" t="s">
        <v>914</v>
      </c>
      <c r="K133" s="497"/>
      <c r="L133" s="498"/>
      <c r="M133" s="496" t="s">
        <v>915</v>
      </c>
      <c r="N133" s="497"/>
      <c r="O133" s="497"/>
      <c r="P133" s="498"/>
      <c r="Q133" s="480" t="s">
        <v>714</v>
      </c>
      <c r="R133" s="479">
        <v>46178</v>
      </c>
      <c r="S133" s="479">
        <v>46178</v>
      </c>
      <c r="T133" s="480" t="s">
        <v>41</v>
      </c>
      <c r="U133" s="492" t="s">
        <v>916</v>
      </c>
      <c r="V133" s="460"/>
      <c r="W133" s="458"/>
    </row>
    <row r="134" spans="1:23" ht="14.45" hidden="1" customHeight="1" x14ac:dyDescent="0.25">
      <c r="A134" s="458">
        <v>126</v>
      </c>
      <c r="B134" s="477">
        <v>46148</v>
      </c>
      <c r="C134" s="478" t="s">
        <v>288</v>
      </c>
      <c r="D134" s="478" t="s">
        <v>706</v>
      </c>
      <c r="E134" s="478" t="s">
        <v>710</v>
      </c>
      <c r="F134" s="496" t="s">
        <v>917</v>
      </c>
      <c r="G134" s="497"/>
      <c r="H134" s="497"/>
      <c r="I134" s="498"/>
      <c r="J134" s="496" t="s">
        <v>918</v>
      </c>
      <c r="K134" s="497"/>
      <c r="L134" s="498"/>
      <c r="M134" s="496" t="s">
        <v>919</v>
      </c>
      <c r="N134" s="497"/>
      <c r="O134" s="497"/>
      <c r="P134" s="498"/>
      <c r="Q134" s="478" t="s">
        <v>714</v>
      </c>
      <c r="R134" s="477">
        <v>46178</v>
      </c>
      <c r="S134" s="477">
        <v>46178</v>
      </c>
      <c r="T134" s="478" t="s">
        <v>41</v>
      </c>
      <c r="U134" s="492" t="s">
        <v>916</v>
      </c>
      <c r="V134" s="460"/>
      <c r="W134" s="458"/>
    </row>
    <row r="135" spans="1:23" ht="14.45" hidden="1" customHeight="1" x14ac:dyDescent="0.25">
      <c r="A135" s="458">
        <v>127</v>
      </c>
      <c r="B135" s="479">
        <v>46148</v>
      </c>
      <c r="C135" s="480" t="s">
        <v>320</v>
      </c>
      <c r="D135" s="480" t="s">
        <v>706</v>
      </c>
      <c r="E135" s="480" t="s">
        <v>830</v>
      </c>
      <c r="F135" s="496" t="s">
        <v>920</v>
      </c>
      <c r="G135" s="497"/>
      <c r="H135" s="497"/>
      <c r="I135" s="498"/>
      <c r="J135" s="496" t="s">
        <v>921</v>
      </c>
      <c r="K135" s="497"/>
      <c r="L135" s="498"/>
      <c r="M135" s="496" t="s">
        <v>922</v>
      </c>
      <c r="N135" s="497"/>
      <c r="O135" s="497"/>
      <c r="P135" s="498"/>
      <c r="Q135" s="480" t="s">
        <v>834</v>
      </c>
      <c r="R135" s="479">
        <v>46178</v>
      </c>
      <c r="S135" s="479">
        <v>46178</v>
      </c>
      <c r="T135" s="480" t="s">
        <v>41</v>
      </c>
      <c r="U135" s="458"/>
      <c r="V135" s="460"/>
      <c r="W135" s="458"/>
    </row>
    <row r="136" spans="1:23" ht="14.45" hidden="1" customHeight="1" x14ac:dyDescent="0.25">
      <c r="A136" s="458">
        <v>128</v>
      </c>
      <c r="B136" s="477">
        <v>46148</v>
      </c>
      <c r="C136" s="478" t="s">
        <v>320</v>
      </c>
      <c r="D136" s="478" t="s">
        <v>706</v>
      </c>
      <c r="E136" s="478" t="s">
        <v>710</v>
      </c>
      <c r="F136" s="496" t="s">
        <v>923</v>
      </c>
      <c r="G136" s="497"/>
      <c r="H136" s="497"/>
      <c r="I136" s="498"/>
      <c r="J136" s="496" t="s">
        <v>924</v>
      </c>
      <c r="K136" s="497"/>
      <c r="L136" s="498"/>
      <c r="M136" s="496" t="s">
        <v>925</v>
      </c>
      <c r="N136" s="497"/>
      <c r="O136" s="497"/>
      <c r="P136" s="498"/>
      <c r="Q136" s="478" t="s">
        <v>714</v>
      </c>
      <c r="R136" s="477">
        <v>46178</v>
      </c>
      <c r="S136" s="477">
        <v>46220</v>
      </c>
      <c r="T136" s="478" t="s">
        <v>41</v>
      </c>
      <c r="U136" s="458"/>
      <c r="V136" s="460"/>
      <c r="W136" s="458"/>
    </row>
    <row r="137" spans="1:23" ht="14.45" hidden="1" customHeight="1" x14ac:dyDescent="0.25">
      <c r="A137" s="458">
        <v>129</v>
      </c>
      <c r="B137" s="479">
        <v>46148</v>
      </c>
      <c r="C137" s="480" t="s">
        <v>454</v>
      </c>
      <c r="D137" s="480" t="s">
        <v>664</v>
      </c>
      <c r="E137" s="480" t="s">
        <v>645</v>
      </c>
      <c r="F137" s="496" t="s">
        <v>926</v>
      </c>
      <c r="G137" s="497"/>
      <c r="H137" s="497"/>
      <c r="I137" s="498"/>
      <c r="J137" s="496" t="s">
        <v>18</v>
      </c>
      <c r="K137" s="497"/>
      <c r="L137" s="498"/>
      <c r="M137" s="496" t="s">
        <v>817</v>
      </c>
      <c r="N137" s="497"/>
      <c r="O137" s="497"/>
      <c r="P137" s="498"/>
      <c r="Q137" s="480" t="s">
        <v>657</v>
      </c>
      <c r="R137" s="479">
        <v>46178</v>
      </c>
      <c r="S137" s="479">
        <v>46220</v>
      </c>
      <c r="T137" s="480" t="s">
        <v>41</v>
      </c>
      <c r="U137" s="458"/>
      <c r="V137" s="460"/>
      <c r="W137" s="458"/>
    </row>
    <row r="138" spans="1:23" ht="14.45" hidden="1" customHeight="1" x14ac:dyDescent="0.25">
      <c r="A138" s="458">
        <v>130</v>
      </c>
      <c r="B138" s="477">
        <v>46148</v>
      </c>
      <c r="C138" s="478" t="s">
        <v>464</v>
      </c>
      <c r="D138" s="478" t="s">
        <v>664</v>
      </c>
      <c r="E138" s="478" t="s">
        <v>645</v>
      </c>
      <c r="F138" s="496" t="s">
        <v>927</v>
      </c>
      <c r="G138" s="497"/>
      <c r="H138" s="497"/>
      <c r="I138" s="498"/>
      <c r="J138" s="496" t="s">
        <v>928</v>
      </c>
      <c r="K138" s="497"/>
      <c r="L138" s="498"/>
      <c r="M138" s="496" t="s">
        <v>648</v>
      </c>
      <c r="N138" s="497"/>
      <c r="O138" s="497"/>
      <c r="P138" s="498"/>
      <c r="Q138" s="478" t="s">
        <v>649</v>
      </c>
      <c r="R138" s="477">
        <v>46178</v>
      </c>
      <c r="S138" s="477">
        <v>46178</v>
      </c>
      <c r="T138" s="478" t="s">
        <v>41</v>
      </c>
      <c r="U138" s="492" t="s">
        <v>916</v>
      </c>
      <c r="V138" s="460"/>
      <c r="W138" s="458"/>
    </row>
    <row r="139" spans="1:23" ht="14.45" hidden="1" customHeight="1" x14ac:dyDescent="0.25">
      <c r="A139" s="458">
        <v>131</v>
      </c>
      <c r="B139" s="479">
        <v>46148</v>
      </c>
      <c r="C139" s="480" t="s">
        <v>496</v>
      </c>
      <c r="D139" s="480" t="s">
        <v>664</v>
      </c>
      <c r="E139" s="480" t="s">
        <v>645</v>
      </c>
      <c r="F139" s="496" t="s">
        <v>929</v>
      </c>
      <c r="G139" s="497"/>
      <c r="H139" s="497"/>
      <c r="I139" s="498"/>
      <c r="J139" s="496" t="s">
        <v>18</v>
      </c>
      <c r="K139" s="497"/>
      <c r="L139" s="498"/>
      <c r="M139" s="496" t="s">
        <v>930</v>
      </c>
      <c r="N139" s="497"/>
      <c r="O139" s="497"/>
      <c r="P139" s="498"/>
      <c r="Q139" s="480" t="s">
        <v>649</v>
      </c>
      <c r="R139" s="479">
        <v>46178</v>
      </c>
      <c r="S139" s="479">
        <v>46178</v>
      </c>
      <c r="T139" s="480" t="s">
        <v>41</v>
      </c>
      <c r="U139" s="458"/>
      <c r="V139" s="460"/>
      <c r="W139" s="458"/>
    </row>
    <row r="140" spans="1:23" ht="14.45" hidden="1" customHeight="1" x14ac:dyDescent="0.25">
      <c r="A140" s="458">
        <v>132</v>
      </c>
      <c r="B140" s="477">
        <v>46148</v>
      </c>
      <c r="C140" s="478" t="s">
        <v>328</v>
      </c>
      <c r="D140" s="478" t="s">
        <v>706</v>
      </c>
      <c r="E140" s="478" t="s">
        <v>645</v>
      </c>
      <c r="F140" s="496" t="s">
        <v>331</v>
      </c>
      <c r="G140" s="497"/>
      <c r="H140" s="497"/>
      <c r="I140" s="498"/>
      <c r="J140" s="496" t="s">
        <v>931</v>
      </c>
      <c r="K140" s="497"/>
      <c r="L140" s="498"/>
      <c r="M140" s="496" t="s">
        <v>648</v>
      </c>
      <c r="N140" s="497"/>
      <c r="O140" s="497"/>
      <c r="P140" s="498"/>
      <c r="Q140" s="478" t="s">
        <v>649</v>
      </c>
      <c r="R140" s="477">
        <v>46178</v>
      </c>
      <c r="S140" s="479">
        <v>46178</v>
      </c>
      <c r="T140" s="478" t="s">
        <v>41</v>
      </c>
      <c r="U140" s="458"/>
      <c r="V140" s="460"/>
      <c r="W140" s="458"/>
    </row>
    <row r="141" spans="1:23" ht="14.45" hidden="1" customHeight="1" x14ac:dyDescent="0.25">
      <c r="A141" s="458">
        <v>133</v>
      </c>
      <c r="B141" s="479">
        <v>46148</v>
      </c>
      <c r="C141" s="480" t="s">
        <v>234</v>
      </c>
      <c r="D141" s="480" t="s">
        <v>644</v>
      </c>
      <c r="E141" s="480" t="s">
        <v>653</v>
      </c>
      <c r="F141" s="496" t="s">
        <v>932</v>
      </c>
      <c r="G141" s="497"/>
      <c r="H141" s="497"/>
      <c r="I141" s="498"/>
      <c r="J141" s="496" t="s">
        <v>933</v>
      </c>
      <c r="K141" s="497"/>
      <c r="L141" s="498"/>
      <c r="M141" s="496" t="s">
        <v>19</v>
      </c>
      <c r="N141" s="497"/>
      <c r="O141" s="497"/>
      <c r="P141" s="498"/>
      <c r="Q141" s="480" t="s">
        <v>657</v>
      </c>
      <c r="R141" s="479">
        <v>46178</v>
      </c>
      <c r="S141" s="479">
        <v>46170</v>
      </c>
      <c r="T141" s="480" t="s">
        <v>41</v>
      </c>
      <c r="U141" s="458"/>
      <c r="V141" s="460"/>
      <c r="W141" s="458"/>
    </row>
    <row r="142" spans="1:23" ht="14.45" hidden="1" customHeight="1" x14ac:dyDescent="0.25">
      <c r="A142" s="458">
        <v>134</v>
      </c>
      <c r="B142" s="477">
        <v>46148</v>
      </c>
      <c r="C142" s="478" t="s">
        <v>183</v>
      </c>
      <c r="D142" s="478" t="s">
        <v>644</v>
      </c>
      <c r="E142" s="478" t="s">
        <v>645</v>
      </c>
      <c r="F142" s="496" t="s">
        <v>934</v>
      </c>
      <c r="G142" s="497"/>
      <c r="H142" s="497"/>
      <c r="I142" s="498"/>
      <c r="J142" s="496" t="s">
        <v>935</v>
      </c>
      <c r="K142" s="497"/>
      <c r="L142" s="498"/>
      <c r="M142" s="496" t="s">
        <v>648</v>
      </c>
      <c r="N142" s="497"/>
      <c r="O142" s="497"/>
      <c r="P142" s="498"/>
      <c r="Q142" s="478" t="s">
        <v>649</v>
      </c>
      <c r="R142" s="477">
        <v>46178</v>
      </c>
      <c r="S142" s="477">
        <v>46178</v>
      </c>
      <c r="T142" s="478" t="s">
        <v>41</v>
      </c>
      <c r="U142" s="492" t="s">
        <v>916</v>
      </c>
      <c r="V142" s="460"/>
      <c r="W142" s="458"/>
    </row>
    <row r="143" spans="1:23" ht="14.45" hidden="1" customHeight="1" x14ac:dyDescent="0.25">
      <c r="A143" s="458">
        <v>135</v>
      </c>
      <c r="B143" s="479">
        <v>46148</v>
      </c>
      <c r="C143" s="480" t="s">
        <v>183</v>
      </c>
      <c r="D143" s="480" t="s">
        <v>644</v>
      </c>
      <c r="E143" s="480" t="s">
        <v>645</v>
      </c>
      <c r="F143" s="496" t="s">
        <v>936</v>
      </c>
      <c r="G143" s="497"/>
      <c r="H143" s="497"/>
      <c r="I143" s="498"/>
      <c r="J143" s="496" t="s">
        <v>937</v>
      </c>
      <c r="K143" s="497"/>
      <c r="L143" s="498"/>
      <c r="M143" s="496" t="s">
        <v>938</v>
      </c>
      <c r="N143" s="497"/>
      <c r="O143" s="497"/>
      <c r="P143" s="498"/>
      <c r="Q143" s="480" t="s">
        <v>649</v>
      </c>
      <c r="R143" s="479">
        <v>46178</v>
      </c>
      <c r="S143" s="479">
        <v>46178</v>
      </c>
      <c r="T143" s="480" t="s">
        <v>41</v>
      </c>
      <c r="U143" s="458"/>
      <c r="V143" s="460"/>
      <c r="W143" s="458"/>
    </row>
    <row r="144" spans="1:23" ht="14.45" hidden="1" customHeight="1" x14ac:dyDescent="0.25">
      <c r="A144" s="458">
        <v>136</v>
      </c>
      <c r="B144" s="477">
        <v>46148</v>
      </c>
      <c r="C144" s="478" t="s">
        <v>939</v>
      </c>
      <c r="D144" s="478" t="s">
        <v>644</v>
      </c>
      <c r="E144" s="478" t="s">
        <v>653</v>
      </c>
      <c r="F144" s="496" t="s">
        <v>940</v>
      </c>
      <c r="G144" s="497"/>
      <c r="H144" s="497"/>
      <c r="I144" s="498"/>
      <c r="J144" s="496" t="s">
        <v>941</v>
      </c>
      <c r="K144" s="497"/>
      <c r="L144" s="498"/>
      <c r="M144" s="496" t="s">
        <v>18</v>
      </c>
      <c r="N144" s="497"/>
      <c r="O144" s="497"/>
      <c r="P144" s="498"/>
      <c r="Q144" s="478" t="s">
        <v>657</v>
      </c>
      <c r="R144" s="477">
        <v>46178</v>
      </c>
      <c r="S144" s="477">
        <v>46170</v>
      </c>
      <c r="T144" s="478" t="s">
        <v>41</v>
      </c>
      <c r="U144" s="458"/>
      <c r="V144" s="460"/>
      <c r="W144" s="458"/>
    </row>
    <row r="145" spans="1:23" ht="14.45" hidden="1" customHeight="1" x14ac:dyDescent="0.25">
      <c r="A145" s="458">
        <v>137</v>
      </c>
      <c r="B145" s="479">
        <v>46148</v>
      </c>
      <c r="C145" s="480" t="s">
        <v>244</v>
      </c>
      <c r="D145" s="480" t="s">
        <v>644</v>
      </c>
      <c r="E145" s="480" t="s">
        <v>830</v>
      </c>
      <c r="F145" s="496" t="s">
        <v>230</v>
      </c>
      <c r="G145" s="497"/>
      <c r="H145" s="497"/>
      <c r="I145" s="498"/>
      <c r="J145" s="496" t="s">
        <v>942</v>
      </c>
      <c r="K145" s="497"/>
      <c r="L145" s="498"/>
      <c r="M145" s="496" t="s">
        <v>943</v>
      </c>
      <c r="N145" s="497"/>
      <c r="O145" s="497"/>
      <c r="P145" s="498"/>
      <c r="Q145" s="480" t="s">
        <v>834</v>
      </c>
      <c r="R145" s="479">
        <v>46148</v>
      </c>
      <c r="S145" s="479">
        <v>46148</v>
      </c>
      <c r="T145" s="480" t="s">
        <v>41</v>
      </c>
      <c r="U145" s="458"/>
      <c r="V145" s="460"/>
      <c r="W145" s="458"/>
    </row>
    <row r="146" spans="1:23" ht="14.45" hidden="1" customHeight="1" x14ac:dyDescent="0.25">
      <c r="A146" s="458">
        <v>138</v>
      </c>
      <c r="B146" s="477">
        <v>46148</v>
      </c>
      <c r="C146" s="478" t="s">
        <v>552</v>
      </c>
      <c r="D146" s="478" t="s">
        <v>728</v>
      </c>
      <c r="E146" s="478" t="s">
        <v>653</v>
      </c>
      <c r="F146" s="496" t="s">
        <v>944</v>
      </c>
      <c r="G146" s="497"/>
      <c r="H146" s="497"/>
      <c r="I146" s="498"/>
      <c r="J146" s="496" t="s">
        <v>945</v>
      </c>
      <c r="K146" s="497"/>
      <c r="L146" s="498"/>
      <c r="M146" s="496" t="s">
        <v>946</v>
      </c>
      <c r="N146" s="497"/>
      <c r="O146" s="497"/>
      <c r="P146" s="498"/>
      <c r="Q146" s="478" t="s">
        <v>649</v>
      </c>
      <c r="R146" s="477">
        <v>46178</v>
      </c>
      <c r="S146" s="477">
        <v>46178</v>
      </c>
      <c r="T146" s="478" t="s">
        <v>41</v>
      </c>
      <c r="U146" s="492" t="s">
        <v>916</v>
      </c>
      <c r="V146" s="460"/>
      <c r="W146" s="458"/>
    </row>
    <row r="147" spans="1:23" ht="14.45" hidden="1" customHeight="1" x14ac:dyDescent="0.25">
      <c r="A147" s="458">
        <v>139</v>
      </c>
      <c r="B147" s="479">
        <v>46148</v>
      </c>
      <c r="C147" s="480" t="s">
        <v>552</v>
      </c>
      <c r="D147" s="480" t="s">
        <v>728</v>
      </c>
      <c r="E147" s="480" t="s">
        <v>653</v>
      </c>
      <c r="F147" s="496" t="s">
        <v>947</v>
      </c>
      <c r="G147" s="497"/>
      <c r="H147" s="497"/>
      <c r="I147" s="498"/>
      <c r="J147" s="496" t="s">
        <v>19</v>
      </c>
      <c r="K147" s="497"/>
      <c r="L147" s="498"/>
      <c r="M147" s="496" t="s">
        <v>948</v>
      </c>
      <c r="N147" s="497"/>
      <c r="O147" s="497"/>
      <c r="P147" s="498"/>
      <c r="Q147" s="480" t="s">
        <v>657</v>
      </c>
      <c r="R147" s="479">
        <v>46178</v>
      </c>
      <c r="S147" s="479">
        <v>46170</v>
      </c>
      <c r="T147" s="480" t="s">
        <v>41</v>
      </c>
      <c r="U147" s="458"/>
      <c r="V147" s="460"/>
      <c r="W147" s="458"/>
    </row>
    <row r="148" spans="1:23" ht="14.45" hidden="1" customHeight="1" x14ac:dyDescent="0.25">
      <c r="A148" s="458">
        <v>140</v>
      </c>
      <c r="B148" s="477">
        <v>46148</v>
      </c>
      <c r="C148" s="478" t="s">
        <v>552</v>
      </c>
      <c r="D148" s="478" t="s">
        <v>728</v>
      </c>
      <c r="E148" s="478" t="s">
        <v>653</v>
      </c>
      <c r="F148" s="496" t="s">
        <v>949</v>
      </c>
      <c r="G148" s="497"/>
      <c r="H148" s="497"/>
      <c r="I148" s="498"/>
      <c r="J148" s="496" t="s">
        <v>19</v>
      </c>
      <c r="K148" s="497"/>
      <c r="L148" s="498"/>
      <c r="M148" s="496" t="s">
        <v>950</v>
      </c>
      <c r="N148" s="497"/>
      <c r="O148" s="497"/>
      <c r="P148" s="498"/>
      <c r="Q148" s="478" t="s">
        <v>657</v>
      </c>
      <c r="R148" s="477">
        <v>46178</v>
      </c>
      <c r="S148" s="477">
        <v>46170</v>
      </c>
      <c r="T148" s="478" t="s">
        <v>41</v>
      </c>
      <c r="U148" s="458"/>
      <c r="V148" s="460"/>
      <c r="W148" s="458"/>
    </row>
    <row r="149" spans="1:23" ht="14.45" hidden="1" customHeight="1" x14ac:dyDescent="0.25">
      <c r="A149" s="458">
        <v>141</v>
      </c>
      <c r="B149" s="479">
        <v>46148</v>
      </c>
      <c r="C149" s="480" t="s">
        <v>557</v>
      </c>
      <c r="D149" s="480" t="s">
        <v>728</v>
      </c>
      <c r="E149" s="480" t="s">
        <v>653</v>
      </c>
      <c r="F149" s="496" t="s">
        <v>951</v>
      </c>
      <c r="G149" s="497"/>
      <c r="H149" s="497"/>
      <c r="I149" s="498"/>
      <c r="J149" s="496" t="s">
        <v>18</v>
      </c>
      <c r="K149" s="497"/>
      <c r="L149" s="498"/>
      <c r="M149" s="496" t="s">
        <v>952</v>
      </c>
      <c r="N149" s="497"/>
      <c r="O149" s="497"/>
      <c r="P149" s="498"/>
      <c r="Q149" s="480" t="s">
        <v>649</v>
      </c>
      <c r="R149" s="479">
        <v>46178</v>
      </c>
      <c r="S149" s="479">
        <v>46178</v>
      </c>
      <c r="T149" s="480" t="s">
        <v>41</v>
      </c>
      <c r="U149" s="492" t="s">
        <v>916</v>
      </c>
      <c r="V149" s="460"/>
      <c r="W149" s="458"/>
    </row>
    <row r="150" spans="1:23" ht="14.45" hidden="1" customHeight="1" x14ac:dyDescent="0.25">
      <c r="A150" s="458">
        <v>142</v>
      </c>
      <c r="B150" s="477">
        <v>46148</v>
      </c>
      <c r="C150" s="478" t="s">
        <v>399</v>
      </c>
      <c r="D150" s="478" t="s">
        <v>737</v>
      </c>
      <c r="E150" s="478" t="s">
        <v>645</v>
      </c>
      <c r="F150" s="496" t="s">
        <v>953</v>
      </c>
      <c r="G150" s="497"/>
      <c r="H150" s="497"/>
      <c r="I150" s="498"/>
      <c r="J150" s="496" t="s">
        <v>954</v>
      </c>
      <c r="K150" s="497"/>
      <c r="L150" s="498"/>
      <c r="M150" s="496" t="s">
        <v>955</v>
      </c>
      <c r="N150" s="497"/>
      <c r="O150" s="497"/>
      <c r="P150" s="498"/>
      <c r="Q150" s="478" t="s">
        <v>649</v>
      </c>
      <c r="R150" s="477">
        <v>46178</v>
      </c>
      <c r="S150" s="477">
        <v>46160</v>
      </c>
      <c r="T150" s="478" t="s">
        <v>41</v>
      </c>
      <c r="U150" s="458"/>
      <c r="V150" s="460"/>
      <c r="W150" s="458"/>
    </row>
    <row r="151" spans="1:23" ht="14.45" hidden="1" customHeight="1" x14ac:dyDescent="0.25">
      <c r="A151" s="458">
        <v>143</v>
      </c>
      <c r="B151" s="479">
        <v>46148</v>
      </c>
      <c r="C151" s="480" t="s">
        <v>388</v>
      </c>
      <c r="D151" s="480" t="s">
        <v>737</v>
      </c>
      <c r="E151" s="480" t="s">
        <v>645</v>
      </c>
      <c r="F151" s="496" t="s">
        <v>956</v>
      </c>
      <c r="G151" s="497"/>
      <c r="H151" s="497"/>
      <c r="I151" s="498"/>
      <c r="J151" s="496" t="s">
        <v>730</v>
      </c>
      <c r="K151" s="497"/>
      <c r="L151" s="498"/>
      <c r="M151" s="496" t="s">
        <v>957</v>
      </c>
      <c r="N151" s="497"/>
      <c r="O151" s="497"/>
      <c r="P151" s="498"/>
      <c r="Q151" s="480" t="s">
        <v>649</v>
      </c>
      <c r="R151" s="479">
        <v>46178</v>
      </c>
      <c r="S151" s="479">
        <v>46160</v>
      </c>
      <c r="T151" s="480" t="s">
        <v>41</v>
      </c>
      <c r="U151" s="458"/>
      <c r="V151" s="460"/>
      <c r="W151" s="458"/>
    </row>
    <row r="152" spans="1:23" ht="14.45" hidden="1" customHeight="1" x14ac:dyDescent="0.25">
      <c r="A152" s="458">
        <v>144</v>
      </c>
      <c r="B152" s="477">
        <v>46148</v>
      </c>
      <c r="C152" s="478" t="s">
        <v>380</v>
      </c>
      <c r="D152" s="478" t="s">
        <v>737</v>
      </c>
      <c r="E152" s="478" t="s">
        <v>645</v>
      </c>
      <c r="F152" s="496" t="s">
        <v>958</v>
      </c>
      <c r="G152" s="497"/>
      <c r="H152" s="497"/>
      <c r="I152" s="498"/>
      <c r="J152" s="496" t="s">
        <v>18</v>
      </c>
      <c r="K152" s="497"/>
      <c r="L152" s="498"/>
      <c r="M152" s="496" t="s">
        <v>957</v>
      </c>
      <c r="N152" s="497"/>
      <c r="O152" s="497"/>
      <c r="P152" s="498"/>
      <c r="Q152" s="478" t="s">
        <v>649</v>
      </c>
      <c r="R152" s="477">
        <v>46178</v>
      </c>
      <c r="S152" s="477">
        <v>46160</v>
      </c>
      <c r="T152" s="478" t="s">
        <v>41</v>
      </c>
      <c r="U152" s="458"/>
      <c r="V152" s="460"/>
      <c r="W152" s="458"/>
    </row>
    <row r="153" spans="1:23" ht="14.45" hidden="1" customHeight="1" x14ac:dyDescent="0.25">
      <c r="A153" s="458">
        <v>145</v>
      </c>
      <c r="B153" s="479">
        <v>46148</v>
      </c>
      <c r="C153" s="480" t="s">
        <v>959</v>
      </c>
      <c r="D153" s="480" t="s">
        <v>739</v>
      </c>
      <c r="E153" s="480" t="s">
        <v>830</v>
      </c>
      <c r="F153" s="496" t="s">
        <v>960</v>
      </c>
      <c r="G153" s="497"/>
      <c r="H153" s="497"/>
      <c r="I153" s="498"/>
      <c r="J153" s="496" t="s">
        <v>730</v>
      </c>
      <c r="K153" s="497"/>
      <c r="L153" s="498"/>
      <c r="M153" s="496" t="s">
        <v>961</v>
      </c>
      <c r="N153" s="497"/>
      <c r="O153" s="497"/>
      <c r="P153" s="498"/>
      <c r="Q153" s="480" t="s">
        <v>834</v>
      </c>
      <c r="R153" s="479">
        <v>46148</v>
      </c>
      <c r="S153" s="479">
        <v>46148</v>
      </c>
      <c r="T153" s="480" t="s">
        <v>41</v>
      </c>
      <c r="U153" s="458"/>
      <c r="V153" s="460"/>
      <c r="W153" s="458"/>
    </row>
    <row r="154" spans="1:23" ht="14.45" hidden="1" customHeight="1" x14ac:dyDescent="0.25">
      <c r="A154" s="458">
        <v>146</v>
      </c>
      <c r="B154" s="477">
        <v>46148</v>
      </c>
      <c r="C154" s="478" t="s">
        <v>436</v>
      </c>
      <c r="D154" s="478" t="s">
        <v>739</v>
      </c>
      <c r="E154" s="478" t="s">
        <v>830</v>
      </c>
      <c r="F154" s="496" t="s">
        <v>438</v>
      </c>
      <c r="G154" s="497"/>
      <c r="H154" s="497"/>
      <c r="I154" s="498"/>
      <c r="J154" s="496" t="s">
        <v>18</v>
      </c>
      <c r="K154" s="497"/>
      <c r="L154" s="498"/>
      <c r="M154" s="496" t="s">
        <v>957</v>
      </c>
      <c r="N154" s="497"/>
      <c r="O154" s="497"/>
      <c r="P154" s="498"/>
      <c r="Q154" s="478" t="s">
        <v>834</v>
      </c>
      <c r="R154" s="477">
        <v>46178</v>
      </c>
      <c r="S154" s="477">
        <v>46148</v>
      </c>
      <c r="T154" s="478" t="s">
        <v>41</v>
      </c>
      <c r="U154" s="458"/>
      <c r="V154" s="460"/>
      <c r="W154" s="458"/>
    </row>
    <row r="155" spans="1:23" ht="14.45" hidden="1" customHeight="1" x14ac:dyDescent="0.25">
      <c r="A155" s="458">
        <v>147</v>
      </c>
      <c r="B155" s="479">
        <v>46190</v>
      </c>
      <c r="C155" s="480" t="s">
        <v>454</v>
      </c>
      <c r="D155" s="480" t="s">
        <v>664</v>
      </c>
      <c r="E155" s="480" t="s">
        <v>645</v>
      </c>
      <c r="F155" s="496" t="s">
        <v>962</v>
      </c>
      <c r="G155" s="497"/>
      <c r="H155" s="497"/>
      <c r="I155" s="498"/>
      <c r="J155" s="496" t="s">
        <v>963</v>
      </c>
      <c r="K155" s="497"/>
      <c r="L155" s="498"/>
      <c r="M155" s="496" t="s">
        <v>964</v>
      </c>
      <c r="N155" s="497"/>
      <c r="O155" s="497"/>
      <c r="P155" s="498"/>
      <c r="Q155" s="480" t="s">
        <v>649</v>
      </c>
      <c r="R155" s="479">
        <v>46220</v>
      </c>
      <c r="S155" s="479">
        <v>46220</v>
      </c>
      <c r="T155" s="480" t="s">
        <v>41</v>
      </c>
      <c r="U155" s="492" t="s">
        <v>916</v>
      </c>
      <c r="V155" s="460"/>
      <c r="W155" s="458"/>
    </row>
    <row r="156" spans="1:23" ht="14.45" hidden="1" customHeight="1" x14ac:dyDescent="0.25">
      <c r="A156" s="458">
        <v>148</v>
      </c>
      <c r="B156" s="477">
        <v>46190</v>
      </c>
      <c r="C156" s="478" t="s">
        <v>965</v>
      </c>
      <c r="D156" s="478" t="s">
        <v>664</v>
      </c>
      <c r="E156" s="478" t="s">
        <v>653</v>
      </c>
      <c r="F156" s="496" t="s">
        <v>966</v>
      </c>
      <c r="G156" s="497"/>
      <c r="H156" s="497"/>
      <c r="I156" s="498"/>
      <c r="J156" s="496" t="s">
        <v>832</v>
      </c>
      <c r="K156" s="497"/>
      <c r="L156" s="498"/>
      <c r="M156" s="496" t="s">
        <v>967</v>
      </c>
      <c r="N156" s="497"/>
      <c r="O156" s="497"/>
      <c r="P156" s="498"/>
      <c r="Q156" s="478" t="s">
        <v>657</v>
      </c>
      <c r="R156" s="477">
        <v>46220</v>
      </c>
      <c r="S156" s="477">
        <v>46220</v>
      </c>
      <c r="T156" s="478" t="s">
        <v>41</v>
      </c>
      <c r="U156" s="492" t="s">
        <v>916</v>
      </c>
      <c r="V156" s="460"/>
      <c r="W156" s="458"/>
    </row>
    <row r="157" spans="1:23" ht="14.45" hidden="1" customHeight="1" x14ac:dyDescent="0.25">
      <c r="A157" s="458">
        <v>149</v>
      </c>
      <c r="B157" s="479">
        <v>46190</v>
      </c>
      <c r="C157" s="480" t="s">
        <v>501</v>
      </c>
      <c r="D157" s="480" t="s">
        <v>664</v>
      </c>
      <c r="E157" s="480" t="s">
        <v>653</v>
      </c>
      <c r="F157" s="496" t="s">
        <v>968</v>
      </c>
      <c r="G157" s="497"/>
      <c r="H157" s="497"/>
      <c r="I157" s="498"/>
      <c r="J157" s="496" t="s">
        <v>712</v>
      </c>
      <c r="K157" s="497"/>
      <c r="L157" s="498"/>
      <c r="M157" s="496" t="s">
        <v>969</v>
      </c>
      <c r="N157" s="497"/>
      <c r="O157" s="497"/>
      <c r="P157" s="498"/>
      <c r="Q157" s="480" t="s">
        <v>657</v>
      </c>
      <c r="R157" s="479">
        <v>46220</v>
      </c>
      <c r="S157" s="479">
        <v>46220</v>
      </c>
      <c r="T157" s="480" t="s">
        <v>41</v>
      </c>
      <c r="U157" s="492" t="s">
        <v>916</v>
      </c>
      <c r="V157" s="460"/>
      <c r="W157" s="458"/>
    </row>
    <row r="158" spans="1:23" ht="14.45" hidden="1" customHeight="1" x14ac:dyDescent="0.25">
      <c r="A158" s="458">
        <v>150</v>
      </c>
      <c r="B158" s="477">
        <v>46190</v>
      </c>
      <c r="C158" s="478" t="s">
        <v>501</v>
      </c>
      <c r="D158" s="478" t="s">
        <v>664</v>
      </c>
      <c r="E158" s="478" t="s">
        <v>653</v>
      </c>
      <c r="F158" s="496" t="s">
        <v>970</v>
      </c>
      <c r="G158" s="497"/>
      <c r="H158" s="497"/>
      <c r="I158" s="498"/>
      <c r="J158" s="496" t="s">
        <v>832</v>
      </c>
      <c r="K158" s="497"/>
      <c r="L158" s="498"/>
      <c r="M158" s="496" t="s">
        <v>969</v>
      </c>
      <c r="N158" s="497"/>
      <c r="O158" s="497"/>
      <c r="P158" s="498"/>
      <c r="Q158" s="478" t="s">
        <v>657</v>
      </c>
      <c r="R158" s="477">
        <v>46220</v>
      </c>
      <c r="S158" s="477">
        <v>46212</v>
      </c>
      <c r="T158" s="478" t="s">
        <v>41</v>
      </c>
      <c r="U158" s="458"/>
      <c r="V158" s="460"/>
      <c r="W158" s="458"/>
    </row>
    <row r="159" spans="1:23" ht="14.45" hidden="1" customHeight="1" x14ac:dyDescent="0.25">
      <c r="A159" s="458">
        <v>151</v>
      </c>
      <c r="B159" s="479">
        <v>46190</v>
      </c>
      <c r="C159" s="480" t="s">
        <v>504</v>
      </c>
      <c r="D159" s="480" t="s">
        <v>664</v>
      </c>
      <c r="E159" s="480" t="s">
        <v>653</v>
      </c>
      <c r="F159" s="496" t="s">
        <v>971</v>
      </c>
      <c r="G159" s="497"/>
      <c r="H159" s="497"/>
      <c r="I159" s="498"/>
      <c r="J159" s="496" t="s">
        <v>666</v>
      </c>
      <c r="K159" s="497"/>
      <c r="L159" s="498"/>
      <c r="M159" s="496" t="s">
        <v>972</v>
      </c>
      <c r="N159" s="497"/>
      <c r="O159" s="497"/>
      <c r="P159" s="498"/>
      <c r="Q159" s="480" t="s">
        <v>657</v>
      </c>
      <c r="R159" s="479">
        <v>46220</v>
      </c>
      <c r="S159" s="479">
        <v>46212</v>
      </c>
      <c r="T159" s="480" t="s">
        <v>41</v>
      </c>
      <c r="U159" s="458"/>
      <c r="V159" s="460"/>
      <c r="W159" s="458"/>
    </row>
    <row r="160" spans="1:23" ht="14.45" hidden="1" customHeight="1" x14ac:dyDescent="0.25">
      <c r="A160" s="458">
        <v>152</v>
      </c>
      <c r="B160" s="477">
        <v>46190</v>
      </c>
      <c r="C160" s="478" t="s">
        <v>475</v>
      </c>
      <c r="D160" s="478" t="s">
        <v>664</v>
      </c>
      <c r="E160" s="478" t="s">
        <v>653</v>
      </c>
      <c r="F160" s="496" t="s">
        <v>973</v>
      </c>
      <c r="G160" s="497"/>
      <c r="H160" s="497"/>
      <c r="I160" s="498"/>
      <c r="J160" s="496" t="s">
        <v>666</v>
      </c>
      <c r="K160" s="497"/>
      <c r="L160" s="498"/>
      <c r="M160" s="496" t="s">
        <v>974</v>
      </c>
      <c r="N160" s="497"/>
      <c r="O160" s="497"/>
      <c r="P160" s="498"/>
      <c r="Q160" s="478" t="s">
        <v>657</v>
      </c>
      <c r="R160" s="477">
        <v>46220</v>
      </c>
      <c r="S160" s="477">
        <v>46212</v>
      </c>
      <c r="T160" s="478" t="s">
        <v>41</v>
      </c>
      <c r="U160" s="458"/>
      <c r="V160" s="460"/>
      <c r="W160" s="458"/>
    </row>
    <row r="161" spans="1:23" ht="14.45" hidden="1" customHeight="1" x14ac:dyDescent="0.25">
      <c r="A161" s="458">
        <v>153</v>
      </c>
      <c r="B161" s="479">
        <v>46190</v>
      </c>
      <c r="C161" s="480" t="s">
        <v>429</v>
      </c>
      <c r="D161" s="480" t="s">
        <v>664</v>
      </c>
      <c r="E161" s="480" t="s">
        <v>653</v>
      </c>
      <c r="F161" s="496" t="s">
        <v>975</v>
      </c>
      <c r="G161" s="497"/>
      <c r="H161" s="497"/>
      <c r="I161" s="498"/>
      <c r="J161" s="496" t="s">
        <v>733</v>
      </c>
      <c r="K161" s="497"/>
      <c r="L161" s="498"/>
      <c r="M161" s="496" t="s">
        <v>734</v>
      </c>
      <c r="N161" s="497"/>
      <c r="O161" s="497"/>
      <c r="P161" s="498"/>
      <c r="Q161" s="480" t="s">
        <v>657</v>
      </c>
      <c r="R161" s="479">
        <v>46220</v>
      </c>
      <c r="S161" s="479">
        <v>46212</v>
      </c>
      <c r="T161" s="480" t="s">
        <v>41</v>
      </c>
      <c r="U161" s="458"/>
      <c r="V161" s="460"/>
      <c r="W161" s="458"/>
    </row>
    <row r="162" spans="1:23" ht="14.45" hidden="1" customHeight="1" x14ac:dyDescent="0.25">
      <c r="A162" s="458">
        <v>154</v>
      </c>
      <c r="B162" s="477">
        <v>46190</v>
      </c>
      <c r="C162" s="478" t="s">
        <v>475</v>
      </c>
      <c r="D162" s="478" t="s">
        <v>664</v>
      </c>
      <c r="E162" s="478" t="s">
        <v>653</v>
      </c>
      <c r="F162" s="496" t="s">
        <v>976</v>
      </c>
      <c r="G162" s="497"/>
      <c r="H162" s="497"/>
      <c r="I162" s="498"/>
      <c r="J162" s="496" t="s">
        <v>708</v>
      </c>
      <c r="K162" s="497"/>
      <c r="L162" s="498"/>
      <c r="M162" s="496" t="s">
        <v>977</v>
      </c>
      <c r="N162" s="497"/>
      <c r="O162" s="497"/>
      <c r="P162" s="498"/>
      <c r="Q162" s="478" t="s">
        <v>657</v>
      </c>
      <c r="R162" s="477">
        <v>46220</v>
      </c>
      <c r="S162" s="477">
        <v>46212</v>
      </c>
      <c r="T162" s="478" t="s">
        <v>41</v>
      </c>
      <c r="U162" s="458"/>
      <c r="V162" s="460"/>
      <c r="W162" s="458"/>
    </row>
    <row r="163" spans="1:23" ht="14.45" hidden="1" customHeight="1" x14ac:dyDescent="0.25">
      <c r="A163" s="458">
        <v>155</v>
      </c>
      <c r="B163" s="479">
        <v>46190</v>
      </c>
      <c r="C163" s="480" t="s">
        <v>485</v>
      </c>
      <c r="D163" s="480" t="s">
        <v>664</v>
      </c>
      <c r="E163" s="480" t="s">
        <v>653</v>
      </c>
      <c r="F163" s="496" t="s">
        <v>978</v>
      </c>
      <c r="G163" s="497"/>
      <c r="H163" s="497"/>
      <c r="I163" s="498"/>
      <c r="J163" s="496" t="s">
        <v>712</v>
      </c>
      <c r="K163" s="497"/>
      <c r="L163" s="498"/>
      <c r="M163" s="496" t="s">
        <v>979</v>
      </c>
      <c r="N163" s="497"/>
      <c r="O163" s="497"/>
      <c r="P163" s="498"/>
      <c r="Q163" s="480" t="s">
        <v>657</v>
      </c>
      <c r="R163" s="479">
        <v>46220</v>
      </c>
      <c r="S163" s="479">
        <v>46212</v>
      </c>
      <c r="T163" s="480" t="s">
        <v>41</v>
      </c>
      <c r="U163" s="458"/>
      <c r="V163" s="460"/>
      <c r="W163" s="458"/>
    </row>
    <row r="164" spans="1:23" ht="14.45" hidden="1" customHeight="1" x14ac:dyDescent="0.25">
      <c r="A164" s="458">
        <v>156</v>
      </c>
      <c r="B164" s="477">
        <v>46190</v>
      </c>
      <c r="C164" s="478" t="s">
        <v>482</v>
      </c>
      <c r="D164" s="478" t="s">
        <v>980</v>
      </c>
      <c r="E164" s="478" t="s">
        <v>645</v>
      </c>
      <c r="F164" s="496" t="s">
        <v>981</v>
      </c>
      <c r="G164" s="497"/>
      <c r="H164" s="497"/>
      <c r="I164" s="498"/>
      <c r="J164" s="496" t="s">
        <v>712</v>
      </c>
      <c r="K164" s="497"/>
      <c r="L164" s="498"/>
      <c r="M164" s="496" t="s">
        <v>982</v>
      </c>
      <c r="N164" s="497"/>
      <c r="O164" s="497"/>
      <c r="P164" s="498"/>
      <c r="Q164" s="478" t="s">
        <v>649</v>
      </c>
      <c r="R164" s="477">
        <v>46220</v>
      </c>
      <c r="S164" s="477">
        <v>46220</v>
      </c>
      <c r="T164" s="478" t="s">
        <v>41</v>
      </c>
      <c r="U164" s="492" t="s">
        <v>916</v>
      </c>
      <c r="V164" s="460"/>
      <c r="W164" s="458"/>
    </row>
    <row r="165" spans="1:23" ht="14.45" hidden="1" customHeight="1" x14ac:dyDescent="0.25">
      <c r="A165" s="458">
        <v>157</v>
      </c>
      <c r="B165" s="479">
        <v>46190</v>
      </c>
      <c r="C165" s="480" t="s">
        <v>501</v>
      </c>
      <c r="D165" s="480" t="s">
        <v>664</v>
      </c>
      <c r="E165" s="480" t="s">
        <v>653</v>
      </c>
      <c r="F165" s="496" t="s">
        <v>970</v>
      </c>
      <c r="G165" s="497"/>
      <c r="H165" s="497"/>
      <c r="I165" s="498"/>
      <c r="J165" s="496" t="s">
        <v>712</v>
      </c>
      <c r="K165" s="497"/>
      <c r="L165" s="498"/>
      <c r="M165" s="496" t="s">
        <v>983</v>
      </c>
      <c r="N165" s="497"/>
      <c r="O165" s="497"/>
      <c r="P165" s="498"/>
      <c r="Q165" s="480" t="s">
        <v>657</v>
      </c>
      <c r="R165" s="479">
        <v>46220</v>
      </c>
      <c r="S165" s="479">
        <v>46212</v>
      </c>
      <c r="T165" s="480" t="s">
        <v>41</v>
      </c>
      <c r="U165" s="458"/>
      <c r="V165" s="460"/>
      <c r="W165" s="458"/>
    </row>
    <row r="166" spans="1:23" ht="14.45" hidden="1" customHeight="1" x14ac:dyDescent="0.25">
      <c r="A166" s="458">
        <v>158</v>
      </c>
      <c r="B166" s="477">
        <v>46190</v>
      </c>
      <c r="C166" s="478" t="s">
        <v>501</v>
      </c>
      <c r="D166" s="478" t="s">
        <v>664</v>
      </c>
      <c r="E166" s="478" t="s">
        <v>653</v>
      </c>
      <c r="F166" s="496" t="s">
        <v>984</v>
      </c>
      <c r="G166" s="497"/>
      <c r="H166" s="497"/>
      <c r="I166" s="498"/>
      <c r="J166" s="496" t="s">
        <v>712</v>
      </c>
      <c r="K166" s="497"/>
      <c r="L166" s="498"/>
      <c r="M166" s="496" t="s">
        <v>985</v>
      </c>
      <c r="N166" s="497"/>
      <c r="O166" s="497"/>
      <c r="P166" s="498"/>
      <c r="Q166" s="478" t="s">
        <v>657</v>
      </c>
      <c r="R166" s="477">
        <v>46220</v>
      </c>
      <c r="S166" s="477">
        <v>46212</v>
      </c>
      <c r="T166" s="478" t="s">
        <v>41</v>
      </c>
      <c r="U166" s="458"/>
      <c r="V166" s="460"/>
      <c r="W166" s="458"/>
    </row>
    <row r="167" spans="1:23" ht="14.45" hidden="1" customHeight="1" x14ac:dyDescent="0.25">
      <c r="A167" s="458">
        <v>159</v>
      </c>
      <c r="B167" s="479">
        <v>46190</v>
      </c>
      <c r="C167" s="480" t="s">
        <v>475</v>
      </c>
      <c r="D167" s="480" t="s">
        <v>664</v>
      </c>
      <c r="E167" s="480" t="s">
        <v>653</v>
      </c>
      <c r="F167" s="496" t="s">
        <v>986</v>
      </c>
      <c r="G167" s="497"/>
      <c r="H167" s="497"/>
      <c r="I167" s="498"/>
      <c r="J167" s="496" t="s">
        <v>712</v>
      </c>
      <c r="K167" s="497"/>
      <c r="L167" s="498"/>
      <c r="M167" s="496" t="s">
        <v>987</v>
      </c>
      <c r="N167" s="497"/>
      <c r="O167" s="497"/>
      <c r="P167" s="498"/>
      <c r="Q167" s="480" t="s">
        <v>657</v>
      </c>
      <c r="R167" s="479">
        <v>46220</v>
      </c>
      <c r="S167" s="479">
        <v>46212</v>
      </c>
      <c r="T167" s="480" t="s">
        <v>41</v>
      </c>
      <c r="U167" s="458"/>
      <c r="V167" s="460"/>
      <c r="W167" s="458"/>
    </row>
    <row r="168" spans="1:23" ht="14.45" hidden="1" customHeight="1" x14ac:dyDescent="0.25">
      <c r="A168" s="458">
        <v>160</v>
      </c>
      <c r="B168" s="477">
        <v>46190</v>
      </c>
      <c r="C168" s="478" t="s">
        <v>475</v>
      </c>
      <c r="D168" s="478" t="s">
        <v>664</v>
      </c>
      <c r="E168" s="478" t="s">
        <v>645</v>
      </c>
      <c r="F168" s="496" t="s">
        <v>988</v>
      </c>
      <c r="G168" s="497"/>
      <c r="H168" s="497"/>
      <c r="I168" s="498"/>
      <c r="J168" s="496" t="s">
        <v>712</v>
      </c>
      <c r="K168" s="497"/>
      <c r="L168" s="498"/>
      <c r="M168" s="496" t="s">
        <v>989</v>
      </c>
      <c r="N168" s="497"/>
      <c r="O168" s="497"/>
      <c r="P168" s="498"/>
      <c r="Q168" s="478" t="s">
        <v>649</v>
      </c>
      <c r="R168" s="477">
        <v>46220</v>
      </c>
      <c r="S168" s="477">
        <v>46220</v>
      </c>
      <c r="T168" s="478" t="s">
        <v>41</v>
      </c>
      <c r="U168" s="458"/>
      <c r="V168" s="460"/>
      <c r="W168" s="458"/>
    </row>
    <row r="169" spans="1:23" ht="14.45" hidden="1" customHeight="1" x14ac:dyDescent="0.25">
      <c r="A169" s="458">
        <v>161</v>
      </c>
      <c r="B169" s="479">
        <v>46190</v>
      </c>
      <c r="C169" s="480" t="s">
        <v>475</v>
      </c>
      <c r="D169" s="480" t="s">
        <v>664</v>
      </c>
      <c r="E169" s="480" t="s">
        <v>653</v>
      </c>
      <c r="F169" s="496" t="s">
        <v>990</v>
      </c>
      <c r="G169" s="497"/>
      <c r="H169" s="497"/>
      <c r="I169" s="498"/>
      <c r="J169" s="496" t="s">
        <v>832</v>
      </c>
      <c r="K169" s="497"/>
      <c r="L169" s="498"/>
      <c r="M169" s="496" t="s">
        <v>991</v>
      </c>
      <c r="N169" s="497"/>
      <c r="O169" s="497"/>
      <c r="P169" s="498"/>
      <c r="Q169" s="480" t="s">
        <v>657</v>
      </c>
      <c r="R169" s="479">
        <v>46220</v>
      </c>
      <c r="S169" s="479">
        <v>46212</v>
      </c>
      <c r="T169" s="480" t="s">
        <v>41</v>
      </c>
      <c r="U169" s="458"/>
      <c r="V169" s="460"/>
      <c r="W169" s="458"/>
    </row>
    <row r="170" spans="1:23" ht="14.45" hidden="1" customHeight="1" x14ac:dyDescent="0.25">
      <c r="A170" s="458">
        <v>162</v>
      </c>
      <c r="B170" s="477">
        <v>46190</v>
      </c>
      <c r="C170" s="478" t="s">
        <v>536</v>
      </c>
      <c r="D170" s="478" t="s">
        <v>728</v>
      </c>
      <c r="E170" s="478" t="s">
        <v>645</v>
      </c>
      <c r="F170" s="496" t="s">
        <v>992</v>
      </c>
      <c r="G170" s="497"/>
      <c r="H170" s="497"/>
      <c r="I170" s="498"/>
      <c r="J170" s="496" t="s">
        <v>730</v>
      </c>
      <c r="K170" s="497"/>
      <c r="L170" s="498"/>
      <c r="M170" s="496" t="s">
        <v>898</v>
      </c>
      <c r="N170" s="497"/>
      <c r="O170" s="497"/>
      <c r="P170" s="498"/>
      <c r="Q170" s="478" t="s">
        <v>657</v>
      </c>
      <c r="R170" s="477">
        <v>46220</v>
      </c>
      <c r="S170" s="477">
        <v>46212</v>
      </c>
      <c r="T170" s="478" t="s">
        <v>41</v>
      </c>
      <c r="U170" s="458"/>
      <c r="V170" s="460"/>
      <c r="W170" s="458"/>
    </row>
    <row r="171" spans="1:23" ht="14.45" hidden="1" customHeight="1" x14ac:dyDescent="0.25">
      <c r="A171" s="458">
        <v>163</v>
      </c>
      <c r="B171" s="479">
        <v>46190</v>
      </c>
      <c r="C171" s="480" t="s">
        <v>526</v>
      </c>
      <c r="D171" s="480" t="s">
        <v>728</v>
      </c>
      <c r="E171" s="480" t="s">
        <v>645</v>
      </c>
      <c r="F171" s="496" t="s">
        <v>993</v>
      </c>
      <c r="G171" s="497"/>
      <c r="H171" s="497"/>
      <c r="I171" s="498"/>
      <c r="J171" s="496" t="s">
        <v>994</v>
      </c>
      <c r="K171" s="497"/>
      <c r="L171" s="498"/>
      <c r="M171" s="496" t="s">
        <v>648</v>
      </c>
      <c r="N171" s="497"/>
      <c r="O171" s="497"/>
      <c r="P171" s="498"/>
      <c r="Q171" s="478" t="s">
        <v>649</v>
      </c>
      <c r="R171" s="479">
        <v>46220</v>
      </c>
      <c r="S171" s="479">
        <v>46220</v>
      </c>
      <c r="T171" s="480" t="s">
        <v>41</v>
      </c>
      <c r="U171" s="492" t="s">
        <v>916</v>
      </c>
      <c r="V171" s="460"/>
      <c r="W171" s="458"/>
    </row>
    <row r="172" spans="1:23" ht="14.45" hidden="1" customHeight="1" x14ac:dyDescent="0.25">
      <c r="A172" s="458">
        <v>164</v>
      </c>
      <c r="B172" s="477">
        <v>46190</v>
      </c>
      <c r="C172" s="478" t="s">
        <v>526</v>
      </c>
      <c r="D172" s="478" t="s">
        <v>728</v>
      </c>
      <c r="E172" s="478" t="s">
        <v>645</v>
      </c>
      <c r="F172" s="496" t="s">
        <v>995</v>
      </c>
      <c r="G172" s="497"/>
      <c r="H172" s="497"/>
      <c r="I172" s="498"/>
      <c r="J172" s="496" t="s">
        <v>996</v>
      </c>
      <c r="K172" s="497"/>
      <c r="L172" s="498"/>
      <c r="M172" s="496" t="s">
        <v>997</v>
      </c>
      <c r="N172" s="497"/>
      <c r="O172" s="497"/>
      <c r="P172" s="498"/>
      <c r="Q172" s="478" t="s">
        <v>649</v>
      </c>
      <c r="R172" s="477">
        <v>46220</v>
      </c>
      <c r="S172" s="477">
        <v>46220</v>
      </c>
      <c r="T172" s="478" t="s">
        <v>41</v>
      </c>
      <c r="U172" s="492" t="s">
        <v>916</v>
      </c>
      <c r="V172" s="460"/>
      <c r="W172" s="458"/>
    </row>
    <row r="173" spans="1:23" ht="14.45" hidden="1" customHeight="1" x14ac:dyDescent="0.25">
      <c r="A173" s="458">
        <v>165</v>
      </c>
      <c r="B173" s="479">
        <v>46190</v>
      </c>
      <c r="C173" s="480" t="s">
        <v>552</v>
      </c>
      <c r="D173" s="480" t="s">
        <v>728</v>
      </c>
      <c r="E173" s="480" t="s">
        <v>653</v>
      </c>
      <c r="F173" s="496" t="s">
        <v>998</v>
      </c>
      <c r="G173" s="497"/>
      <c r="H173" s="497"/>
      <c r="I173" s="498"/>
      <c r="J173" s="496" t="s">
        <v>999</v>
      </c>
      <c r="K173" s="497"/>
      <c r="L173" s="498"/>
      <c r="M173" s="496" t="s">
        <v>894</v>
      </c>
      <c r="N173" s="497"/>
      <c r="O173" s="497"/>
      <c r="P173" s="498"/>
      <c r="Q173" s="478" t="s">
        <v>657</v>
      </c>
      <c r="R173" s="479">
        <v>46220</v>
      </c>
      <c r="S173" s="479">
        <v>46220</v>
      </c>
      <c r="T173" s="480" t="s">
        <v>41</v>
      </c>
      <c r="U173" s="492" t="s">
        <v>916</v>
      </c>
      <c r="V173" s="460"/>
      <c r="W173" s="458"/>
    </row>
    <row r="174" spans="1:23" ht="14.45" hidden="1" customHeight="1" x14ac:dyDescent="0.25">
      <c r="A174" s="458">
        <v>166</v>
      </c>
      <c r="B174" s="477">
        <v>46190</v>
      </c>
      <c r="C174" s="478" t="s">
        <v>536</v>
      </c>
      <c r="D174" s="478" t="s">
        <v>728</v>
      </c>
      <c r="E174" s="478" t="s">
        <v>710</v>
      </c>
      <c r="F174" s="496" t="s">
        <v>1000</v>
      </c>
      <c r="G174" s="497"/>
      <c r="H174" s="497"/>
      <c r="I174" s="498"/>
      <c r="J174" s="496" t="s">
        <v>712</v>
      </c>
      <c r="K174" s="497"/>
      <c r="L174" s="498"/>
      <c r="M174" s="496" t="s">
        <v>898</v>
      </c>
      <c r="N174" s="497"/>
      <c r="O174" s="497"/>
      <c r="P174" s="498"/>
      <c r="Q174" s="478" t="s">
        <v>714</v>
      </c>
      <c r="R174" s="477">
        <v>46220</v>
      </c>
      <c r="S174" s="477">
        <v>46220</v>
      </c>
      <c r="T174" s="478" t="s">
        <v>41</v>
      </c>
      <c r="U174" s="492" t="s">
        <v>916</v>
      </c>
      <c r="V174" s="460"/>
      <c r="W174" s="458"/>
    </row>
    <row r="175" spans="1:23" ht="14.45" hidden="1" customHeight="1" x14ac:dyDescent="0.25">
      <c r="A175" s="458">
        <v>167</v>
      </c>
      <c r="B175" s="479">
        <v>46190</v>
      </c>
      <c r="C175" s="480" t="s">
        <v>552</v>
      </c>
      <c r="D175" s="480" t="s">
        <v>728</v>
      </c>
      <c r="E175" s="480" t="s">
        <v>653</v>
      </c>
      <c r="F175" s="496" t="s">
        <v>1001</v>
      </c>
      <c r="G175" s="497"/>
      <c r="H175" s="497"/>
      <c r="I175" s="498"/>
      <c r="J175" s="496" t="s">
        <v>832</v>
      </c>
      <c r="K175" s="497"/>
      <c r="L175" s="498"/>
      <c r="M175" s="496" t="s">
        <v>734</v>
      </c>
      <c r="N175" s="497"/>
      <c r="O175" s="497"/>
      <c r="P175" s="498"/>
      <c r="Q175" s="478" t="s">
        <v>657</v>
      </c>
      <c r="R175" s="479">
        <v>46220</v>
      </c>
      <c r="S175" s="479">
        <v>46220</v>
      </c>
      <c r="T175" s="480" t="s">
        <v>41</v>
      </c>
      <c r="U175" s="492" t="s">
        <v>916</v>
      </c>
      <c r="V175" s="460"/>
      <c r="W175" s="458"/>
    </row>
    <row r="176" spans="1:23" ht="14.45" hidden="1" customHeight="1" x14ac:dyDescent="0.25">
      <c r="A176" s="458">
        <v>168</v>
      </c>
      <c r="B176" s="477">
        <v>46190</v>
      </c>
      <c r="C176" s="478" t="s">
        <v>536</v>
      </c>
      <c r="D176" s="478" t="s">
        <v>728</v>
      </c>
      <c r="E176" s="478" t="s">
        <v>653</v>
      </c>
      <c r="F176" s="496" t="s">
        <v>1002</v>
      </c>
      <c r="G176" s="497"/>
      <c r="H176" s="497"/>
      <c r="I176" s="498"/>
      <c r="J176" s="496" t="s">
        <v>832</v>
      </c>
      <c r="K176" s="497"/>
      <c r="L176" s="498"/>
      <c r="M176" s="496" t="s">
        <v>952</v>
      </c>
      <c r="N176" s="497"/>
      <c r="O176" s="497"/>
      <c r="P176" s="498"/>
      <c r="Q176" s="478" t="s">
        <v>657</v>
      </c>
      <c r="R176" s="477">
        <v>46220</v>
      </c>
      <c r="S176" s="477">
        <v>46220</v>
      </c>
      <c r="T176" s="478" t="s">
        <v>41</v>
      </c>
      <c r="U176" s="492" t="s">
        <v>916</v>
      </c>
      <c r="V176" s="460"/>
      <c r="W176" s="458"/>
    </row>
    <row r="177" spans="1:23" ht="14.45" hidden="1" customHeight="1" x14ac:dyDescent="0.25">
      <c r="A177" s="458">
        <v>169</v>
      </c>
      <c r="B177" s="479">
        <v>46190</v>
      </c>
      <c r="C177" s="480" t="s">
        <v>532</v>
      </c>
      <c r="D177" s="480" t="s">
        <v>728</v>
      </c>
      <c r="E177" s="480" t="s">
        <v>710</v>
      </c>
      <c r="F177" s="496" t="s">
        <v>1003</v>
      </c>
      <c r="G177" s="497"/>
      <c r="H177" s="497"/>
      <c r="I177" s="498"/>
      <c r="J177" s="496" t="s">
        <v>712</v>
      </c>
      <c r="K177" s="497"/>
      <c r="L177" s="498"/>
      <c r="M177" s="496" t="s">
        <v>1004</v>
      </c>
      <c r="N177" s="497"/>
      <c r="O177" s="497"/>
      <c r="P177" s="498"/>
      <c r="Q177" s="480" t="s">
        <v>714</v>
      </c>
      <c r="R177" s="479">
        <v>46220</v>
      </c>
      <c r="S177" s="479">
        <v>46238</v>
      </c>
      <c r="T177" s="480" t="s">
        <v>41</v>
      </c>
      <c r="U177" s="458"/>
      <c r="V177" s="460"/>
      <c r="W177" s="458"/>
    </row>
    <row r="178" spans="1:23" ht="14.45" hidden="1" customHeight="1" x14ac:dyDescent="0.25">
      <c r="A178" s="458">
        <v>170</v>
      </c>
      <c r="B178" s="477">
        <v>46190</v>
      </c>
      <c r="C178" s="478" t="s">
        <v>517</v>
      </c>
      <c r="D178" s="478" t="s">
        <v>728</v>
      </c>
      <c r="E178" s="478" t="s">
        <v>645</v>
      </c>
      <c r="F178" s="496" t="s">
        <v>1005</v>
      </c>
      <c r="G178" s="497"/>
      <c r="H178" s="497"/>
      <c r="I178" s="498"/>
      <c r="J178" s="496" t="s">
        <v>1006</v>
      </c>
      <c r="K178" s="497"/>
      <c r="L178" s="498"/>
      <c r="M178" s="496" t="s">
        <v>648</v>
      </c>
      <c r="N178" s="497"/>
      <c r="O178" s="497"/>
      <c r="P178" s="498"/>
      <c r="Q178" s="478" t="s">
        <v>657</v>
      </c>
      <c r="R178" s="477">
        <v>46220</v>
      </c>
      <c r="S178" s="477">
        <v>46220</v>
      </c>
      <c r="T178" s="478" t="s">
        <v>41</v>
      </c>
      <c r="U178" s="492" t="s">
        <v>916</v>
      </c>
      <c r="V178" s="460"/>
      <c r="W178" s="458"/>
    </row>
    <row r="179" spans="1:23" ht="14.45" hidden="1" customHeight="1" x14ac:dyDescent="0.25">
      <c r="A179" s="458">
        <v>171</v>
      </c>
      <c r="B179" s="479">
        <v>46190</v>
      </c>
      <c r="C179" s="480" t="s">
        <v>517</v>
      </c>
      <c r="D179" s="480" t="s">
        <v>728</v>
      </c>
      <c r="E179" s="480" t="s">
        <v>645</v>
      </c>
      <c r="F179" s="496" t="s">
        <v>1007</v>
      </c>
      <c r="G179" s="497"/>
      <c r="H179" s="497"/>
      <c r="I179" s="498"/>
      <c r="J179" s="496" t="s">
        <v>676</v>
      </c>
      <c r="K179" s="497"/>
      <c r="L179" s="498"/>
      <c r="M179" s="496" t="s">
        <v>1008</v>
      </c>
      <c r="N179" s="497"/>
      <c r="O179" s="497"/>
      <c r="P179" s="498"/>
      <c r="Q179" s="478" t="s">
        <v>714</v>
      </c>
      <c r="R179" s="479">
        <v>46220</v>
      </c>
      <c r="S179" s="479">
        <v>46220</v>
      </c>
      <c r="T179" s="480" t="s">
        <v>41</v>
      </c>
      <c r="U179" s="492" t="s">
        <v>916</v>
      </c>
      <c r="V179" s="460"/>
      <c r="W179" s="458"/>
    </row>
    <row r="180" spans="1:23" ht="14.45" hidden="1" customHeight="1" x14ac:dyDescent="0.25">
      <c r="A180" s="458">
        <v>172</v>
      </c>
      <c r="B180" s="477">
        <v>46190</v>
      </c>
      <c r="C180" s="478" t="s">
        <v>288</v>
      </c>
      <c r="D180" s="478" t="s">
        <v>706</v>
      </c>
      <c r="E180" s="478" t="s">
        <v>710</v>
      </c>
      <c r="F180" s="496" t="s">
        <v>1009</v>
      </c>
      <c r="G180" s="497"/>
      <c r="H180" s="497"/>
      <c r="I180" s="498"/>
      <c r="J180" s="496" t="s">
        <v>1010</v>
      </c>
      <c r="K180" s="497"/>
      <c r="L180" s="498"/>
      <c r="M180" s="496" t="s">
        <v>1011</v>
      </c>
      <c r="N180" s="497"/>
      <c r="O180" s="497"/>
      <c r="P180" s="498"/>
      <c r="Q180" s="478" t="s">
        <v>714</v>
      </c>
      <c r="R180" s="477">
        <v>46220</v>
      </c>
      <c r="S180" s="477">
        <v>46220</v>
      </c>
      <c r="T180" s="478" t="s">
        <v>41</v>
      </c>
      <c r="U180" s="492" t="s">
        <v>916</v>
      </c>
      <c r="V180" s="460"/>
      <c r="W180" s="458"/>
    </row>
    <row r="181" spans="1:23" ht="14.45" hidden="1" customHeight="1" x14ac:dyDescent="0.25">
      <c r="A181" s="458">
        <v>173</v>
      </c>
      <c r="B181" s="479">
        <v>46190</v>
      </c>
      <c r="C181" s="480" t="s">
        <v>314</v>
      </c>
      <c r="D181" s="480" t="s">
        <v>706</v>
      </c>
      <c r="E181" s="480" t="s">
        <v>710</v>
      </c>
      <c r="F181" s="496" t="s">
        <v>1012</v>
      </c>
      <c r="G181" s="497"/>
      <c r="H181" s="497"/>
      <c r="I181" s="498"/>
      <c r="J181" s="496" t="s">
        <v>730</v>
      </c>
      <c r="K181" s="497"/>
      <c r="L181" s="498"/>
      <c r="M181" s="496" t="s">
        <v>1013</v>
      </c>
      <c r="N181" s="497"/>
      <c r="O181" s="497"/>
      <c r="P181" s="498"/>
      <c r="Q181" s="480" t="s">
        <v>714</v>
      </c>
      <c r="R181" s="479">
        <v>46220</v>
      </c>
      <c r="S181" s="479">
        <v>46231</v>
      </c>
      <c r="T181" s="480" t="s">
        <v>41</v>
      </c>
      <c r="U181" s="458"/>
      <c r="V181" s="460"/>
      <c r="W181" s="458"/>
    </row>
    <row r="182" spans="1:23" ht="14.45" hidden="1" customHeight="1" x14ac:dyDescent="0.25">
      <c r="A182" s="458">
        <v>174</v>
      </c>
      <c r="B182" s="477">
        <v>46190</v>
      </c>
      <c r="C182" s="478" t="s">
        <v>332</v>
      </c>
      <c r="D182" s="478" t="s">
        <v>706</v>
      </c>
      <c r="E182" s="478" t="s">
        <v>710</v>
      </c>
      <c r="F182" s="496" t="s">
        <v>334</v>
      </c>
      <c r="G182" s="497"/>
      <c r="H182" s="497"/>
      <c r="I182" s="498"/>
      <c r="J182" s="496" t="s">
        <v>733</v>
      </c>
      <c r="K182" s="497"/>
      <c r="L182" s="498"/>
      <c r="M182" s="496" t="s">
        <v>734</v>
      </c>
      <c r="N182" s="497"/>
      <c r="O182" s="497"/>
      <c r="P182" s="498"/>
      <c r="Q182" s="478" t="s">
        <v>714</v>
      </c>
      <c r="R182" s="477">
        <v>46220</v>
      </c>
      <c r="S182" s="477">
        <v>46231</v>
      </c>
      <c r="T182" s="478" t="s">
        <v>41</v>
      </c>
      <c r="U182" s="458"/>
      <c r="V182" s="460"/>
      <c r="W182" s="458"/>
    </row>
    <row r="183" spans="1:23" ht="14.45" hidden="1" customHeight="1" x14ac:dyDescent="0.25">
      <c r="A183" s="458">
        <v>175</v>
      </c>
      <c r="B183" s="479">
        <v>46190</v>
      </c>
      <c r="C183" s="480" t="s">
        <v>288</v>
      </c>
      <c r="D183" s="480" t="s">
        <v>706</v>
      </c>
      <c r="E183" s="480" t="s">
        <v>710</v>
      </c>
      <c r="F183" s="496" t="s">
        <v>1012</v>
      </c>
      <c r="G183" s="497"/>
      <c r="H183" s="497"/>
      <c r="I183" s="498"/>
      <c r="J183" s="496" t="s">
        <v>666</v>
      </c>
      <c r="K183" s="497"/>
      <c r="L183" s="498"/>
      <c r="M183" s="496" t="s">
        <v>667</v>
      </c>
      <c r="N183" s="497"/>
      <c r="O183" s="497"/>
      <c r="P183" s="498"/>
      <c r="Q183" s="480" t="s">
        <v>714</v>
      </c>
      <c r="R183" s="479">
        <v>46220</v>
      </c>
      <c r="S183" s="479">
        <v>46220</v>
      </c>
      <c r="T183" s="480" t="s">
        <v>41</v>
      </c>
      <c r="U183" s="492" t="s">
        <v>916</v>
      </c>
      <c r="V183" s="460"/>
      <c r="W183" s="458"/>
    </row>
    <row r="184" spans="1:23" ht="14.45" hidden="1" customHeight="1" x14ac:dyDescent="0.25">
      <c r="A184" s="458">
        <v>176</v>
      </c>
      <c r="B184" s="477">
        <v>46190</v>
      </c>
      <c r="C184" s="478" t="s">
        <v>371</v>
      </c>
      <c r="D184" s="478" t="s">
        <v>737</v>
      </c>
      <c r="E184" s="478" t="s">
        <v>645</v>
      </c>
      <c r="F184" s="496" t="s">
        <v>1014</v>
      </c>
      <c r="G184" s="497"/>
      <c r="H184" s="497"/>
      <c r="I184" s="498"/>
      <c r="J184" s="496" t="s">
        <v>730</v>
      </c>
      <c r="K184" s="497"/>
      <c r="L184" s="498"/>
      <c r="M184" s="496" t="s">
        <v>667</v>
      </c>
      <c r="N184" s="497"/>
      <c r="O184" s="497"/>
      <c r="P184" s="498"/>
      <c r="Q184" s="478" t="s">
        <v>649</v>
      </c>
      <c r="R184" s="477">
        <v>46220</v>
      </c>
      <c r="S184" s="477">
        <v>46220</v>
      </c>
      <c r="T184" s="478" t="s">
        <v>41</v>
      </c>
      <c r="U184" s="458"/>
      <c r="V184" s="460"/>
      <c r="W184" s="458"/>
    </row>
    <row r="185" spans="1:23" ht="14.45" hidden="1" customHeight="1" x14ac:dyDescent="0.25">
      <c r="A185" s="458">
        <v>177</v>
      </c>
      <c r="B185" s="479">
        <v>46190</v>
      </c>
      <c r="C185" s="480" t="s">
        <v>165</v>
      </c>
      <c r="D185" s="480" t="s">
        <v>644</v>
      </c>
      <c r="E185" s="480" t="s">
        <v>653</v>
      </c>
      <c r="F185" s="496" t="s">
        <v>1015</v>
      </c>
      <c r="G185" s="497"/>
      <c r="H185" s="497"/>
      <c r="I185" s="498"/>
      <c r="J185" s="496" t="s">
        <v>766</v>
      </c>
      <c r="K185" s="497"/>
      <c r="L185" s="498"/>
      <c r="M185" s="496" t="s">
        <v>1016</v>
      </c>
      <c r="N185" s="497"/>
      <c r="O185" s="497"/>
      <c r="P185" s="498"/>
      <c r="Q185" s="478" t="s">
        <v>657</v>
      </c>
      <c r="R185" s="479">
        <v>46220</v>
      </c>
      <c r="S185" s="479">
        <v>46220</v>
      </c>
      <c r="T185" s="480" t="s">
        <v>41</v>
      </c>
      <c r="U185" s="492" t="s">
        <v>916</v>
      </c>
      <c r="V185" s="460"/>
      <c r="W185" s="458"/>
    </row>
    <row r="186" spans="1:23" ht="14.45" hidden="1" customHeight="1" x14ac:dyDescent="0.25">
      <c r="A186" s="458">
        <v>178</v>
      </c>
      <c r="B186" s="477">
        <v>46190</v>
      </c>
      <c r="C186" s="478" t="s">
        <v>174</v>
      </c>
      <c r="D186" s="478" t="s">
        <v>644</v>
      </c>
      <c r="E186" s="478" t="s">
        <v>645</v>
      </c>
      <c r="F186" s="496" t="s">
        <v>1017</v>
      </c>
      <c r="G186" s="497"/>
      <c r="H186" s="497"/>
      <c r="I186" s="498"/>
      <c r="J186" s="496" t="s">
        <v>1018</v>
      </c>
      <c r="K186" s="497"/>
      <c r="L186" s="498"/>
      <c r="M186" s="496" t="s">
        <v>1019</v>
      </c>
      <c r="N186" s="497"/>
      <c r="O186" s="497"/>
      <c r="P186" s="498"/>
      <c r="Q186" s="478" t="s">
        <v>657</v>
      </c>
      <c r="R186" s="477">
        <v>46220</v>
      </c>
      <c r="S186" s="477">
        <v>46220</v>
      </c>
      <c r="T186" s="478" t="s">
        <v>41</v>
      </c>
      <c r="U186" s="492" t="s">
        <v>916</v>
      </c>
      <c r="V186" s="460"/>
      <c r="W186" s="458"/>
    </row>
    <row r="187" spans="1:23" ht="14.45" hidden="1" customHeight="1" x14ac:dyDescent="0.25">
      <c r="A187" s="458">
        <v>179</v>
      </c>
      <c r="B187" s="479">
        <v>46190</v>
      </c>
      <c r="C187" s="480" t="s">
        <v>183</v>
      </c>
      <c r="D187" s="480" t="s">
        <v>644</v>
      </c>
      <c r="E187" s="480" t="s">
        <v>653</v>
      </c>
      <c r="F187" s="496" t="s">
        <v>1020</v>
      </c>
      <c r="G187" s="497"/>
      <c r="H187" s="497"/>
      <c r="I187" s="498"/>
      <c r="J187" s="496" t="s">
        <v>1021</v>
      </c>
      <c r="K187" s="497"/>
      <c r="L187" s="498"/>
      <c r="M187" s="496" t="s">
        <v>19</v>
      </c>
      <c r="N187" s="497"/>
      <c r="O187" s="497"/>
      <c r="P187" s="498"/>
      <c r="Q187" s="480" t="s">
        <v>657</v>
      </c>
      <c r="R187" s="479">
        <v>46220</v>
      </c>
      <c r="S187" s="479">
        <v>46212</v>
      </c>
      <c r="T187" s="480" t="s">
        <v>41</v>
      </c>
      <c r="U187" s="458"/>
      <c r="V187" s="460"/>
      <c r="W187" s="458"/>
    </row>
    <row r="188" spans="1:23" ht="14.45" hidden="1" customHeight="1" x14ac:dyDescent="0.25">
      <c r="A188" s="458">
        <v>180</v>
      </c>
      <c r="B188" s="477">
        <v>46190</v>
      </c>
      <c r="C188" s="478" t="s">
        <v>1022</v>
      </c>
      <c r="D188" s="478" t="s">
        <v>644</v>
      </c>
      <c r="E188" s="478" t="s">
        <v>710</v>
      </c>
      <c r="F188" s="496" t="s">
        <v>1023</v>
      </c>
      <c r="G188" s="497"/>
      <c r="H188" s="497"/>
      <c r="I188" s="498"/>
      <c r="J188" s="496" t="s">
        <v>1024</v>
      </c>
      <c r="K188" s="497"/>
      <c r="L188" s="498"/>
      <c r="M188" s="496" t="s">
        <v>1025</v>
      </c>
      <c r="N188" s="497"/>
      <c r="O188" s="497"/>
      <c r="P188" s="498"/>
      <c r="Q188" s="478" t="s">
        <v>657</v>
      </c>
      <c r="R188" s="477">
        <v>46220</v>
      </c>
      <c r="S188" s="477">
        <v>46212</v>
      </c>
      <c r="T188" s="478" t="s">
        <v>41</v>
      </c>
      <c r="U188" s="458"/>
      <c r="V188" s="460"/>
      <c r="W188" s="458"/>
    </row>
    <row r="189" spans="1:23" ht="14.45" hidden="1" customHeight="1" x14ac:dyDescent="0.25">
      <c r="A189" s="458">
        <v>181</v>
      </c>
      <c r="B189" s="479">
        <v>46190</v>
      </c>
      <c r="C189" s="480" t="s">
        <v>174</v>
      </c>
      <c r="D189" s="480" t="s">
        <v>644</v>
      </c>
      <c r="E189" s="480" t="s">
        <v>645</v>
      </c>
      <c r="F189" s="496" t="s">
        <v>1026</v>
      </c>
      <c r="G189" s="497"/>
      <c r="H189" s="497"/>
      <c r="I189" s="498"/>
      <c r="J189" s="496" t="s">
        <v>1027</v>
      </c>
      <c r="K189" s="497"/>
      <c r="L189" s="498"/>
      <c r="M189" s="496" t="s">
        <v>1028</v>
      </c>
      <c r="N189" s="497"/>
      <c r="O189" s="497"/>
      <c r="P189" s="498"/>
      <c r="Q189" s="480" t="s">
        <v>649</v>
      </c>
      <c r="R189" s="479">
        <v>46220</v>
      </c>
      <c r="S189" s="479">
        <v>46220</v>
      </c>
      <c r="T189" s="480" t="s">
        <v>41</v>
      </c>
      <c r="U189" s="458"/>
      <c r="V189" s="460"/>
      <c r="W189" s="458"/>
    </row>
    <row r="190" spans="1:23" ht="14.45" hidden="1" customHeight="1" x14ac:dyDescent="0.25">
      <c r="A190" s="458">
        <v>182</v>
      </c>
      <c r="B190" s="477">
        <v>46190</v>
      </c>
      <c r="C190" s="478" t="s">
        <v>1029</v>
      </c>
      <c r="D190" s="478" t="s">
        <v>644</v>
      </c>
      <c r="E190" s="478" t="s">
        <v>653</v>
      </c>
      <c r="F190" s="496" t="s">
        <v>1030</v>
      </c>
      <c r="G190" s="497"/>
      <c r="H190" s="497"/>
      <c r="I190" s="498"/>
      <c r="J190" s="496" t="s">
        <v>1031</v>
      </c>
      <c r="K190" s="497"/>
      <c r="L190" s="498"/>
      <c r="M190" s="496" t="s">
        <v>1032</v>
      </c>
      <c r="N190" s="497"/>
      <c r="O190" s="497"/>
      <c r="P190" s="498"/>
      <c r="Q190" s="478" t="s">
        <v>649</v>
      </c>
      <c r="R190" s="477">
        <v>46220</v>
      </c>
      <c r="S190" s="477">
        <v>46220</v>
      </c>
      <c r="T190" s="478" t="s">
        <v>41</v>
      </c>
      <c r="U190" s="458"/>
      <c r="V190" s="460"/>
      <c r="W190" s="458"/>
    </row>
    <row r="191" spans="1:23" ht="14.45" hidden="1" customHeight="1" x14ac:dyDescent="0.25">
      <c r="A191" s="458">
        <v>183</v>
      </c>
      <c r="B191" s="479">
        <v>46190</v>
      </c>
      <c r="C191" s="480" t="s">
        <v>1033</v>
      </c>
      <c r="D191" s="480" t="s">
        <v>644</v>
      </c>
      <c r="E191" s="480" t="s">
        <v>653</v>
      </c>
      <c r="F191" s="496" t="s">
        <v>1034</v>
      </c>
      <c r="G191" s="497"/>
      <c r="H191" s="497"/>
      <c r="I191" s="498"/>
      <c r="J191" s="496" t="s">
        <v>1035</v>
      </c>
      <c r="K191" s="497"/>
      <c r="L191" s="498"/>
      <c r="M191" s="496" t="s">
        <v>1036</v>
      </c>
      <c r="N191" s="497"/>
      <c r="O191" s="497"/>
      <c r="P191" s="498"/>
      <c r="Q191" s="480" t="s">
        <v>657</v>
      </c>
      <c r="R191" s="479">
        <v>46220</v>
      </c>
      <c r="S191" s="479">
        <v>46212</v>
      </c>
      <c r="T191" s="480" t="s">
        <v>41</v>
      </c>
      <c r="U191" s="458"/>
      <c r="V191" s="460"/>
      <c r="W191" s="458"/>
    </row>
    <row r="192" spans="1:23" ht="14.45" hidden="1" customHeight="1" x14ac:dyDescent="0.25">
      <c r="A192" s="458">
        <v>184</v>
      </c>
      <c r="B192" s="477">
        <v>46190</v>
      </c>
      <c r="C192" s="478" t="s">
        <v>1037</v>
      </c>
      <c r="D192" s="478" t="s">
        <v>644</v>
      </c>
      <c r="E192" s="478" t="s">
        <v>653</v>
      </c>
      <c r="F192" s="496" t="s">
        <v>1038</v>
      </c>
      <c r="G192" s="497"/>
      <c r="H192" s="497"/>
      <c r="I192" s="498"/>
      <c r="J192" s="496" t="s">
        <v>1039</v>
      </c>
      <c r="K192" s="497"/>
      <c r="L192" s="498"/>
      <c r="M192" s="496" t="s">
        <v>1040</v>
      </c>
      <c r="N192" s="497"/>
      <c r="O192" s="497"/>
      <c r="P192" s="498"/>
      <c r="Q192" s="478" t="s">
        <v>657</v>
      </c>
      <c r="R192" s="477">
        <v>46220</v>
      </c>
      <c r="S192" s="477">
        <v>46212</v>
      </c>
      <c r="T192" s="478" t="s">
        <v>41</v>
      </c>
      <c r="U192" s="458"/>
      <c r="V192" s="460"/>
      <c r="W192" s="458"/>
    </row>
    <row r="193" spans="1:28" ht="14.45" hidden="1" customHeight="1" x14ac:dyDescent="0.25">
      <c r="A193" s="458">
        <v>185</v>
      </c>
      <c r="B193" s="479">
        <v>46190</v>
      </c>
      <c r="C193" s="480" t="s">
        <v>201</v>
      </c>
      <c r="D193" s="480" t="s">
        <v>644</v>
      </c>
      <c r="E193" s="480" t="s">
        <v>653</v>
      </c>
      <c r="F193" s="496" t="s">
        <v>1041</v>
      </c>
      <c r="G193" s="497"/>
      <c r="H193" s="497"/>
      <c r="I193" s="498"/>
      <c r="J193" s="496" t="s">
        <v>1042</v>
      </c>
      <c r="K193" s="497"/>
      <c r="L193" s="498"/>
      <c r="M193" s="496" t="s">
        <v>1043</v>
      </c>
      <c r="N193" s="497"/>
      <c r="O193" s="497"/>
      <c r="P193" s="498"/>
      <c r="Q193" s="480" t="s">
        <v>657</v>
      </c>
      <c r="R193" s="479">
        <v>46220</v>
      </c>
      <c r="S193" s="479">
        <v>46212</v>
      </c>
      <c r="T193" s="480" t="s">
        <v>41</v>
      </c>
      <c r="U193" s="458"/>
      <c r="V193" s="460"/>
      <c r="W193" s="458"/>
    </row>
    <row r="194" spans="1:28" ht="14.45" hidden="1" customHeight="1" x14ac:dyDescent="0.25">
      <c r="A194" s="458">
        <v>186</v>
      </c>
      <c r="B194" s="477">
        <v>46190</v>
      </c>
      <c r="C194" s="478" t="s">
        <v>201</v>
      </c>
      <c r="D194" s="478" t="s">
        <v>644</v>
      </c>
      <c r="E194" s="478" t="s">
        <v>653</v>
      </c>
      <c r="F194" s="496" t="s">
        <v>1044</v>
      </c>
      <c r="G194" s="497"/>
      <c r="H194" s="497"/>
      <c r="I194" s="498"/>
      <c r="J194" s="496" t="s">
        <v>18</v>
      </c>
      <c r="K194" s="497"/>
      <c r="L194" s="498"/>
      <c r="M194" s="496" t="s">
        <v>1043</v>
      </c>
      <c r="N194" s="497"/>
      <c r="O194" s="497"/>
      <c r="P194" s="498"/>
      <c r="Q194" s="478" t="s">
        <v>657</v>
      </c>
      <c r="R194" s="477">
        <v>46220</v>
      </c>
      <c r="S194" s="477">
        <v>46212</v>
      </c>
      <c r="T194" s="478" t="s">
        <v>41</v>
      </c>
      <c r="U194" s="458"/>
      <c r="V194" s="460"/>
      <c r="W194" s="458"/>
    </row>
    <row r="195" spans="1:28" ht="14.45" hidden="1" customHeight="1" x14ac:dyDescent="0.25">
      <c r="A195" s="458">
        <v>187</v>
      </c>
      <c r="B195" s="479">
        <v>46190</v>
      </c>
      <c r="C195" s="480" t="s">
        <v>249</v>
      </c>
      <c r="D195" s="480" t="s">
        <v>644</v>
      </c>
      <c r="E195" s="480" t="s">
        <v>653</v>
      </c>
      <c r="F195" s="496" t="s">
        <v>1045</v>
      </c>
      <c r="G195" s="497"/>
      <c r="H195" s="497"/>
      <c r="I195" s="498"/>
      <c r="J195" s="496" t="s">
        <v>1046</v>
      </c>
      <c r="K195" s="497"/>
      <c r="L195" s="498"/>
      <c r="M195" s="496" t="s">
        <v>1032</v>
      </c>
      <c r="N195" s="497"/>
      <c r="O195" s="497"/>
      <c r="P195" s="498"/>
      <c r="Q195" s="480" t="s">
        <v>657</v>
      </c>
      <c r="R195" s="479">
        <v>46220</v>
      </c>
      <c r="S195" s="479">
        <v>46212</v>
      </c>
      <c r="T195" s="480" t="s">
        <v>41</v>
      </c>
      <c r="U195" s="458"/>
      <c r="V195" s="460"/>
      <c r="W195" s="458"/>
    </row>
    <row r="196" spans="1:28" ht="14.45" hidden="1" customHeight="1" x14ac:dyDescent="0.25">
      <c r="A196" s="458">
        <v>188</v>
      </c>
      <c r="B196" s="477">
        <v>46190</v>
      </c>
      <c r="C196" s="478" t="s">
        <v>249</v>
      </c>
      <c r="D196" s="478" t="s">
        <v>644</v>
      </c>
      <c r="E196" s="478" t="s">
        <v>653</v>
      </c>
      <c r="F196" s="496" t="s">
        <v>1047</v>
      </c>
      <c r="G196" s="497"/>
      <c r="H196" s="497"/>
      <c r="I196" s="498"/>
      <c r="J196" s="496" t="s">
        <v>814</v>
      </c>
      <c r="K196" s="497"/>
      <c r="L196" s="498"/>
      <c r="M196" s="496" t="s">
        <v>1048</v>
      </c>
      <c r="N196" s="497"/>
      <c r="O196" s="497"/>
      <c r="P196" s="498"/>
      <c r="Q196" s="478" t="s">
        <v>657</v>
      </c>
      <c r="R196" s="477">
        <v>46220</v>
      </c>
      <c r="S196" s="477">
        <v>46212</v>
      </c>
      <c r="T196" s="478" t="s">
        <v>41</v>
      </c>
      <c r="U196" s="458"/>
      <c r="V196" s="460"/>
      <c r="W196" s="458"/>
    </row>
    <row r="197" spans="1:28" ht="14.45" hidden="1" customHeight="1" x14ac:dyDescent="0.25">
      <c r="A197" s="458">
        <v>189</v>
      </c>
      <c r="B197" s="479">
        <v>46211</v>
      </c>
      <c r="C197" s="480" t="s">
        <v>226</v>
      </c>
      <c r="D197" s="480" t="s">
        <v>644</v>
      </c>
      <c r="E197" s="480" t="s">
        <v>653</v>
      </c>
      <c r="F197" s="496" t="s">
        <v>1049</v>
      </c>
      <c r="G197" s="497"/>
      <c r="H197" s="497"/>
      <c r="I197" s="498"/>
      <c r="J197" s="496" t="s">
        <v>1050</v>
      </c>
      <c r="K197" s="497"/>
      <c r="L197" s="498"/>
      <c r="M197" s="496" t="s">
        <v>1051</v>
      </c>
      <c r="N197" s="497"/>
      <c r="O197" s="497"/>
      <c r="P197" s="498"/>
      <c r="Q197" s="480" t="s">
        <v>657</v>
      </c>
      <c r="R197" s="479">
        <v>46241</v>
      </c>
      <c r="S197" s="479">
        <v>46213</v>
      </c>
      <c r="T197" s="480" t="s">
        <v>41</v>
      </c>
      <c r="U197" s="458"/>
      <c r="V197" s="460"/>
      <c r="W197" s="458"/>
    </row>
    <row r="198" spans="1:28" ht="14.45" hidden="1" customHeight="1" x14ac:dyDescent="0.25">
      <c r="A198" s="458">
        <v>190</v>
      </c>
      <c r="B198" s="477">
        <v>46211</v>
      </c>
      <c r="C198" s="478" t="s">
        <v>226</v>
      </c>
      <c r="D198" s="478" t="s">
        <v>644</v>
      </c>
      <c r="E198" s="478" t="s">
        <v>653</v>
      </c>
      <c r="F198" s="496" t="s">
        <v>1052</v>
      </c>
      <c r="G198" s="497"/>
      <c r="H198" s="497"/>
      <c r="I198" s="498"/>
      <c r="J198" s="496" t="s">
        <v>1050</v>
      </c>
      <c r="K198" s="497"/>
      <c r="L198" s="498"/>
      <c r="M198" s="496" t="s">
        <v>904</v>
      </c>
      <c r="N198" s="497"/>
      <c r="O198" s="497"/>
      <c r="P198" s="498"/>
      <c r="Q198" s="478" t="s">
        <v>657</v>
      </c>
      <c r="R198" s="477">
        <v>46241</v>
      </c>
      <c r="S198" s="477">
        <v>46213</v>
      </c>
      <c r="T198" s="478" t="s">
        <v>41</v>
      </c>
      <c r="U198" s="458"/>
      <c r="V198" s="460"/>
      <c r="W198" s="458"/>
      <c r="X198" s="457"/>
      <c r="Y198" s="430"/>
      <c r="Z198" s="430"/>
      <c r="AA198" s="430"/>
      <c r="AB198" s="430"/>
    </row>
    <row r="199" spans="1:28" ht="14.45" hidden="1" customHeight="1" x14ac:dyDescent="0.25">
      <c r="A199" s="458">
        <v>191</v>
      </c>
      <c r="B199" s="479">
        <v>46211</v>
      </c>
      <c r="C199" s="480" t="s">
        <v>190</v>
      </c>
      <c r="D199" s="480" t="s">
        <v>644</v>
      </c>
      <c r="E199" s="480" t="s">
        <v>653</v>
      </c>
      <c r="F199" s="496" t="s">
        <v>1053</v>
      </c>
      <c r="G199" s="497"/>
      <c r="H199" s="497"/>
      <c r="I199" s="498"/>
      <c r="J199" s="496" t="s">
        <v>712</v>
      </c>
      <c r="K199" s="497"/>
      <c r="L199" s="498"/>
      <c r="M199" s="496" t="s">
        <v>1054</v>
      </c>
      <c r="N199" s="497"/>
      <c r="O199" s="497"/>
      <c r="P199" s="498"/>
      <c r="Q199" s="480" t="s">
        <v>657</v>
      </c>
      <c r="R199" s="479">
        <v>46241</v>
      </c>
      <c r="S199" s="479">
        <v>46261</v>
      </c>
      <c r="T199" s="480" t="s">
        <v>41</v>
      </c>
      <c r="U199" s="458"/>
      <c r="V199" s="460"/>
      <c r="W199" s="458"/>
      <c r="X199" s="457"/>
      <c r="Y199" s="430"/>
      <c r="Z199" s="430"/>
      <c r="AA199" s="430"/>
      <c r="AB199" s="430"/>
    </row>
    <row r="200" spans="1:28" ht="14.45" hidden="1" customHeight="1" x14ac:dyDescent="0.25">
      <c r="A200" s="458">
        <v>192</v>
      </c>
      <c r="B200" s="477">
        <v>46211</v>
      </c>
      <c r="C200" s="478" t="s">
        <v>491</v>
      </c>
      <c r="D200" s="478" t="s">
        <v>664</v>
      </c>
      <c r="E200" s="478" t="s">
        <v>653</v>
      </c>
      <c r="F200" s="496" t="s">
        <v>1055</v>
      </c>
      <c r="G200" s="497"/>
      <c r="H200" s="497"/>
      <c r="I200" s="498"/>
      <c r="J200" s="496" t="s">
        <v>1050</v>
      </c>
      <c r="K200" s="497"/>
      <c r="L200" s="498"/>
      <c r="M200" s="496" t="s">
        <v>1056</v>
      </c>
      <c r="N200" s="497"/>
      <c r="O200" s="497"/>
      <c r="P200" s="498"/>
      <c r="Q200" s="478" t="s">
        <v>657</v>
      </c>
      <c r="R200" s="477">
        <v>46241</v>
      </c>
      <c r="S200" s="477">
        <v>46213</v>
      </c>
      <c r="T200" s="478" t="s">
        <v>41</v>
      </c>
      <c r="U200" s="458"/>
      <c r="V200" s="460"/>
      <c r="W200" s="458"/>
      <c r="X200" s="457"/>
      <c r="Y200" s="430"/>
      <c r="Z200" s="430"/>
      <c r="AA200" s="430"/>
      <c r="AB200" s="430"/>
    </row>
    <row r="201" spans="1:28" ht="14.45" hidden="1" customHeight="1" x14ac:dyDescent="0.25">
      <c r="A201" s="458">
        <v>193</v>
      </c>
      <c r="B201" s="479">
        <v>46211</v>
      </c>
      <c r="C201" s="480" t="s">
        <v>454</v>
      </c>
      <c r="D201" s="480" t="s">
        <v>664</v>
      </c>
      <c r="E201" s="480" t="s">
        <v>645</v>
      </c>
      <c r="F201" s="496" t="s">
        <v>1057</v>
      </c>
      <c r="G201" s="497"/>
      <c r="H201" s="497"/>
      <c r="I201" s="498"/>
      <c r="J201" s="496" t="s">
        <v>676</v>
      </c>
      <c r="K201" s="497"/>
      <c r="L201" s="498"/>
      <c r="M201" s="496" t="s">
        <v>1058</v>
      </c>
      <c r="N201" s="497"/>
      <c r="O201" s="497"/>
      <c r="P201" s="498"/>
      <c r="Q201" s="480" t="s">
        <v>649</v>
      </c>
      <c r="R201" s="479">
        <v>46241</v>
      </c>
      <c r="S201" s="479">
        <f>R201</f>
        <v>46241</v>
      </c>
      <c r="T201" s="480" t="s">
        <v>41</v>
      </c>
      <c r="U201" s="458"/>
      <c r="V201" s="460"/>
      <c r="W201" s="458"/>
      <c r="X201" s="476"/>
      <c r="Y201" s="441"/>
      <c r="Z201" s="441"/>
      <c r="AA201" s="441"/>
      <c r="AB201" s="441"/>
    </row>
    <row r="202" spans="1:28" ht="14.45" hidden="1" customHeight="1" x14ac:dyDescent="0.25">
      <c r="A202" s="458">
        <v>194</v>
      </c>
      <c r="B202" s="477">
        <v>46211</v>
      </c>
      <c r="C202" s="478" t="s">
        <v>496</v>
      </c>
      <c r="D202" s="478" t="s">
        <v>664</v>
      </c>
      <c r="E202" s="478" t="s">
        <v>653</v>
      </c>
      <c r="F202" s="496" t="s">
        <v>1059</v>
      </c>
      <c r="G202" s="497"/>
      <c r="H202" s="497"/>
      <c r="I202" s="498"/>
      <c r="J202" s="496" t="s">
        <v>733</v>
      </c>
      <c r="K202" s="497"/>
      <c r="L202" s="498"/>
      <c r="M202" s="496" t="s">
        <v>904</v>
      </c>
      <c r="N202" s="497"/>
      <c r="O202" s="497"/>
      <c r="P202" s="498"/>
      <c r="Q202" s="478" t="s">
        <v>657</v>
      </c>
      <c r="R202" s="477">
        <v>46241</v>
      </c>
      <c r="S202" s="477">
        <v>46213</v>
      </c>
      <c r="T202" s="478" t="s">
        <v>41</v>
      </c>
      <c r="U202" s="458"/>
      <c r="V202" s="460"/>
      <c r="W202" s="458"/>
      <c r="X202" s="457"/>
      <c r="Y202" s="430"/>
      <c r="Z202" s="430"/>
      <c r="AA202" s="430"/>
      <c r="AB202" s="430"/>
    </row>
    <row r="203" spans="1:28" ht="14.45" hidden="1" customHeight="1" x14ac:dyDescent="0.25">
      <c r="A203" s="458">
        <v>195</v>
      </c>
      <c r="B203" s="479">
        <v>46211</v>
      </c>
      <c r="C203" s="480" t="s">
        <v>1060</v>
      </c>
      <c r="D203" s="480" t="s">
        <v>664</v>
      </c>
      <c r="E203" s="480" t="s">
        <v>653</v>
      </c>
      <c r="F203" s="496" t="s">
        <v>1061</v>
      </c>
      <c r="G203" s="497"/>
      <c r="H203" s="497"/>
      <c r="I203" s="498"/>
      <c r="J203" s="496" t="s">
        <v>1062</v>
      </c>
      <c r="K203" s="497"/>
      <c r="L203" s="498"/>
      <c r="M203" s="496" t="s">
        <v>1063</v>
      </c>
      <c r="N203" s="497"/>
      <c r="O203" s="497"/>
      <c r="P203" s="498"/>
      <c r="Q203" s="480" t="s">
        <v>649</v>
      </c>
      <c r="R203" s="479">
        <v>46241</v>
      </c>
      <c r="S203" s="479">
        <f>R203</f>
        <v>46241</v>
      </c>
      <c r="T203" s="480" t="s">
        <v>41</v>
      </c>
      <c r="U203" s="458"/>
      <c r="V203" s="460"/>
      <c r="W203" s="458"/>
      <c r="X203" s="457"/>
      <c r="Y203" s="430"/>
      <c r="Z203" s="430"/>
      <c r="AA203" s="430"/>
      <c r="AB203" s="430"/>
    </row>
    <row r="204" spans="1:28" ht="14.45" hidden="1" customHeight="1" x14ac:dyDescent="0.25">
      <c r="A204" s="458">
        <v>196</v>
      </c>
      <c r="B204" s="477">
        <v>46211</v>
      </c>
      <c r="C204" s="478" t="s">
        <v>485</v>
      </c>
      <c r="D204" s="478" t="s">
        <v>664</v>
      </c>
      <c r="E204" s="478" t="s">
        <v>653</v>
      </c>
      <c r="F204" s="496" t="s">
        <v>1064</v>
      </c>
      <c r="G204" s="497"/>
      <c r="H204" s="497"/>
      <c r="I204" s="498"/>
      <c r="J204" s="496" t="s">
        <v>712</v>
      </c>
      <c r="K204" s="497"/>
      <c r="L204" s="498"/>
      <c r="M204" s="496" t="s">
        <v>1065</v>
      </c>
      <c r="N204" s="497"/>
      <c r="O204" s="497"/>
      <c r="P204" s="498"/>
      <c r="Q204" s="478" t="s">
        <v>657</v>
      </c>
      <c r="R204" s="477">
        <v>46241</v>
      </c>
      <c r="S204" s="477">
        <v>46213</v>
      </c>
      <c r="T204" s="478" t="s">
        <v>41</v>
      </c>
      <c r="U204" s="458"/>
      <c r="V204" s="460"/>
      <c r="W204" s="458"/>
      <c r="X204" s="457"/>
      <c r="Y204" s="430"/>
      <c r="Z204" s="430"/>
      <c r="AA204" s="430"/>
      <c r="AB204" s="430"/>
    </row>
    <row r="205" spans="1:28" ht="14.45" hidden="1" customHeight="1" x14ac:dyDescent="0.25">
      <c r="A205" s="458">
        <v>197</v>
      </c>
      <c r="B205" s="479">
        <v>46211</v>
      </c>
      <c r="C205" s="480" t="s">
        <v>504</v>
      </c>
      <c r="D205" s="480" t="s">
        <v>664</v>
      </c>
      <c r="E205" s="480" t="s">
        <v>653</v>
      </c>
      <c r="F205" s="496" t="s">
        <v>1066</v>
      </c>
      <c r="G205" s="497"/>
      <c r="H205" s="497"/>
      <c r="I205" s="498"/>
      <c r="J205" s="496" t="s">
        <v>712</v>
      </c>
      <c r="K205" s="497"/>
      <c r="L205" s="498"/>
      <c r="M205" s="496" t="s">
        <v>1067</v>
      </c>
      <c r="N205" s="497"/>
      <c r="O205" s="497"/>
      <c r="P205" s="498"/>
      <c r="Q205" s="480" t="s">
        <v>657</v>
      </c>
      <c r="R205" s="479">
        <v>46241</v>
      </c>
      <c r="S205" s="479">
        <v>46213</v>
      </c>
      <c r="T205" s="480" t="s">
        <v>41</v>
      </c>
      <c r="U205" s="458"/>
      <c r="V205" s="460"/>
      <c r="W205" s="458"/>
      <c r="X205" s="457"/>
      <c r="Y205" s="430"/>
      <c r="Z205" s="430"/>
      <c r="AA205" s="430"/>
      <c r="AB205" s="430"/>
    </row>
    <row r="206" spans="1:28" ht="14.45" hidden="1" customHeight="1" x14ac:dyDescent="0.25">
      <c r="A206" s="458">
        <v>198</v>
      </c>
      <c r="B206" s="477">
        <v>46211</v>
      </c>
      <c r="C206" s="478" t="s">
        <v>475</v>
      </c>
      <c r="D206" s="478" t="s">
        <v>664</v>
      </c>
      <c r="E206" s="478" t="s">
        <v>653</v>
      </c>
      <c r="F206" s="496" t="s">
        <v>479</v>
      </c>
      <c r="G206" s="497"/>
      <c r="H206" s="497"/>
      <c r="I206" s="498"/>
      <c r="J206" s="496" t="s">
        <v>1068</v>
      </c>
      <c r="K206" s="497"/>
      <c r="L206" s="498"/>
      <c r="M206" s="496" t="s">
        <v>1069</v>
      </c>
      <c r="N206" s="497"/>
      <c r="O206" s="497"/>
      <c r="P206" s="498"/>
      <c r="Q206" s="478" t="s">
        <v>657</v>
      </c>
      <c r="R206" s="477">
        <v>46241</v>
      </c>
      <c r="S206" s="477">
        <v>46213</v>
      </c>
      <c r="T206" s="478" t="s">
        <v>41</v>
      </c>
      <c r="U206" s="458"/>
      <c r="V206" s="460"/>
      <c r="W206" s="458"/>
      <c r="X206" s="457"/>
      <c r="Y206" s="430"/>
      <c r="Z206" s="430"/>
      <c r="AA206" s="430"/>
      <c r="AB206" s="430"/>
    </row>
    <row r="207" spans="1:28" ht="14.45" hidden="1" customHeight="1" x14ac:dyDescent="0.25">
      <c r="A207" s="458">
        <v>199</v>
      </c>
      <c r="B207" s="479">
        <v>46211</v>
      </c>
      <c r="C207" s="480" t="s">
        <v>288</v>
      </c>
      <c r="D207" s="480" t="s">
        <v>706</v>
      </c>
      <c r="E207" s="480" t="s">
        <v>645</v>
      </c>
      <c r="F207" s="496" t="s">
        <v>1070</v>
      </c>
      <c r="G207" s="497"/>
      <c r="H207" s="497"/>
      <c r="I207" s="498"/>
      <c r="J207" s="496" t="s">
        <v>712</v>
      </c>
      <c r="K207" s="497"/>
      <c r="L207" s="498"/>
      <c r="M207" s="496" t="s">
        <v>1071</v>
      </c>
      <c r="N207" s="497"/>
      <c r="O207" s="497"/>
      <c r="P207" s="498"/>
      <c r="Q207" s="480" t="s">
        <v>649</v>
      </c>
      <c r="R207" s="479">
        <v>46241</v>
      </c>
      <c r="S207" s="479">
        <f>R207</f>
        <v>46241</v>
      </c>
      <c r="T207" s="480" t="s">
        <v>41</v>
      </c>
      <c r="U207" s="458"/>
      <c r="V207" s="460"/>
      <c r="W207" s="458"/>
      <c r="X207" s="457"/>
      <c r="Y207" s="430"/>
      <c r="Z207" s="430"/>
      <c r="AA207" s="430"/>
      <c r="AB207" s="430"/>
    </row>
    <row r="208" spans="1:28" ht="14.45" hidden="1" customHeight="1" x14ac:dyDescent="0.25">
      <c r="A208" s="458">
        <v>200</v>
      </c>
      <c r="B208" s="477">
        <v>46211</v>
      </c>
      <c r="C208" s="478" t="s">
        <v>332</v>
      </c>
      <c r="D208" s="478" t="s">
        <v>706</v>
      </c>
      <c r="E208" s="478" t="s">
        <v>710</v>
      </c>
      <c r="F208" s="496" t="s">
        <v>1072</v>
      </c>
      <c r="G208" s="497"/>
      <c r="H208" s="497"/>
      <c r="I208" s="498"/>
      <c r="J208" s="496" t="s">
        <v>19</v>
      </c>
      <c r="K208" s="497"/>
      <c r="L208" s="498"/>
      <c r="M208" s="496" t="s">
        <v>1073</v>
      </c>
      <c r="N208" s="497"/>
      <c r="O208" s="497"/>
      <c r="P208" s="498"/>
      <c r="Q208" s="478" t="s">
        <v>714</v>
      </c>
      <c r="R208" s="477">
        <v>46241</v>
      </c>
      <c r="S208" s="477">
        <v>46248</v>
      </c>
      <c r="T208" s="478" t="s">
        <v>41</v>
      </c>
      <c r="U208" s="458"/>
      <c r="V208" s="460"/>
      <c r="W208" s="458"/>
      <c r="X208" s="457"/>
      <c r="Y208" s="430"/>
      <c r="Z208" s="430"/>
      <c r="AA208" s="430"/>
      <c r="AB208" s="430"/>
    </row>
    <row r="209" spans="1:28" ht="14.45" hidden="1" customHeight="1" x14ac:dyDescent="0.25">
      <c r="A209" s="458">
        <v>201</v>
      </c>
      <c r="B209" s="479">
        <v>46211</v>
      </c>
      <c r="C209" s="480" t="s">
        <v>1074</v>
      </c>
      <c r="D209" s="480" t="s">
        <v>706</v>
      </c>
      <c r="E209" s="480" t="s">
        <v>710</v>
      </c>
      <c r="F209" s="496" t="s">
        <v>1075</v>
      </c>
      <c r="G209" s="497"/>
      <c r="H209" s="497"/>
      <c r="I209" s="498"/>
      <c r="J209" s="496" t="s">
        <v>19</v>
      </c>
      <c r="K209" s="497"/>
      <c r="L209" s="498"/>
      <c r="M209" s="496" t="s">
        <v>1076</v>
      </c>
      <c r="N209" s="497"/>
      <c r="O209" s="497"/>
      <c r="P209" s="498"/>
      <c r="Q209" s="480" t="s">
        <v>714</v>
      </c>
      <c r="R209" s="479">
        <v>46241</v>
      </c>
      <c r="S209" s="479">
        <v>46248</v>
      </c>
      <c r="T209" s="480" t="s">
        <v>41</v>
      </c>
      <c r="U209" s="458"/>
      <c r="V209" s="460"/>
      <c r="W209" s="458"/>
      <c r="X209" s="457"/>
      <c r="Y209" s="430"/>
      <c r="Z209" s="430"/>
      <c r="AA209" s="430"/>
      <c r="AB209" s="430"/>
    </row>
    <row r="210" spans="1:28" ht="14.45" hidden="1" customHeight="1" x14ac:dyDescent="0.25">
      <c r="A210" s="458">
        <v>202</v>
      </c>
      <c r="B210" s="477">
        <v>46211</v>
      </c>
      <c r="C210" s="478" t="s">
        <v>332</v>
      </c>
      <c r="D210" s="478" t="s">
        <v>706</v>
      </c>
      <c r="E210" s="478" t="s">
        <v>710</v>
      </c>
      <c r="F210" s="496" t="s">
        <v>1077</v>
      </c>
      <c r="G210" s="497"/>
      <c r="H210" s="497"/>
      <c r="I210" s="498"/>
      <c r="J210" s="496" t="s">
        <v>1050</v>
      </c>
      <c r="K210" s="497"/>
      <c r="L210" s="498"/>
      <c r="M210" s="496" t="s">
        <v>1078</v>
      </c>
      <c r="N210" s="497"/>
      <c r="O210" s="497"/>
      <c r="P210" s="498"/>
      <c r="Q210" s="478" t="s">
        <v>714</v>
      </c>
      <c r="R210" s="477">
        <v>46241</v>
      </c>
      <c r="S210" s="477">
        <v>46241</v>
      </c>
      <c r="T210" s="478" t="s">
        <v>41</v>
      </c>
      <c r="U210" s="492" t="s">
        <v>916</v>
      </c>
      <c r="V210" s="460"/>
      <c r="W210" s="458"/>
      <c r="X210" s="457"/>
      <c r="Y210" s="430"/>
      <c r="Z210" s="430"/>
      <c r="AA210" s="430"/>
      <c r="AB210" s="430"/>
    </row>
    <row r="211" spans="1:28" ht="14.45" hidden="1" customHeight="1" x14ac:dyDescent="0.25">
      <c r="A211" s="458">
        <v>203</v>
      </c>
      <c r="B211" s="479">
        <v>46211</v>
      </c>
      <c r="C211" s="480" t="s">
        <v>324</v>
      </c>
      <c r="D211" s="480" t="s">
        <v>706</v>
      </c>
      <c r="E211" s="480" t="s">
        <v>710</v>
      </c>
      <c r="F211" s="496" t="s">
        <v>1079</v>
      </c>
      <c r="G211" s="497"/>
      <c r="H211" s="497"/>
      <c r="I211" s="498"/>
      <c r="J211" s="496" t="s">
        <v>1080</v>
      </c>
      <c r="K211" s="497"/>
      <c r="L211" s="498"/>
      <c r="M211" s="496" t="s">
        <v>1081</v>
      </c>
      <c r="N211" s="497"/>
      <c r="O211" s="497"/>
      <c r="P211" s="498"/>
      <c r="Q211" s="480" t="s">
        <v>714</v>
      </c>
      <c r="R211" s="479">
        <v>46241</v>
      </c>
      <c r="S211" s="479">
        <v>46248</v>
      </c>
      <c r="T211" s="480" t="s">
        <v>41</v>
      </c>
      <c r="U211" s="458"/>
      <c r="V211" s="460"/>
      <c r="W211" s="458"/>
      <c r="X211" s="457"/>
      <c r="Y211" s="430"/>
      <c r="Z211" s="430"/>
      <c r="AA211" s="430"/>
      <c r="AB211" s="430"/>
    </row>
    <row r="212" spans="1:28" ht="14.45" hidden="1" customHeight="1" x14ac:dyDescent="0.25">
      <c r="A212" s="458">
        <v>204</v>
      </c>
      <c r="B212" s="477">
        <v>46211</v>
      </c>
      <c r="C212" s="478" t="s">
        <v>536</v>
      </c>
      <c r="D212" s="478" t="s">
        <v>728</v>
      </c>
      <c r="E212" s="478" t="s">
        <v>653</v>
      </c>
      <c r="F212" s="496" t="s">
        <v>560</v>
      </c>
      <c r="G212" s="497"/>
      <c r="H212" s="497"/>
      <c r="I212" s="498"/>
      <c r="J212" s="496" t="s">
        <v>1068</v>
      </c>
      <c r="K212" s="497"/>
      <c r="L212" s="498"/>
      <c r="M212" s="496" t="s">
        <v>1082</v>
      </c>
      <c r="N212" s="497"/>
      <c r="O212" s="497"/>
      <c r="P212" s="498"/>
      <c r="Q212" s="478" t="s">
        <v>657</v>
      </c>
      <c r="R212" s="477">
        <v>46241</v>
      </c>
      <c r="S212" s="477">
        <v>46213</v>
      </c>
      <c r="T212" s="478" t="s">
        <v>41</v>
      </c>
      <c r="U212" s="458"/>
      <c r="V212" s="460"/>
      <c r="W212" s="458"/>
      <c r="X212" s="457"/>
      <c r="Y212" s="430"/>
      <c r="Z212" s="430"/>
      <c r="AA212" s="430"/>
      <c r="AB212" s="430"/>
    </row>
    <row r="213" spans="1:28" ht="14.45" hidden="1" customHeight="1" x14ac:dyDescent="0.25">
      <c r="A213" s="458">
        <v>205</v>
      </c>
      <c r="B213" s="479">
        <v>46211</v>
      </c>
      <c r="C213" s="480" t="s">
        <v>517</v>
      </c>
      <c r="D213" s="480" t="s">
        <v>728</v>
      </c>
      <c r="E213" s="480" t="s">
        <v>645</v>
      </c>
      <c r="F213" s="496" t="s">
        <v>1083</v>
      </c>
      <c r="G213" s="497"/>
      <c r="H213" s="497"/>
      <c r="I213" s="498"/>
      <c r="J213" s="496" t="s">
        <v>676</v>
      </c>
      <c r="K213" s="497"/>
      <c r="L213" s="498"/>
      <c r="M213" s="496" t="s">
        <v>1084</v>
      </c>
      <c r="N213" s="497"/>
      <c r="O213" s="497"/>
      <c r="P213" s="498"/>
      <c r="Q213" s="480" t="s">
        <v>649</v>
      </c>
      <c r="R213" s="479">
        <v>46241</v>
      </c>
      <c r="S213" s="479">
        <f>R213</f>
        <v>46241</v>
      </c>
      <c r="T213" s="480" t="s">
        <v>41</v>
      </c>
      <c r="U213" s="458"/>
      <c r="V213" s="460"/>
      <c r="W213" s="458"/>
      <c r="X213" s="457"/>
      <c r="Y213" s="430"/>
      <c r="Z213" s="430"/>
      <c r="AA213" s="430"/>
      <c r="AB213" s="430"/>
    </row>
    <row r="214" spans="1:28" ht="14.45" hidden="1" customHeight="1" x14ac:dyDescent="0.25">
      <c r="A214" s="458">
        <v>206</v>
      </c>
      <c r="B214" s="477">
        <v>46211</v>
      </c>
      <c r="C214" s="478" t="s">
        <v>376</v>
      </c>
      <c r="D214" s="478" t="s">
        <v>737</v>
      </c>
      <c r="E214" s="478" t="s">
        <v>645</v>
      </c>
      <c r="F214" s="496" t="s">
        <v>1085</v>
      </c>
      <c r="G214" s="497"/>
      <c r="H214" s="497"/>
      <c r="I214" s="498"/>
      <c r="J214" s="496" t="s">
        <v>1068</v>
      </c>
      <c r="K214" s="497"/>
      <c r="L214" s="498"/>
      <c r="M214" s="496" t="s">
        <v>1086</v>
      </c>
      <c r="N214" s="497"/>
      <c r="O214" s="497"/>
      <c r="P214" s="498"/>
      <c r="Q214" s="478" t="s">
        <v>649</v>
      </c>
      <c r="R214" s="477">
        <v>46241</v>
      </c>
      <c r="S214" s="479">
        <f t="shared" ref="S214:S218" si="0">R214</f>
        <v>46241</v>
      </c>
      <c r="T214" s="478" t="s">
        <v>41</v>
      </c>
      <c r="U214" s="458"/>
      <c r="V214" s="460"/>
      <c r="W214" s="458"/>
      <c r="X214" s="457"/>
      <c r="Y214" s="430"/>
      <c r="Z214" s="430"/>
      <c r="AA214" s="430"/>
      <c r="AB214" s="430"/>
    </row>
    <row r="215" spans="1:28" ht="14.45" hidden="1" customHeight="1" x14ac:dyDescent="0.25">
      <c r="A215" s="458">
        <v>207</v>
      </c>
      <c r="B215" s="479">
        <v>46211</v>
      </c>
      <c r="C215" s="480" t="s">
        <v>376</v>
      </c>
      <c r="D215" s="480" t="s">
        <v>737</v>
      </c>
      <c r="E215" s="480" t="s">
        <v>645</v>
      </c>
      <c r="F215" s="496" t="s">
        <v>798</v>
      </c>
      <c r="G215" s="497"/>
      <c r="H215" s="497"/>
      <c r="I215" s="498"/>
      <c r="J215" s="496" t="s">
        <v>1068</v>
      </c>
      <c r="K215" s="497"/>
      <c r="L215" s="498"/>
      <c r="M215" s="496" t="s">
        <v>1087</v>
      </c>
      <c r="N215" s="497"/>
      <c r="O215" s="497"/>
      <c r="P215" s="498"/>
      <c r="Q215" s="480" t="s">
        <v>649</v>
      </c>
      <c r="R215" s="479">
        <v>46241</v>
      </c>
      <c r="S215" s="479">
        <f t="shared" si="0"/>
        <v>46241</v>
      </c>
      <c r="T215" s="480" t="s">
        <v>41</v>
      </c>
      <c r="U215" s="458"/>
      <c r="V215" s="460"/>
      <c r="W215" s="458"/>
      <c r="X215" s="457"/>
      <c r="Y215" s="430"/>
      <c r="Z215" s="430"/>
      <c r="AA215" s="430"/>
      <c r="AB215" s="430"/>
    </row>
    <row r="216" spans="1:28" ht="14.45" hidden="1" customHeight="1" x14ac:dyDescent="0.25">
      <c r="A216" s="458">
        <v>208</v>
      </c>
      <c r="B216" s="477">
        <v>46211</v>
      </c>
      <c r="C216" s="478" t="s">
        <v>376</v>
      </c>
      <c r="D216" s="478" t="s">
        <v>737</v>
      </c>
      <c r="E216" s="478" t="s">
        <v>645</v>
      </c>
      <c r="F216" s="496" t="s">
        <v>730</v>
      </c>
      <c r="G216" s="497"/>
      <c r="H216" s="497"/>
      <c r="I216" s="498"/>
      <c r="J216" s="496" t="s">
        <v>18</v>
      </c>
      <c r="K216" s="497"/>
      <c r="L216" s="498"/>
      <c r="M216" s="496" t="s">
        <v>1088</v>
      </c>
      <c r="N216" s="497"/>
      <c r="O216" s="497"/>
      <c r="P216" s="498"/>
      <c r="Q216" s="478" t="s">
        <v>649</v>
      </c>
      <c r="R216" s="477">
        <v>46241</v>
      </c>
      <c r="S216" s="479">
        <f t="shared" si="0"/>
        <v>46241</v>
      </c>
      <c r="T216" s="478" t="s">
        <v>41</v>
      </c>
      <c r="U216" s="458"/>
      <c r="V216" s="460"/>
      <c r="W216" s="458"/>
      <c r="X216" s="457"/>
      <c r="Y216" s="430"/>
      <c r="Z216" s="430"/>
      <c r="AA216" s="430"/>
      <c r="AB216" s="430"/>
    </row>
    <row r="217" spans="1:28" ht="14.45" hidden="1" customHeight="1" x14ac:dyDescent="0.25">
      <c r="A217" s="458">
        <v>209</v>
      </c>
      <c r="B217" s="479">
        <v>46211</v>
      </c>
      <c r="C217" s="480" t="s">
        <v>376</v>
      </c>
      <c r="D217" s="480" t="s">
        <v>737</v>
      </c>
      <c r="E217" s="480" t="s">
        <v>645</v>
      </c>
      <c r="F217" s="496" t="s">
        <v>1089</v>
      </c>
      <c r="G217" s="497"/>
      <c r="H217" s="497"/>
      <c r="I217" s="498"/>
      <c r="J217" s="496" t="s">
        <v>1090</v>
      </c>
      <c r="K217" s="497"/>
      <c r="L217" s="498"/>
      <c r="M217" s="496" t="s">
        <v>1091</v>
      </c>
      <c r="N217" s="497"/>
      <c r="O217" s="497"/>
      <c r="P217" s="498"/>
      <c r="Q217" s="480" t="s">
        <v>649</v>
      </c>
      <c r="R217" s="479">
        <v>46241</v>
      </c>
      <c r="S217" s="479">
        <f t="shared" si="0"/>
        <v>46241</v>
      </c>
      <c r="T217" s="480" t="s">
        <v>41</v>
      </c>
      <c r="U217" s="458"/>
      <c r="V217" s="460"/>
      <c r="W217" s="458"/>
      <c r="X217" s="457"/>
      <c r="Y217" s="430"/>
      <c r="Z217" s="430"/>
      <c r="AA217" s="430"/>
      <c r="AB217" s="430"/>
    </row>
    <row r="218" spans="1:28" ht="14.45" hidden="1" customHeight="1" x14ac:dyDescent="0.25">
      <c r="A218" s="458">
        <v>210</v>
      </c>
      <c r="B218" s="477">
        <v>46237</v>
      </c>
      <c r="C218" s="478" t="s">
        <v>165</v>
      </c>
      <c r="D218" s="478" t="s">
        <v>644</v>
      </c>
      <c r="E218" s="478" t="s">
        <v>645</v>
      </c>
      <c r="F218" s="496" t="s">
        <v>1092</v>
      </c>
      <c r="G218" s="497"/>
      <c r="H218" s="497"/>
      <c r="I218" s="498"/>
      <c r="J218" s="496" t="s">
        <v>753</v>
      </c>
      <c r="K218" s="497"/>
      <c r="L218" s="498"/>
      <c r="M218" s="496" t="s">
        <v>648</v>
      </c>
      <c r="N218" s="497"/>
      <c r="O218" s="497"/>
      <c r="P218" s="498"/>
      <c r="Q218" s="478" t="s">
        <v>649</v>
      </c>
      <c r="R218" s="477">
        <v>46267</v>
      </c>
      <c r="S218" s="479">
        <f t="shared" si="0"/>
        <v>46267</v>
      </c>
      <c r="T218" s="478" t="s">
        <v>41</v>
      </c>
      <c r="U218" s="458"/>
      <c r="V218" s="460"/>
      <c r="W218" s="458"/>
      <c r="X218" s="457"/>
      <c r="Y218" s="430"/>
      <c r="Z218" s="430"/>
      <c r="AA218" s="430"/>
      <c r="AB218" s="430"/>
    </row>
    <row r="219" spans="1:28" ht="14.45" hidden="1" customHeight="1" x14ac:dyDescent="0.25">
      <c r="A219" s="458">
        <v>211</v>
      </c>
      <c r="B219" s="479">
        <v>46237</v>
      </c>
      <c r="C219" s="480" t="s">
        <v>165</v>
      </c>
      <c r="D219" s="480" t="s">
        <v>644</v>
      </c>
      <c r="E219" s="480" t="s">
        <v>645</v>
      </c>
      <c r="F219" s="496" t="s">
        <v>1093</v>
      </c>
      <c r="G219" s="497"/>
      <c r="H219" s="497"/>
      <c r="I219" s="498"/>
      <c r="J219" s="496" t="s">
        <v>1094</v>
      </c>
      <c r="K219" s="497"/>
      <c r="L219" s="498"/>
      <c r="M219" s="496" t="s">
        <v>648</v>
      </c>
      <c r="N219" s="497"/>
      <c r="O219" s="497"/>
      <c r="P219" s="498"/>
      <c r="Q219" s="480" t="s">
        <v>649</v>
      </c>
      <c r="R219" s="479">
        <v>46267</v>
      </c>
      <c r="S219" s="479">
        <v>46267</v>
      </c>
      <c r="T219" s="480" t="s">
        <v>41</v>
      </c>
      <c r="U219" s="492" t="s">
        <v>916</v>
      </c>
      <c r="V219" s="460"/>
      <c r="W219" s="458"/>
      <c r="X219" s="457"/>
      <c r="Y219" s="430"/>
      <c r="Z219" s="430"/>
      <c r="AA219" s="430"/>
      <c r="AB219" s="430"/>
    </row>
    <row r="220" spans="1:28" ht="14.45" hidden="1" customHeight="1" x14ac:dyDescent="0.25">
      <c r="A220" s="458">
        <v>212</v>
      </c>
      <c r="B220" s="477">
        <v>46237</v>
      </c>
      <c r="C220" s="478" t="s">
        <v>183</v>
      </c>
      <c r="D220" s="478" t="s">
        <v>644</v>
      </c>
      <c r="E220" s="478" t="s">
        <v>653</v>
      </c>
      <c r="F220" s="496" t="s">
        <v>1095</v>
      </c>
      <c r="G220" s="497"/>
      <c r="H220" s="497"/>
      <c r="I220" s="498"/>
      <c r="J220" s="496" t="s">
        <v>814</v>
      </c>
      <c r="K220" s="497"/>
      <c r="L220" s="498"/>
      <c r="M220" s="496" t="s">
        <v>734</v>
      </c>
      <c r="N220" s="497"/>
      <c r="O220" s="497"/>
      <c r="P220" s="498"/>
      <c r="Q220" s="478" t="s">
        <v>657</v>
      </c>
      <c r="R220" s="477">
        <v>46267</v>
      </c>
      <c r="S220" s="479">
        <f>R220</f>
        <v>46267</v>
      </c>
      <c r="T220" s="478" t="s">
        <v>41</v>
      </c>
      <c r="U220" s="458"/>
      <c r="V220" s="460"/>
      <c r="W220" s="458"/>
      <c r="X220" s="457"/>
      <c r="Y220" s="430"/>
      <c r="Z220" s="430"/>
      <c r="AA220" s="430"/>
      <c r="AB220" s="430"/>
    </row>
    <row r="221" spans="1:28" ht="14.45" hidden="1" customHeight="1" x14ac:dyDescent="0.25">
      <c r="A221" s="458">
        <v>213</v>
      </c>
      <c r="B221" s="479">
        <v>46237</v>
      </c>
      <c r="C221" s="480" t="s">
        <v>190</v>
      </c>
      <c r="D221" s="480" t="s">
        <v>644</v>
      </c>
      <c r="E221" s="480" t="s">
        <v>653</v>
      </c>
      <c r="F221" s="496" t="s">
        <v>1096</v>
      </c>
      <c r="G221" s="497"/>
      <c r="H221" s="497"/>
      <c r="I221" s="498"/>
      <c r="J221" s="496" t="s">
        <v>814</v>
      </c>
      <c r="K221" s="497"/>
      <c r="L221" s="498"/>
      <c r="M221" s="496" t="s">
        <v>734</v>
      </c>
      <c r="N221" s="497"/>
      <c r="O221" s="497"/>
      <c r="P221" s="498"/>
      <c r="Q221" s="480" t="s">
        <v>657</v>
      </c>
      <c r="R221" s="479">
        <v>46267</v>
      </c>
      <c r="S221" s="479">
        <v>46267</v>
      </c>
      <c r="T221" s="480" t="s">
        <v>41</v>
      </c>
      <c r="U221" s="492" t="s">
        <v>916</v>
      </c>
      <c r="V221" s="460"/>
      <c r="W221" s="458"/>
      <c r="X221" s="457"/>
      <c r="Y221" s="430"/>
      <c r="Z221" s="430"/>
      <c r="AA221" s="430"/>
      <c r="AB221" s="430"/>
    </row>
    <row r="222" spans="1:28" ht="14.45" hidden="1" customHeight="1" x14ac:dyDescent="0.25">
      <c r="A222" s="458">
        <v>214</v>
      </c>
      <c r="B222" s="477">
        <v>46237</v>
      </c>
      <c r="C222" s="478" t="s">
        <v>320</v>
      </c>
      <c r="D222" s="478" t="s">
        <v>706</v>
      </c>
      <c r="E222" s="478" t="s">
        <v>710</v>
      </c>
      <c r="F222" s="496" t="s">
        <v>1097</v>
      </c>
      <c r="G222" s="497"/>
      <c r="H222" s="497"/>
      <c r="I222" s="498"/>
      <c r="J222" s="496" t="s">
        <v>1098</v>
      </c>
      <c r="K222" s="497"/>
      <c r="L222" s="498"/>
      <c r="M222" s="496" t="s">
        <v>1099</v>
      </c>
      <c r="N222" s="497"/>
      <c r="O222" s="497"/>
      <c r="P222" s="498"/>
      <c r="Q222" s="478" t="s">
        <v>714</v>
      </c>
      <c r="R222" s="477">
        <v>46267</v>
      </c>
      <c r="S222" s="477">
        <v>46267</v>
      </c>
      <c r="T222" s="478" t="s">
        <v>41</v>
      </c>
      <c r="U222" s="492" t="s">
        <v>916</v>
      </c>
      <c r="V222" s="460"/>
      <c r="W222" s="458"/>
      <c r="X222" s="457"/>
      <c r="Y222" s="430"/>
      <c r="Z222" s="430"/>
      <c r="AA222" s="430"/>
      <c r="AB222" s="430"/>
    </row>
    <row r="223" spans="1:28" ht="14.45" hidden="1" customHeight="1" x14ac:dyDescent="0.25">
      <c r="A223" s="458">
        <v>215</v>
      </c>
      <c r="B223" s="479">
        <v>46237</v>
      </c>
      <c r="C223" s="480" t="s">
        <v>543</v>
      </c>
      <c r="D223" s="480" t="s">
        <v>728</v>
      </c>
      <c r="E223" s="480" t="s">
        <v>653</v>
      </c>
      <c r="F223" s="496" t="s">
        <v>1100</v>
      </c>
      <c r="G223" s="497"/>
      <c r="H223" s="497"/>
      <c r="I223" s="498"/>
      <c r="J223" s="496" t="s">
        <v>1101</v>
      </c>
      <c r="K223" s="497"/>
      <c r="L223" s="498"/>
      <c r="M223" s="496" t="s">
        <v>724</v>
      </c>
      <c r="N223" s="497"/>
      <c r="O223" s="497"/>
      <c r="P223" s="498"/>
      <c r="Q223" s="480" t="s">
        <v>649</v>
      </c>
      <c r="R223" s="479">
        <v>46267</v>
      </c>
      <c r="S223" s="479">
        <v>46267</v>
      </c>
      <c r="T223" s="480" t="s">
        <v>41</v>
      </c>
      <c r="U223" s="492" t="s">
        <v>916</v>
      </c>
      <c r="V223" s="460"/>
      <c r="W223" s="458"/>
      <c r="X223" s="457"/>
      <c r="Y223" s="430"/>
      <c r="Z223" s="430"/>
      <c r="AA223" s="430"/>
      <c r="AB223" s="430"/>
    </row>
    <row r="224" spans="1:28" ht="14.45" hidden="1" customHeight="1" x14ac:dyDescent="0.25">
      <c r="A224" s="458">
        <v>216</v>
      </c>
      <c r="B224" s="477">
        <v>46237</v>
      </c>
      <c r="C224" s="478" t="s">
        <v>296</v>
      </c>
      <c r="D224" s="478" t="s">
        <v>706</v>
      </c>
      <c r="E224" s="478" t="s">
        <v>645</v>
      </c>
      <c r="F224" s="496" t="s">
        <v>1102</v>
      </c>
      <c r="G224" s="497"/>
      <c r="H224" s="497"/>
      <c r="I224" s="498"/>
      <c r="J224" s="496" t="s">
        <v>1103</v>
      </c>
      <c r="K224" s="497"/>
      <c r="L224" s="498"/>
      <c r="M224" s="496" t="s">
        <v>1104</v>
      </c>
      <c r="N224" s="497"/>
      <c r="O224" s="497"/>
      <c r="P224" s="498"/>
      <c r="Q224" s="478" t="s">
        <v>649</v>
      </c>
      <c r="R224" s="477">
        <v>46267</v>
      </c>
      <c r="S224" s="477">
        <v>46267</v>
      </c>
      <c r="T224" s="478" t="s">
        <v>41</v>
      </c>
      <c r="U224" s="492" t="s">
        <v>916</v>
      </c>
      <c r="V224" s="460"/>
      <c r="W224" s="458"/>
      <c r="X224" s="457"/>
      <c r="Y224" s="430"/>
      <c r="Z224" s="430"/>
      <c r="AA224" s="430"/>
      <c r="AB224" s="430"/>
    </row>
    <row r="225" spans="1:28" ht="44.25" hidden="1" customHeight="1" x14ac:dyDescent="0.25">
      <c r="A225" s="458">
        <v>217</v>
      </c>
      <c r="B225" s="479">
        <v>46237</v>
      </c>
      <c r="C225" s="480" t="s">
        <v>288</v>
      </c>
      <c r="D225" s="480" t="s">
        <v>706</v>
      </c>
      <c r="E225" s="480" t="s">
        <v>710</v>
      </c>
      <c r="F225" s="496" t="s">
        <v>1105</v>
      </c>
      <c r="G225" s="497"/>
      <c r="H225" s="497"/>
      <c r="I225" s="498"/>
      <c r="J225" s="496" t="s">
        <v>1106</v>
      </c>
      <c r="K225" s="497"/>
      <c r="L225" s="498"/>
      <c r="M225" s="496" t="s">
        <v>1107</v>
      </c>
      <c r="N225" s="497"/>
      <c r="O225" s="497"/>
      <c r="P225" s="498"/>
      <c r="Q225" s="480" t="s">
        <v>714</v>
      </c>
      <c r="R225" s="479">
        <v>46267</v>
      </c>
      <c r="S225" s="479">
        <v>46267</v>
      </c>
      <c r="T225" s="480" t="s">
        <v>41</v>
      </c>
      <c r="U225" s="492" t="s">
        <v>916</v>
      </c>
      <c r="V225" s="460"/>
      <c r="W225" s="458"/>
      <c r="X225" s="457"/>
      <c r="Y225" s="430"/>
      <c r="Z225" s="430"/>
      <c r="AA225" s="430"/>
      <c r="AB225" s="430"/>
    </row>
    <row r="226" spans="1:28" ht="14.45" hidden="1" customHeight="1" x14ac:dyDescent="0.25">
      <c r="A226" s="458">
        <v>218</v>
      </c>
      <c r="B226" s="477">
        <v>46238</v>
      </c>
      <c r="C226" s="478" t="s">
        <v>589</v>
      </c>
      <c r="D226" s="478" t="s">
        <v>697</v>
      </c>
      <c r="E226" s="478" t="s">
        <v>645</v>
      </c>
      <c r="F226" s="496" t="s">
        <v>1108</v>
      </c>
      <c r="G226" s="497"/>
      <c r="H226" s="497"/>
      <c r="I226" s="498"/>
      <c r="J226" s="496" t="s">
        <v>720</v>
      </c>
      <c r="K226" s="497"/>
      <c r="L226" s="498"/>
      <c r="M226" s="496" t="s">
        <v>724</v>
      </c>
      <c r="N226" s="497"/>
      <c r="O226" s="497"/>
      <c r="P226" s="498"/>
      <c r="Q226" s="478" t="s">
        <v>649</v>
      </c>
      <c r="R226" s="477">
        <v>46268</v>
      </c>
      <c r="S226" s="477">
        <v>46268</v>
      </c>
      <c r="T226" s="478" t="s">
        <v>41</v>
      </c>
      <c r="U226" s="492" t="s">
        <v>916</v>
      </c>
      <c r="V226" s="460"/>
      <c r="W226" s="458"/>
      <c r="X226" s="457"/>
      <c r="Y226" s="430"/>
      <c r="Z226" s="430"/>
      <c r="AA226" s="430"/>
      <c r="AB226" s="430"/>
    </row>
    <row r="227" spans="1:28" ht="14.45" hidden="1" customHeight="1" x14ac:dyDescent="0.25">
      <c r="A227" s="458">
        <v>219</v>
      </c>
      <c r="B227" s="479">
        <v>46238</v>
      </c>
      <c r="C227" s="480" t="s">
        <v>603</v>
      </c>
      <c r="D227" s="480" t="s">
        <v>697</v>
      </c>
      <c r="E227" s="480" t="s">
        <v>645</v>
      </c>
      <c r="F227" s="496" t="s">
        <v>1109</v>
      </c>
      <c r="G227" s="497"/>
      <c r="H227" s="497"/>
      <c r="I227" s="498"/>
      <c r="J227" s="496" t="s">
        <v>712</v>
      </c>
      <c r="K227" s="497"/>
      <c r="L227" s="498"/>
      <c r="M227" s="496" t="s">
        <v>1110</v>
      </c>
      <c r="N227" s="497"/>
      <c r="O227" s="497"/>
      <c r="P227" s="498"/>
      <c r="Q227" s="480" t="s">
        <v>649</v>
      </c>
      <c r="R227" s="479">
        <v>46268</v>
      </c>
      <c r="S227" s="479">
        <v>46268</v>
      </c>
      <c r="T227" s="480" t="s">
        <v>41</v>
      </c>
      <c r="U227" s="492" t="s">
        <v>916</v>
      </c>
      <c r="V227" s="460"/>
      <c r="W227" s="458"/>
      <c r="X227" s="457"/>
      <c r="Y227" s="430"/>
      <c r="Z227" s="430"/>
      <c r="AA227" s="430"/>
      <c r="AB227" s="430"/>
    </row>
    <row r="228" spans="1:28" ht="14.45" hidden="1" customHeight="1" x14ac:dyDescent="0.25">
      <c r="A228" s="458">
        <v>220</v>
      </c>
      <c r="B228" s="477">
        <v>46238</v>
      </c>
      <c r="C228" s="478" t="s">
        <v>580</v>
      </c>
      <c r="D228" s="478" t="s">
        <v>697</v>
      </c>
      <c r="E228" s="478" t="s">
        <v>645</v>
      </c>
      <c r="F228" s="496" t="s">
        <v>1111</v>
      </c>
      <c r="G228" s="497"/>
      <c r="H228" s="497"/>
      <c r="I228" s="498"/>
      <c r="J228" s="496" t="s">
        <v>1112</v>
      </c>
      <c r="K228" s="497"/>
      <c r="L228" s="498"/>
      <c r="M228" s="496" t="s">
        <v>1113</v>
      </c>
      <c r="N228" s="497"/>
      <c r="O228" s="497"/>
      <c r="P228" s="498"/>
      <c r="Q228" s="478" t="s">
        <v>649</v>
      </c>
      <c r="R228" s="477">
        <v>46268</v>
      </c>
      <c r="S228" s="479">
        <f t="shared" ref="S228:S230" si="1">R228</f>
        <v>46268</v>
      </c>
      <c r="T228" s="478" t="s">
        <v>41</v>
      </c>
      <c r="U228" s="458"/>
      <c r="V228" s="460"/>
      <c r="W228" s="458"/>
      <c r="X228" s="457"/>
      <c r="Y228" s="430"/>
      <c r="Z228" s="430"/>
      <c r="AA228" s="430"/>
      <c r="AB228" s="430"/>
    </row>
    <row r="229" spans="1:28" ht="14.45" hidden="1" customHeight="1" x14ac:dyDescent="0.25">
      <c r="A229" s="458">
        <v>221</v>
      </c>
      <c r="B229" s="479">
        <v>46238</v>
      </c>
      <c r="C229" s="480" t="s">
        <v>376</v>
      </c>
      <c r="D229" s="480" t="s">
        <v>737</v>
      </c>
      <c r="E229" s="480" t="s">
        <v>645</v>
      </c>
      <c r="F229" s="496" t="s">
        <v>666</v>
      </c>
      <c r="G229" s="497"/>
      <c r="H229" s="497"/>
      <c r="I229" s="498"/>
      <c r="J229" s="496" t="s">
        <v>1114</v>
      </c>
      <c r="K229" s="497"/>
      <c r="L229" s="498"/>
      <c r="M229" s="496" t="s">
        <v>667</v>
      </c>
      <c r="N229" s="497"/>
      <c r="O229" s="497"/>
      <c r="P229" s="498"/>
      <c r="Q229" s="480" t="s">
        <v>649</v>
      </c>
      <c r="R229" s="479">
        <v>46268</v>
      </c>
      <c r="S229" s="479">
        <f t="shared" si="1"/>
        <v>46268</v>
      </c>
      <c r="T229" s="480" t="s">
        <v>41</v>
      </c>
      <c r="U229" s="458"/>
      <c r="V229" s="460"/>
      <c r="W229" s="458"/>
      <c r="X229" s="457"/>
      <c r="Y229" s="430"/>
      <c r="Z229" s="430"/>
      <c r="AA229" s="430"/>
      <c r="AB229" s="430"/>
    </row>
    <row r="230" spans="1:28" ht="14.45" hidden="1" customHeight="1" x14ac:dyDescent="0.25">
      <c r="A230" s="458">
        <v>222</v>
      </c>
      <c r="B230" s="477">
        <v>46238</v>
      </c>
      <c r="C230" s="478" t="s">
        <v>376</v>
      </c>
      <c r="D230" s="478" t="s">
        <v>737</v>
      </c>
      <c r="E230" s="478" t="s">
        <v>645</v>
      </c>
      <c r="F230" s="496" t="s">
        <v>666</v>
      </c>
      <c r="G230" s="497"/>
      <c r="H230" s="497"/>
      <c r="I230" s="498"/>
      <c r="J230" s="496" t="s">
        <v>1114</v>
      </c>
      <c r="K230" s="497"/>
      <c r="L230" s="498"/>
      <c r="M230" s="496" t="s">
        <v>667</v>
      </c>
      <c r="N230" s="497"/>
      <c r="O230" s="497"/>
      <c r="P230" s="498"/>
      <c r="Q230" s="478" t="s">
        <v>649</v>
      </c>
      <c r="R230" s="477">
        <v>46268</v>
      </c>
      <c r="S230" s="479">
        <f t="shared" si="1"/>
        <v>46268</v>
      </c>
      <c r="T230" s="478" t="s">
        <v>41</v>
      </c>
      <c r="U230" s="458"/>
      <c r="V230" s="460"/>
      <c r="W230" s="458"/>
      <c r="X230" s="457"/>
      <c r="Y230" s="430"/>
      <c r="Z230" s="430"/>
      <c r="AA230" s="430"/>
      <c r="AB230" s="430"/>
    </row>
    <row r="231" spans="1:28" ht="14.45" hidden="1" customHeight="1" x14ac:dyDescent="0.25">
      <c r="A231" s="458">
        <v>223</v>
      </c>
      <c r="B231" s="479">
        <v>46238</v>
      </c>
      <c r="C231" s="480" t="s">
        <v>371</v>
      </c>
      <c r="D231" s="480" t="s">
        <v>737</v>
      </c>
      <c r="E231" s="480" t="s">
        <v>645</v>
      </c>
      <c r="F231" s="496" t="s">
        <v>365</v>
      </c>
      <c r="G231" s="497"/>
      <c r="H231" s="497"/>
      <c r="I231" s="498"/>
      <c r="J231" s="496" t="s">
        <v>1115</v>
      </c>
      <c r="K231" s="497"/>
      <c r="L231" s="498"/>
      <c r="M231" s="496" t="s">
        <v>648</v>
      </c>
      <c r="N231" s="497"/>
      <c r="O231" s="497"/>
      <c r="P231" s="498"/>
      <c r="Q231" s="480" t="s">
        <v>649</v>
      </c>
      <c r="R231" s="479">
        <v>46268</v>
      </c>
      <c r="S231" s="479">
        <v>46268</v>
      </c>
      <c r="T231" s="480" t="s">
        <v>41</v>
      </c>
      <c r="U231" s="492" t="s">
        <v>916</v>
      </c>
      <c r="V231" s="460"/>
      <c r="W231" s="458"/>
      <c r="X231" s="457"/>
      <c r="Y231" s="430"/>
      <c r="Z231" s="430"/>
      <c r="AA231" s="430"/>
      <c r="AB231" s="430"/>
    </row>
    <row r="232" spans="1:28" ht="14.45" hidden="1" customHeight="1" x14ac:dyDescent="0.25">
      <c r="A232" s="458">
        <v>224</v>
      </c>
      <c r="B232" s="477">
        <v>46238</v>
      </c>
      <c r="C232" s="478" t="s">
        <v>464</v>
      </c>
      <c r="D232" s="478" t="s">
        <v>664</v>
      </c>
      <c r="E232" s="478" t="s">
        <v>653</v>
      </c>
      <c r="F232" s="496" t="s">
        <v>1116</v>
      </c>
      <c r="G232" s="497"/>
      <c r="H232" s="497"/>
      <c r="I232" s="498"/>
      <c r="J232" s="496" t="s">
        <v>1117</v>
      </c>
      <c r="K232" s="497"/>
      <c r="L232" s="498"/>
      <c r="M232" s="496" t="s">
        <v>1118</v>
      </c>
      <c r="N232" s="497"/>
      <c r="O232" s="497"/>
      <c r="P232" s="498"/>
      <c r="Q232" s="478" t="s">
        <v>657</v>
      </c>
      <c r="R232" s="477">
        <v>46268</v>
      </c>
      <c r="S232" s="477">
        <v>46268</v>
      </c>
      <c r="T232" s="478" t="s">
        <v>41</v>
      </c>
      <c r="U232" s="492" t="s">
        <v>916</v>
      </c>
      <c r="V232" s="460"/>
      <c r="W232" s="458"/>
      <c r="X232" s="457"/>
      <c r="Y232" s="430"/>
      <c r="Z232" s="430"/>
      <c r="AA232" s="430"/>
      <c r="AB232" s="430"/>
    </row>
    <row r="233" spans="1:28" ht="14.45" hidden="1" customHeight="1" x14ac:dyDescent="0.25">
      <c r="A233" s="458">
        <v>225</v>
      </c>
      <c r="B233" s="479">
        <v>46238</v>
      </c>
      <c r="C233" s="480" t="s">
        <v>468</v>
      </c>
      <c r="D233" s="480" t="s">
        <v>664</v>
      </c>
      <c r="E233" s="480" t="s">
        <v>653</v>
      </c>
      <c r="F233" s="496" t="s">
        <v>1119</v>
      </c>
      <c r="G233" s="497"/>
      <c r="H233" s="497"/>
      <c r="I233" s="498"/>
      <c r="J233" s="496" t="s">
        <v>832</v>
      </c>
      <c r="K233" s="497"/>
      <c r="L233" s="498"/>
      <c r="M233" s="496" t="s">
        <v>1120</v>
      </c>
      <c r="N233" s="497"/>
      <c r="O233" s="497"/>
      <c r="P233" s="498"/>
      <c r="Q233" s="480" t="s">
        <v>649</v>
      </c>
      <c r="R233" s="479">
        <v>46268</v>
      </c>
      <c r="S233" s="479">
        <v>46268</v>
      </c>
      <c r="T233" s="480" t="s">
        <v>41</v>
      </c>
      <c r="U233" s="492" t="s">
        <v>916</v>
      </c>
      <c r="V233" s="460"/>
      <c r="W233" s="458"/>
      <c r="X233" s="457"/>
      <c r="Y233" s="430"/>
      <c r="Z233" s="430"/>
      <c r="AA233" s="430"/>
      <c r="AB233" s="430"/>
    </row>
    <row r="234" spans="1:28" ht="14.45" hidden="1" customHeight="1" x14ac:dyDescent="0.25">
      <c r="A234" s="458">
        <v>226</v>
      </c>
      <c r="B234" s="477">
        <v>46238</v>
      </c>
      <c r="C234" s="478" t="s">
        <v>468</v>
      </c>
      <c r="D234" s="478" t="s">
        <v>664</v>
      </c>
      <c r="E234" s="478" t="s">
        <v>653</v>
      </c>
      <c r="F234" s="496" t="s">
        <v>1121</v>
      </c>
      <c r="G234" s="497"/>
      <c r="H234" s="497"/>
      <c r="I234" s="498"/>
      <c r="J234" s="496" t="s">
        <v>832</v>
      </c>
      <c r="K234" s="497"/>
      <c r="L234" s="498"/>
      <c r="M234" s="496" t="s">
        <v>1122</v>
      </c>
      <c r="N234" s="497"/>
      <c r="O234" s="497"/>
      <c r="P234" s="498"/>
      <c r="Q234" s="478" t="s">
        <v>649</v>
      </c>
      <c r="R234" s="477">
        <v>46268</v>
      </c>
      <c r="S234" s="477">
        <v>46268</v>
      </c>
      <c r="T234" s="478" t="s">
        <v>41</v>
      </c>
      <c r="U234" s="492" t="s">
        <v>916</v>
      </c>
      <c r="V234" s="460"/>
      <c r="W234" s="458"/>
      <c r="X234" s="457"/>
      <c r="Y234" s="430"/>
      <c r="Z234" s="430"/>
      <c r="AA234" s="430"/>
      <c r="AB234" s="430"/>
    </row>
    <row r="235" spans="1:28" ht="14.45" hidden="1" customHeight="1" x14ac:dyDescent="0.25">
      <c r="A235" s="458">
        <v>227</v>
      </c>
      <c r="B235" s="479">
        <v>46238</v>
      </c>
      <c r="C235" s="480" t="s">
        <v>454</v>
      </c>
      <c r="D235" s="480" t="s">
        <v>664</v>
      </c>
      <c r="E235" s="480" t="s">
        <v>645</v>
      </c>
      <c r="F235" s="496" t="s">
        <v>1123</v>
      </c>
      <c r="G235" s="497"/>
      <c r="H235" s="497"/>
      <c r="I235" s="498"/>
      <c r="J235" s="496" t="s">
        <v>1115</v>
      </c>
      <c r="K235" s="497"/>
      <c r="L235" s="498"/>
      <c r="M235" s="496" t="s">
        <v>1028</v>
      </c>
      <c r="N235" s="497"/>
      <c r="O235" s="497"/>
      <c r="P235" s="498"/>
      <c r="Q235" s="480" t="s">
        <v>649</v>
      </c>
      <c r="R235" s="479">
        <v>46268</v>
      </c>
      <c r="S235" s="479">
        <v>46268</v>
      </c>
      <c r="T235" s="480" t="s">
        <v>41</v>
      </c>
      <c r="U235" s="492" t="s">
        <v>916</v>
      </c>
      <c r="V235" s="460"/>
      <c r="W235" s="458"/>
      <c r="X235" s="457"/>
      <c r="Y235" s="430"/>
      <c r="Z235" s="430"/>
      <c r="AA235" s="430"/>
      <c r="AB235" s="430"/>
    </row>
    <row r="236" spans="1:28" ht="14.45" hidden="1" customHeight="1" x14ac:dyDescent="0.25">
      <c r="A236" s="458">
        <v>228</v>
      </c>
      <c r="B236" s="477">
        <v>46238</v>
      </c>
      <c r="C236" s="478" t="s">
        <v>448</v>
      </c>
      <c r="D236" s="478" t="s">
        <v>664</v>
      </c>
      <c r="E236" s="478" t="s">
        <v>653</v>
      </c>
      <c r="F236" s="496" t="s">
        <v>1124</v>
      </c>
      <c r="G236" s="497"/>
      <c r="H236" s="497"/>
      <c r="I236" s="498"/>
      <c r="J236" s="496" t="s">
        <v>1115</v>
      </c>
      <c r="K236" s="497"/>
      <c r="L236" s="498"/>
      <c r="M236" s="496" t="s">
        <v>696</v>
      </c>
      <c r="N236" s="497"/>
      <c r="O236" s="497"/>
      <c r="P236" s="498"/>
      <c r="Q236" s="478" t="s">
        <v>657</v>
      </c>
      <c r="R236" s="477">
        <v>46268</v>
      </c>
      <c r="S236" s="477">
        <v>46261</v>
      </c>
      <c r="T236" s="478" t="s">
        <v>41</v>
      </c>
      <c r="U236" s="458"/>
      <c r="V236" s="460"/>
      <c r="W236" s="458"/>
      <c r="X236" s="457"/>
      <c r="Y236" s="430"/>
      <c r="Z236" s="430"/>
      <c r="AA236" s="430"/>
      <c r="AB236" s="430"/>
    </row>
    <row r="237" spans="1:28" ht="14.45" hidden="1" customHeight="1" x14ac:dyDescent="0.25">
      <c r="A237" s="458">
        <v>229</v>
      </c>
      <c r="B237" s="479">
        <v>46238</v>
      </c>
      <c r="C237" s="480" t="s">
        <v>468</v>
      </c>
      <c r="D237" s="480" t="s">
        <v>664</v>
      </c>
      <c r="E237" s="480" t="s">
        <v>653</v>
      </c>
      <c r="F237" s="496" t="s">
        <v>1125</v>
      </c>
      <c r="G237" s="497"/>
      <c r="H237" s="497"/>
      <c r="I237" s="498"/>
      <c r="J237" s="496" t="s">
        <v>666</v>
      </c>
      <c r="K237" s="497"/>
      <c r="L237" s="498"/>
      <c r="M237" s="496" t="s">
        <v>667</v>
      </c>
      <c r="N237" s="497"/>
      <c r="O237" s="497"/>
      <c r="P237" s="498"/>
      <c r="Q237" s="480" t="s">
        <v>657</v>
      </c>
      <c r="R237" s="479">
        <v>46268</v>
      </c>
      <c r="S237" s="479">
        <v>46240</v>
      </c>
      <c r="T237" s="480" t="s">
        <v>41</v>
      </c>
      <c r="U237" s="458"/>
      <c r="V237" s="460"/>
      <c r="W237" s="458"/>
      <c r="X237" s="457"/>
      <c r="Y237" s="430"/>
      <c r="Z237" s="430"/>
      <c r="AA237" s="430"/>
      <c r="AB237" s="430"/>
    </row>
    <row r="238" spans="1:28" ht="14.45" hidden="1" customHeight="1" x14ac:dyDescent="0.25">
      <c r="A238" s="458">
        <v>230</v>
      </c>
      <c r="B238" s="477">
        <v>46238</v>
      </c>
      <c r="C238" s="478" t="s">
        <v>454</v>
      </c>
      <c r="D238" s="478" t="s">
        <v>664</v>
      </c>
      <c r="E238" s="478" t="s">
        <v>653</v>
      </c>
      <c r="F238" s="496" t="s">
        <v>1126</v>
      </c>
      <c r="G238" s="497"/>
      <c r="H238" s="497"/>
      <c r="I238" s="498"/>
      <c r="J238" s="496" t="s">
        <v>1115</v>
      </c>
      <c r="K238" s="497"/>
      <c r="L238" s="498"/>
      <c r="M238" s="496" t="s">
        <v>734</v>
      </c>
      <c r="N238" s="497"/>
      <c r="O238" s="497"/>
      <c r="P238" s="498"/>
      <c r="Q238" s="478" t="s">
        <v>657</v>
      </c>
      <c r="R238" s="477">
        <v>46268</v>
      </c>
      <c r="S238" s="477">
        <v>46261</v>
      </c>
      <c r="T238" s="478" t="s">
        <v>41</v>
      </c>
      <c r="U238" s="458"/>
      <c r="V238" s="460"/>
      <c r="W238" s="458"/>
      <c r="X238" s="457"/>
      <c r="Y238" s="430"/>
      <c r="Z238" s="430"/>
      <c r="AA238" s="430"/>
      <c r="AB238" s="430"/>
    </row>
    <row r="239" spans="1:28" ht="14.45" customHeight="1" x14ac:dyDescent="0.25">
      <c r="A239" s="458">
        <v>231</v>
      </c>
      <c r="B239" s="479">
        <v>46266</v>
      </c>
      <c r="C239" s="480" t="s">
        <v>190</v>
      </c>
      <c r="D239" s="480" t="s">
        <v>644</v>
      </c>
      <c r="E239" s="480" t="s">
        <v>645</v>
      </c>
      <c r="F239" s="496" t="s">
        <v>196</v>
      </c>
      <c r="G239" s="497"/>
      <c r="H239" s="497"/>
      <c r="I239" s="498"/>
      <c r="J239" s="496" t="s">
        <v>1127</v>
      </c>
      <c r="K239" s="497"/>
      <c r="L239" s="498"/>
      <c r="M239" s="496" t="s">
        <v>1128</v>
      </c>
      <c r="N239" s="497"/>
      <c r="O239" s="497"/>
      <c r="P239" s="498"/>
      <c r="Q239" s="480" t="s">
        <v>649</v>
      </c>
      <c r="R239" s="479">
        <v>46296</v>
      </c>
      <c r="S239" s="479"/>
      <c r="T239" s="480" t="s">
        <v>39</v>
      </c>
      <c r="U239" s="492"/>
      <c r="V239" s="460"/>
      <c r="W239" s="458"/>
    </row>
    <row r="240" spans="1:28" ht="14.45" customHeight="1" x14ac:dyDescent="0.25">
      <c r="A240" s="458">
        <v>232</v>
      </c>
      <c r="B240" s="477">
        <v>46266</v>
      </c>
      <c r="C240" s="478" t="s">
        <v>491</v>
      </c>
      <c r="D240" s="478" t="s">
        <v>664</v>
      </c>
      <c r="E240" s="478" t="s">
        <v>653</v>
      </c>
      <c r="F240" s="496" t="s">
        <v>494</v>
      </c>
      <c r="G240" s="497"/>
      <c r="H240" s="497"/>
      <c r="I240" s="498"/>
      <c r="J240" s="496" t="s">
        <v>814</v>
      </c>
      <c r="K240" s="497"/>
      <c r="L240" s="498"/>
      <c r="M240" s="496" t="s">
        <v>734</v>
      </c>
      <c r="N240" s="497"/>
      <c r="O240" s="497"/>
      <c r="P240" s="498"/>
      <c r="Q240" s="478" t="s">
        <v>657</v>
      </c>
      <c r="R240" s="477">
        <v>46296</v>
      </c>
      <c r="S240" s="477"/>
      <c r="T240" s="478" t="s">
        <v>39</v>
      </c>
      <c r="U240" s="492"/>
      <c r="V240" s="460"/>
      <c r="W240" s="458"/>
    </row>
    <row r="241" spans="1:23" ht="14.45" customHeight="1" x14ac:dyDescent="0.25">
      <c r="A241" s="458">
        <v>233</v>
      </c>
      <c r="B241" s="479">
        <v>46266</v>
      </c>
      <c r="C241" s="480" t="s">
        <v>314</v>
      </c>
      <c r="D241" s="480" t="s">
        <v>706</v>
      </c>
      <c r="E241" s="480" t="s">
        <v>710</v>
      </c>
      <c r="F241" s="496" t="s">
        <v>1129</v>
      </c>
      <c r="G241" s="497"/>
      <c r="H241" s="497"/>
      <c r="I241" s="498"/>
      <c r="J241" s="496" t="s">
        <v>1130</v>
      </c>
      <c r="K241" s="497"/>
      <c r="L241" s="498"/>
      <c r="M241" s="496" t="s">
        <v>1131</v>
      </c>
      <c r="N241" s="497"/>
      <c r="O241" s="497"/>
      <c r="P241" s="498"/>
      <c r="Q241" s="480" t="s">
        <v>714</v>
      </c>
      <c r="R241" s="479">
        <v>46296</v>
      </c>
      <c r="S241" s="479"/>
      <c r="T241" s="480" t="s">
        <v>39</v>
      </c>
      <c r="U241" s="492"/>
      <c r="V241" s="460"/>
      <c r="W241" s="458"/>
    </row>
    <row r="242" spans="1:23" ht="14.45" customHeight="1" x14ac:dyDescent="0.25">
      <c r="A242" s="458">
        <v>234</v>
      </c>
      <c r="B242" s="477">
        <v>46266</v>
      </c>
      <c r="C242" s="478" t="s">
        <v>1132</v>
      </c>
      <c r="D242" s="478" t="s">
        <v>706</v>
      </c>
      <c r="E242" s="478" t="s">
        <v>645</v>
      </c>
      <c r="F242" s="496" t="s">
        <v>295</v>
      </c>
      <c r="G242" s="497"/>
      <c r="H242" s="497"/>
      <c r="I242" s="498"/>
      <c r="J242" s="496" t="s">
        <v>1133</v>
      </c>
      <c r="K242" s="497"/>
      <c r="L242" s="498"/>
      <c r="M242" s="496" t="s">
        <v>1134</v>
      </c>
      <c r="N242" s="497"/>
      <c r="O242" s="497"/>
      <c r="P242" s="498"/>
      <c r="Q242" s="478" t="s">
        <v>649</v>
      </c>
      <c r="R242" s="477">
        <v>46296</v>
      </c>
      <c r="S242" s="477"/>
      <c r="T242" s="478" t="s">
        <v>39</v>
      </c>
      <c r="U242" s="492"/>
      <c r="V242" s="460"/>
      <c r="W242" s="458"/>
    </row>
    <row r="243" spans="1:23" ht="14.45" customHeight="1" x14ac:dyDescent="0.25">
      <c r="A243" s="458">
        <v>235</v>
      </c>
      <c r="B243" s="479">
        <v>46266</v>
      </c>
      <c r="C243" s="480" t="s">
        <v>345</v>
      </c>
      <c r="D243" s="480" t="s">
        <v>706</v>
      </c>
      <c r="E243" s="480" t="s">
        <v>645</v>
      </c>
      <c r="F243" s="496" t="s">
        <v>348</v>
      </c>
      <c r="G243" s="497"/>
      <c r="H243" s="497"/>
      <c r="I243" s="498"/>
      <c r="J243" s="496" t="s">
        <v>1042</v>
      </c>
      <c r="K243" s="497"/>
      <c r="L243" s="498"/>
      <c r="M243" s="496" t="s">
        <v>817</v>
      </c>
      <c r="N243" s="497"/>
      <c r="O243" s="497"/>
      <c r="P243" s="498"/>
      <c r="Q243" s="480" t="s">
        <v>649</v>
      </c>
      <c r="R243" s="479">
        <v>46296</v>
      </c>
      <c r="S243" s="479"/>
      <c r="T243" s="480" t="s">
        <v>39</v>
      </c>
      <c r="U243" s="492"/>
      <c r="V243" s="460"/>
      <c r="W243" s="458"/>
    </row>
    <row r="244" spans="1:23" ht="14.45" customHeight="1" x14ac:dyDescent="0.25">
      <c r="A244" s="458">
        <v>236</v>
      </c>
      <c r="B244" s="477">
        <v>46266</v>
      </c>
      <c r="C244" s="478" t="s">
        <v>332</v>
      </c>
      <c r="D244" s="478" t="s">
        <v>706</v>
      </c>
      <c r="E244" s="478" t="s">
        <v>710</v>
      </c>
      <c r="F244" s="496" t="s">
        <v>337</v>
      </c>
      <c r="G244" s="497"/>
      <c r="H244" s="497"/>
      <c r="I244" s="498"/>
      <c r="J244" s="496" t="s">
        <v>1135</v>
      </c>
      <c r="K244" s="497"/>
      <c r="L244" s="498"/>
      <c r="M244" s="496" t="s">
        <v>734</v>
      </c>
      <c r="N244" s="497"/>
      <c r="O244" s="497"/>
      <c r="P244" s="498"/>
      <c r="Q244" s="478" t="s">
        <v>714</v>
      </c>
      <c r="R244" s="477">
        <v>46296</v>
      </c>
      <c r="S244" s="477"/>
      <c r="T244" s="478" t="s">
        <v>39</v>
      </c>
      <c r="U244" s="492"/>
      <c r="V244" s="460"/>
      <c r="W244" s="458"/>
    </row>
    <row r="245" spans="1:23" ht="14.45" customHeight="1" x14ac:dyDescent="0.25">
      <c r="A245" s="458">
        <v>237</v>
      </c>
      <c r="B245" s="479">
        <v>46266</v>
      </c>
      <c r="C245" s="480" t="s">
        <v>592</v>
      </c>
      <c r="D245" s="480" t="s">
        <v>697</v>
      </c>
      <c r="E245" s="480" t="s">
        <v>653</v>
      </c>
      <c r="F245" s="496" t="s">
        <v>596</v>
      </c>
      <c r="G245" s="497"/>
      <c r="H245" s="497"/>
      <c r="I245" s="498"/>
      <c r="J245" s="496" t="s">
        <v>1136</v>
      </c>
      <c r="K245" s="497"/>
      <c r="L245" s="498"/>
      <c r="M245" s="496" t="s">
        <v>1137</v>
      </c>
      <c r="N245" s="497"/>
      <c r="O245" s="497"/>
      <c r="P245" s="498"/>
      <c r="Q245" s="480" t="s">
        <v>649</v>
      </c>
      <c r="R245" s="479">
        <v>46296</v>
      </c>
      <c r="S245" s="479"/>
      <c r="T245" s="480" t="s">
        <v>39</v>
      </c>
      <c r="U245" s="492"/>
      <c r="V245" s="460"/>
      <c r="W245" s="458"/>
    </row>
    <row r="246" spans="1:23" ht="14.45" customHeight="1" x14ac:dyDescent="0.25">
      <c r="A246" s="458">
        <v>238</v>
      </c>
      <c r="B246" s="477">
        <v>46266</v>
      </c>
      <c r="C246" s="478" t="s">
        <v>376</v>
      </c>
      <c r="D246" s="478" t="s">
        <v>737</v>
      </c>
      <c r="E246" s="478" t="s">
        <v>645</v>
      </c>
      <c r="F246" s="496" t="s">
        <v>379</v>
      </c>
      <c r="G246" s="497"/>
      <c r="H246" s="497"/>
      <c r="I246" s="498"/>
      <c r="J246" s="496" t="s">
        <v>1138</v>
      </c>
      <c r="K246" s="497"/>
      <c r="L246" s="498"/>
      <c r="M246" s="496" t="s">
        <v>1139</v>
      </c>
      <c r="N246" s="497"/>
      <c r="O246" s="497"/>
      <c r="P246" s="498"/>
      <c r="Q246" s="478" t="s">
        <v>649</v>
      </c>
      <c r="R246" s="477">
        <v>46296</v>
      </c>
      <c r="S246" s="477">
        <v>46269</v>
      </c>
      <c r="T246" s="478" t="s">
        <v>41</v>
      </c>
      <c r="U246" s="492"/>
      <c r="V246" s="460"/>
      <c r="W246" s="458"/>
    </row>
    <row r="247" spans="1:23" ht="14.45" customHeight="1" x14ac:dyDescent="0.25">
      <c r="A247" s="458">
        <v>239</v>
      </c>
      <c r="B247" s="479">
        <v>46266</v>
      </c>
      <c r="C247" s="480" t="s">
        <v>376</v>
      </c>
      <c r="D247" s="480" t="s">
        <v>737</v>
      </c>
      <c r="E247" s="480" t="s">
        <v>645</v>
      </c>
      <c r="F247" s="496" t="s">
        <v>1140</v>
      </c>
      <c r="G247" s="497"/>
      <c r="H247" s="497"/>
      <c r="I247" s="498"/>
      <c r="J247" s="496" t="s">
        <v>1138</v>
      </c>
      <c r="K247" s="497"/>
      <c r="L247" s="498"/>
      <c r="M247" s="496" t="s">
        <v>1139</v>
      </c>
      <c r="N247" s="497"/>
      <c r="O247" s="497"/>
      <c r="P247" s="498"/>
      <c r="Q247" s="480" t="s">
        <v>649</v>
      </c>
      <c r="R247" s="479">
        <v>46296</v>
      </c>
      <c r="S247" s="477">
        <v>46269</v>
      </c>
      <c r="T247" s="480" t="s">
        <v>41</v>
      </c>
      <c r="U247" s="492"/>
      <c r="V247" s="460"/>
      <c r="W247" s="458"/>
    </row>
    <row r="248" spans="1:23" ht="14.45" customHeight="1" x14ac:dyDescent="0.25">
      <c r="A248" s="458">
        <v>240</v>
      </c>
      <c r="B248" s="477">
        <v>46268</v>
      </c>
      <c r="C248" s="478" t="s">
        <v>208</v>
      </c>
      <c r="D248" s="478" t="s">
        <v>644</v>
      </c>
      <c r="E248" s="478" t="s">
        <v>653</v>
      </c>
      <c r="F248" s="496" t="s">
        <v>1141</v>
      </c>
      <c r="G248" s="497"/>
      <c r="H248" s="497"/>
      <c r="I248" s="498"/>
      <c r="J248" s="496" t="s">
        <v>1136</v>
      </c>
      <c r="K248" s="497"/>
      <c r="L248" s="498"/>
      <c r="M248" s="496" t="s">
        <v>1142</v>
      </c>
      <c r="N248" s="497"/>
      <c r="O248" s="497"/>
      <c r="P248" s="498"/>
      <c r="Q248" s="478" t="s">
        <v>657</v>
      </c>
      <c r="R248" s="477">
        <v>46298</v>
      </c>
      <c r="S248" s="477"/>
      <c r="T248" s="478" t="s">
        <v>39</v>
      </c>
      <c r="U248" s="492"/>
      <c r="V248" s="460"/>
      <c r="W248" s="458"/>
    </row>
    <row r="249" spans="1:23" ht="14.45" customHeight="1" x14ac:dyDescent="0.25">
      <c r="A249" s="458"/>
      <c r="B249" s="481"/>
      <c r="C249" s="482"/>
      <c r="D249" s="483"/>
      <c r="E249" s="484"/>
      <c r="F249" s="550"/>
      <c r="G249" s="550"/>
      <c r="H249" s="550"/>
      <c r="I249" s="550"/>
      <c r="J249" s="550"/>
      <c r="K249" s="550"/>
      <c r="L249" s="485"/>
      <c r="M249" s="548"/>
      <c r="N249" s="548"/>
      <c r="O249" s="548"/>
      <c r="P249" s="486"/>
      <c r="Q249" s="483"/>
      <c r="R249" s="481"/>
      <c r="S249" s="483"/>
      <c r="T249" s="484"/>
      <c r="U249" s="492"/>
      <c r="V249" s="460"/>
      <c r="W249" s="458"/>
    </row>
    <row r="250" spans="1:23" ht="14.45" customHeight="1" x14ac:dyDescent="0.25">
      <c r="A250" s="458"/>
      <c r="B250" s="469"/>
      <c r="C250" s="460"/>
      <c r="D250" s="462"/>
      <c r="E250" s="463"/>
      <c r="F250" s="493"/>
      <c r="G250" s="493"/>
      <c r="H250" s="493"/>
      <c r="I250" s="493"/>
      <c r="J250" s="493"/>
      <c r="K250" s="493"/>
      <c r="L250" s="440"/>
      <c r="M250" s="499"/>
      <c r="N250" s="499"/>
      <c r="O250" s="499"/>
      <c r="P250" s="457"/>
      <c r="Q250" s="462"/>
      <c r="R250" s="469"/>
      <c r="S250" s="469"/>
      <c r="T250" s="463"/>
      <c r="U250" s="492"/>
      <c r="V250" s="460"/>
      <c r="W250" s="458"/>
    </row>
    <row r="251" spans="1:23" ht="14.45" customHeight="1" x14ac:dyDescent="0.25">
      <c r="A251" s="458"/>
      <c r="B251" s="469"/>
      <c r="C251" s="460"/>
      <c r="D251" s="462"/>
      <c r="E251" s="463"/>
      <c r="F251" s="493"/>
      <c r="G251" s="493"/>
      <c r="H251" s="493"/>
      <c r="I251" s="493"/>
      <c r="J251" s="493"/>
      <c r="K251" s="493"/>
      <c r="L251" s="440"/>
      <c r="M251" s="499"/>
      <c r="N251" s="499"/>
      <c r="O251" s="499"/>
      <c r="P251" s="457"/>
      <c r="Q251" s="462"/>
      <c r="R251" s="469"/>
      <c r="S251" s="469"/>
      <c r="T251" s="463"/>
      <c r="U251" s="492"/>
      <c r="V251" s="460"/>
      <c r="W251" s="458"/>
    </row>
    <row r="252" spans="1:23" ht="14.45" customHeight="1" x14ac:dyDescent="0.25">
      <c r="A252" s="458"/>
      <c r="B252" s="469"/>
      <c r="C252" s="460"/>
      <c r="D252" s="462"/>
      <c r="E252" s="463"/>
      <c r="F252" s="493"/>
      <c r="G252" s="493"/>
      <c r="H252" s="493"/>
      <c r="I252" s="493"/>
      <c r="J252" s="493"/>
      <c r="K252" s="493"/>
      <c r="L252" s="440"/>
      <c r="M252" s="499"/>
      <c r="N252" s="499"/>
      <c r="O252" s="499"/>
      <c r="P252" s="457"/>
      <c r="Q252" s="462"/>
      <c r="R252" s="469"/>
      <c r="S252" s="462"/>
      <c r="T252" s="463"/>
      <c r="U252" s="492"/>
      <c r="V252" s="460"/>
      <c r="W252" s="458"/>
    </row>
    <row r="253" spans="1:23" ht="14.45" customHeight="1" x14ac:dyDescent="0.25">
      <c r="A253" s="458"/>
      <c r="B253" s="469"/>
      <c r="C253" s="460"/>
      <c r="D253" s="462"/>
      <c r="E253" s="463"/>
      <c r="F253" s="493"/>
      <c r="G253" s="493"/>
      <c r="H253" s="493"/>
      <c r="I253" s="493"/>
      <c r="J253" s="493"/>
      <c r="K253" s="493"/>
      <c r="L253" s="440"/>
      <c r="M253" s="499"/>
      <c r="N253" s="499"/>
      <c r="O253" s="499"/>
      <c r="P253" s="457"/>
      <c r="Q253" s="462"/>
      <c r="R253" s="469"/>
      <c r="S253" s="462"/>
      <c r="T253" s="463"/>
      <c r="U253" s="492"/>
      <c r="V253" s="460"/>
      <c r="W253" s="458"/>
    </row>
    <row r="254" spans="1:23" ht="14.45" customHeight="1" x14ac:dyDescent="0.25">
      <c r="A254" s="458"/>
      <c r="B254" s="469"/>
      <c r="C254" s="460"/>
      <c r="D254" s="462"/>
      <c r="E254" s="463"/>
      <c r="F254" s="493"/>
      <c r="G254" s="493"/>
      <c r="H254" s="493"/>
      <c r="I254" s="493"/>
      <c r="J254" s="493"/>
      <c r="K254" s="493"/>
      <c r="L254" s="440"/>
      <c r="M254" s="499"/>
      <c r="N254" s="499"/>
      <c r="O254" s="499"/>
      <c r="P254" s="457"/>
      <c r="Q254" s="462"/>
      <c r="R254" s="469"/>
      <c r="S254" s="469"/>
      <c r="T254" s="463"/>
      <c r="U254" s="492"/>
      <c r="V254" s="460"/>
      <c r="W254" s="458"/>
    </row>
    <row r="255" spans="1:23" ht="14.45" customHeight="1" x14ac:dyDescent="0.25">
      <c r="A255" s="458"/>
      <c r="B255" s="469"/>
      <c r="C255" s="460"/>
      <c r="D255" s="462"/>
      <c r="E255" s="463"/>
      <c r="F255" s="493"/>
      <c r="G255" s="493"/>
      <c r="H255" s="493"/>
      <c r="I255" s="493"/>
      <c r="J255" s="493"/>
      <c r="K255" s="493"/>
      <c r="L255" s="440"/>
      <c r="M255" s="499"/>
      <c r="N255" s="499"/>
      <c r="O255" s="499"/>
      <c r="P255" s="457"/>
      <c r="Q255" s="462"/>
      <c r="R255" s="469"/>
      <c r="S255" s="469"/>
      <c r="T255" s="463"/>
      <c r="U255" s="492"/>
      <c r="V255" s="460"/>
      <c r="W255" s="458"/>
    </row>
    <row r="256" spans="1:23" ht="14.45" customHeight="1" x14ac:dyDescent="0.25">
      <c r="A256" s="458"/>
      <c r="B256" s="469"/>
      <c r="C256" s="460"/>
      <c r="D256" s="462"/>
      <c r="E256" s="463"/>
      <c r="F256" s="493"/>
      <c r="G256" s="493"/>
      <c r="H256" s="493"/>
      <c r="I256" s="493"/>
      <c r="J256" s="493"/>
      <c r="K256" s="493"/>
      <c r="L256" s="440"/>
      <c r="M256" s="499"/>
      <c r="N256" s="499"/>
      <c r="O256" s="499"/>
      <c r="P256" s="457"/>
      <c r="Q256" s="462"/>
      <c r="R256" s="469"/>
      <c r="S256" s="469"/>
      <c r="T256" s="463"/>
      <c r="U256" s="492"/>
      <c r="V256" s="460"/>
      <c r="W256" s="458"/>
    </row>
    <row r="257" spans="1:23" ht="14.45" customHeight="1" x14ac:dyDescent="0.25">
      <c r="A257" s="458"/>
      <c r="B257" s="469"/>
      <c r="C257" s="460"/>
      <c r="D257" s="462"/>
      <c r="E257" s="463"/>
      <c r="F257" s="493"/>
      <c r="G257" s="493"/>
      <c r="H257" s="493"/>
      <c r="I257" s="493"/>
      <c r="J257" s="493"/>
      <c r="K257" s="493"/>
      <c r="L257" s="440"/>
      <c r="M257" s="499"/>
      <c r="N257" s="499"/>
      <c r="O257" s="499"/>
      <c r="P257" s="457"/>
      <c r="Q257" s="462"/>
      <c r="R257" s="469"/>
      <c r="S257" s="462"/>
      <c r="T257" s="463"/>
      <c r="U257" s="492"/>
      <c r="V257" s="460"/>
      <c r="W257" s="458"/>
    </row>
    <row r="258" spans="1:23" ht="14.45" customHeight="1" x14ac:dyDescent="0.25">
      <c r="A258" s="458"/>
      <c r="B258" s="469"/>
      <c r="C258" s="460"/>
      <c r="D258" s="462"/>
      <c r="E258" s="463"/>
      <c r="F258" s="493"/>
      <c r="G258" s="493"/>
      <c r="H258" s="493"/>
      <c r="I258" s="493"/>
      <c r="J258" s="493"/>
      <c r="K258" s="493"/>
      <c r="L258" s="440"/>
      <c r="M258" s="499"/>
      <c r="N258" s="499"/>
      <c r="O258" s="499"/>
      <c r="P258" s="476"/>
      <c r="Q258" s="462"/>
      <c r="R258" s="469"/>
      <c r="S258" s="462"/>
      <c r="T258" s="463"/>
      <c r="U258" s="492"/>
      <c r="V258" s="460"/>
      <c r="W258" s="458"/>
    </row>
    <row r="259" spans="1:23" ht="14.45" customHeight="1" x14ac:dyDescent="0.25">
      <c r="A259" s="458"/>
      <c r="B259" s="469"/>
      <c r="C259" s="460"/>
      <c r="D259" s="462"/>
      <c r="E259" s="463"/>
      <c r="F259" s="493"/>
      <c r="G259" s="493"/>
      <c r="H259" s="493"/>
      <c r="I259" s="493"/>
      <c r="J259" s="493"/>
      <c r="K259" s="493"/>
      <c r="L259" s="440"/>
      <c r="M259" s="499"/>
      <c r="N259" s="499"/>
      <c r="O259" s="499"/>
      <c r="P259" s="457"/>
      <c r="Q259" s="462"/>
      <c r="R259" s="469"/>
      <c r="S259" s="462"/>
      <c r="T259" s="463"/>
      <c r="U259" s="492"/>
      <c r="V259" s="460"/>
      <c r="W259" s="458"/>
    </row>
    <row r="260" spans="1:23" ht="14.45" customHeight="1" x14ac:dyDescent="0.25">
      <c r="A260" s="458"/>
      <c r="B260" s="469"/>
      <c r="C260" s="460"/>
      <c r="D260" s="462"/>
      <c r="E260" s="463"/>
      <c r="F260" s="493"/>
      <c r="G260" s="493"/>
      <c r="H260" s="493"/>
      <c r="I260" s="493"/>
      <c r="J260" s="493"/>
      <c r="K260" s="493"/>
      <c r="L260" s="440"/>
      <c r="M260" s="499"/>
      <c r="N260" s="499"/>
      <c r="O260" s="499"/>
      <c r="P260" s="476"/>
      <c r="Q260" s="462"/>
      <c r="R260" s="469"/>
      <c r="S260" s="469"/>
      <c r="T260" s="463"/>
      <c r="U260" s="492"/>
      <c r="V260" s="460"/>
      <c r="W260" s="458"/>
    </row>
    <row r="261" spans="1:23" ht="14.45" customHeight="1" x14ac:dyDescent="0.25">
      <c r="A261" s="458"/>
      <c r="B261" s="469"/>
      <c r="C261" s="460"/>
      <c r="D261" s="462"/>
      <c r="E261" s="463"/>
      <c r="F261" s="493"/>
      <c r="G261" s="493"/>
      <c r="H261" s="493"/>
      <c r="I261" s="493"/>
      <c r="J261" s="493"/>
      <c r="K261" s="493"/>
      <c r="L261" s="440"/>
      <c r="M261" s="499"/>
      <c r="N261" s="499"/>
      <c r="O261" s="499"/>
      <c r="P261" s="457"/>
      <c r="Q261" s="462"/>
      <c r="R261" s="469"/>
      <c r="S261" s="469"/>
      <c r="T261" s="463"/>
      <c r="U261" s="492"/>
      <c r="V261" s="460"/>
      <c r="W261" s="458"/>
    </row>
    <row r="262" spans="1:23" ht="14.45" customHeight="1" x14ac:dyDescent="0.25">
      <c r="A262" s="458"/>
      <c r="B262" s="469"/>
      <c r="C262" s="460"/>
      <c r="D262" s="462"/>
      <c r="E262" s="463"/>
      <c r="F262" s="493"/>
      <c r="G262" s="493"/>
      <c r="H262" s="493"/>
      <c r="I262" s="493"/>
      <c r="J262" s="493"/>
      <c r="K262" s="493"/>
      <c r="L262" s="440"/>
      <c r="M262" s="499"/>
      <c r="N262" s="499"/>
      <c r="O262" s="499"/>
      <c r="P262" s="457"/>
      <c r="Q262" s="462"/>
      <c r="R262" s="469"/>
      <c r="S262" s="468"/>
      <c r="T262" s="463"/>
      <c r="U262" s="492"/>
      <c r="V262" s="460"/>
      <c r="W262" s="458"/>
    </row>
    <row r="263" spans="1:23" ht="14.45" customHeight="1" x14ac:dyDescent="0.25">
      <c r="A263" s="458"/>
      <c r="B263" s="469"/>
      <c r="C263" s="460"/>
      <c r="D263" s="462"/>
      <c r="E263" s="463"/>
      <c r="F263" s="493"/>
      <c r="G263" s="493"/>
      <c r="H263" s="493"/>
      <c r="I263" s="493"/>
      <c r="J263" s="493"/>
      <c r="K263" s="493"/>
      <c r="L263" s="457"/>
      <c r="M263" s="494"/>
      <c r="N263" s="494"/>
      <c r="O263" s="494"/>
      <c r="P263" s="457"/>
      <c r="Q263" s="462"/>
      <c r="R263" s="469"/>
      <c r="S263" s="469"/>
      <c r="T263" s="463"/>
      <c r="U263" s="492"/>
      <c r="V263" s="460"/>
      <c r="W263" s="458"/>
    </row>
    <row r="264" spans="1:23" ht="14.45" customHeight="1" x14ac:dyDescent="0.25">
      <c r="A264" s="458"/>
      <c r="B264" s="469"/>
      <c r="C264" s="460"/>
      <c r="D264" s="462"/>
      <c r="E264" s="463"/>
      <c r="F264" s="493"/>
      <c r="G264" s="493"/>
      <c r="H264" s="493"/>
      <c r="I264" s="493"/>
      <c r="J264" s="493"/>
      <c r="K264" s="493"/>
      <c r="L264" s="457"/>
      <c r="M264" s="495"/>
      <c r="N264" s="495"/>
      <c r="O264" s="495"/>
      <c r="P264" s="457"/>
      <c r="Q264" s="462"/>
      <c r="R264" s="469"/>
      <c r="S264" s="469"/>
      <c r="T264" s="463"/>
      <c r="U264" s="492"/>
      <c r="V264" s="460"/>
      <c r="W264" s="458"/>
    </row>
    <row r="265" spans="1:23" ht="14.45" customHeight="1" x14ac:dyDescent="0.25">
      <c r="A265" s="458"/>
      <c r="B265" s="469"/>
      <c r="C265" s="460"/>
      <c r="D265" s="462"/>
      <c r="E265" s="463"/>
      <c r="F265" s="493"/>
      <c r="G265" s="493"/>
      <c r="H265" s="493"/>
      <c r="I265" s="493"/>
      <c r="J265" s="493"/>
      <c r="K265" s="493"/>
      <c r="L265" s="457"/>
      <c r="M265" s="495"/>
      <c r="N265" s="495"/>
      <c r="O265" s="495"/>
      <c r="P265" s="457"/>
      <c r="Q265" s="462"/>
      <c r="R265" s="469"/>
      <c r="S265" s="469"/>
      <c r="T265" s="463"/>
      <c r="U265" s="492"/>
      <c r="V265" s="460"/>
      <c r="W265" s="458"/>
    </row>
    <row r="266" spans="1:23" ht="14.45" customHeight="1" x14ac:dyDescent="0.25">
      <c r="A266" s="458"/>
      <c r="B266" s="469"/>
      <c r="C266" s="460"/>
      <c r="D266" s="462"/>
      <c r="E266" s="463"/>
      <c r="F266" s="493"/>
      <c r="G266" s="493"/>
      <c r="H266" s="493"/>
      <c r="I266" s="493"/>
      <c r="J266" s="493"/>
      <c r="K266" s="493"/>
      <c r="L266" s="457"/>
      <c r="M266" s="495"/>
      <c r="N266" s="495"/>
      <c r="O266" s="495"/>
      <c r="P266" s="457"/>
      <c r="Q266" s="462"/>
      <c r="R266" s="463"/>
      <c r="S266" s="462"/>
      <c r="T266" s="463"/>
      <c r="U266" s="492"/>
      <c r="V266" s="460"/>
      <c r="W266" s="458"/>
    </row>
    <row r="267" spans="1:23" ht="14.45" customHeight="1" x14ac:dyDescent="0.25">
      <c r="A267" s="458"/>
      <c r="B267" s="469"/>
      <c r="C267" s="460"/>
      <c r="D267" s="462"/>
      <c r="E267" s="463"/>
      <c r="F267" s="493"/>
      <c r="G267" s="493"/>
      <c r="H267" s="493"/>
      <c r="I267" s="493"/>
      <c r="J267" s="493"/>
      <c r="K267" s="493"/>
      <c r="M267" s="494"/>
      <c r="N267" s="494"/>
      <c r="O267" s="494"/>
      <c r="Q267" s="462"/>
      <c r="R267" s="463"/>
      <c r="S267" s="462"/>
      <c r="T267" s="463"/>
      <c r="U267" s="492"/>
      <c r="V267" s="460"/>
      <c r="W267" s="458"/>
    </row>
    <row r="268" spans="1:23" ht="14.45" customHeight="1" x14ac:dyDescent="0.25">
      <c r="A268" s="458"/>
      <c r="B268" s="469"/>
      <c r="C268" s="460"/>
      <c r="D268" s="462"/>
      <c r="E268" s="463"/>
      <c r="F268" s="493"/>
      <c r="G268" s="493"/>
      <c r="H268" s="493"/>
      <c r="I268" s="493"/>
      <c r="J268" s="493"/>
      <c r="K268" s="493"/>
      <c r="M268" s="494"/>
      <c r="N268" s="494"/>
      <c r="O268" s="494"/>
      <c r="Q268" s="462"/>
      <c r="R268" s="463"/>
      <c r="S268" s="462"/>
      <c r="T268" s="463"/>
      <c r="U268" s="492"/>
      <c r="V268" s="460"/>
      <c r="W268" s="458"/>
    </row>
    <row r="269" spans="1:23" ht="14.45" customHeight="1" x14ac:dyDescent="0.25">
      <c r="A269" s="458"/>
      <c r="B269" s="469"/>
      <c r="C269" s="460"/>
      <c r="D269" s="462"/>
      <c r="E269" s="463"/>
      <c r="F269" s="493"/>
      <c r="G269" s="493"/>
      <c r="H269" s="493"/>
      <c r="I269" s="493"/>
      <c r="J269" s="493"/>
      <c r="K269" s="493"/>
      <c r="M269" s="495"/>
      <c r="N269" s="495"/>
      <c r="O269" s="495"/>
      <c r="Q269" s="462"/>
      <c r="R269" s="463"/>
      <c r="S269" s="462"/>
      <c r="T269" s="463"/>
      <c r="U269" s="492"/>
      <c r="V269" s="460"/>
      <c r="W269" s="458"/>
    </row>
    <row r="270" spans="1:23" ht="14.45" customHeight="1" x14ac:dyDescent="0.25">
      <c r="A270" s="458"/>
      <c r="B270" s="469"/>
      <c r="C270" s="460"/>
      <c r="D270" s="462"/>
      <c r="E270" s="463"/>
      <c r="F270" s="493"/>
      <c r="G270" s="493"/>
      <c r="H270" s="493"/>
      <c r="I270" s="493"/>
      <c r="J270" s="493"/>
      <c r="K270" s="493"/>
      <c r="M270" s="495"/>
      <c r="N270" s="495"/>
      <c r="O270" s="495"/>
      <c r="Q270" s="462"/>
      <c r="R270" s="463"/>
      <c r="S270" s="462"/>
      <c r="T270" s="463"/>
      <c r="U270" s="492"/>
      <c r="V270" s="460"/>
      <c r="W270" s="458"/>
    </row>
    <row r="271" spans="1:23" ht="14.45" customHeight="1" x14ac:dyDescent="0.25">
      <c r="A271" s="458"/>
      <c r="B271" s="469"/>
      <c r="C271" s="460"/>
      <c r="D271" s="462"/>
      <c r="E271" s="463"/>
      <c r="F271" s="493"/>
      <c r="G271" s="493"/>
      <c r="H271" s="493"/>
      <c r="I271" s="493"/>
      <c r="J271" s="493"/>
      <c r="K271" s="493"/>
      <c r="M271" s="494"/>
      <c r="N271" s="494"/>
      <c r="O271" s="494"/>
      <c r="Q271" s="462"/>
      <c r="R271" s="463"/>
      <c r="S271" s="462"/>
      <c r="T271" s="463"/>
      <c r="U271" s="492"/>
      <c r="V271" s="460"/>
      <c r="W271" s="458"/>
    </row>
    <row r="272" spans="1:23" ht="14.45" customHeight="1" x14ac:dyDescent="0.25">
      <c r="A272" s="458"/>
      <c r="B272" s="469"/>
      <c r="C272" s="460"/>
      <c r="D272" s="462"/>
      <c r="E272" s="463"/>
      <c r="F272" s="493"/>
      <c r="G272" s="493"/>
      <c r="H272" s="493"/>
      <c r="I272" s="493"/>
      <c r="J272" s="493"/>
      <c r="K272" s="493"/>
      <c r="M272" s="495"/>
      <c r="N272" s="495"/>
      <c r="O272" s="495"/>
      <c r="Q272" s="462"/>
      <c r="R272" s="463"/>
      <c r="S272" s="462"/>
      <c r="T272" s="463"/>
      <c r="U272" s="492"/>
      <c r="V272" s="460"/>
      <c r="W272" s="458"/>
    </row>
    <row r="273" spans="1:23" ht="14.45" customHeight="1" x14ac:dyDescent="0.25">
      <c r="A273" s="458"/>
      <c r="B273" s="469"/>
      <c r="C273" s="460"/>
      <c r="D273" s="462"/>
      <c r="E273" s="463"/>
      <c r="F273" s="493"/>
      <c r="G273" s="493"/>
      <c r="H273" s="493"/>
      <c r="I273" s="493"/>
      <c r="J273" s="493"/>
      <c r="K273" s="493"/>
      <c r="M273" s="495"/>
      <c r="N273" s="495"/>
      <c r="O273" s="495"/>
      <c r="Q273" s="462"/>
      <c r="R273" s="463"/>
      <c r="S273" s="468"/>
      <c r="T273" s="463"/>
      <c r="U273" s="492"/>
      <c r="V273" s="460"/>
      <c r="W273" s="458"/>
    </row>
    <row r="274" spans="1:23" ht="14.45" customHeight="1" x14ac:dyDescent="0.25">
      <c r="A274" s="458"/>
      <c r="B274" s="469"/>
      <c r="C274" s="460"/>
      <c r="D274" s="462"/>
      <c r="E274" s="463"/>
      <c r="F274" s="493"/>
      <c r="G274" s="493"/>
      <c r="H274" s="493"/>
      <c r="I274" s="493"/>
      <c r="J274" s="493"/>
      <c r="K274" s="493"/>
      <c r="M274" s="495"/>
      <c r="N274" s="495"/>
      <c r="O274" s="495"/>
      <c r="Q274" s="462"/>
      <c r="R274" s="463"/>
      <c r="S274" s="462"/>
      <c r="T274" s="463"/>
      <c r="U274" s="492"/>
      <c r="V274" s="460"/>
      <c r="W274" s="458"/>
    </row>
    <row r="275" spans="1:23" ht="14.45" customHeight="1" x14ac:dyDescent="0.25">
      <c r="A275" s="458"/>
      <c r="B275" s="469"/>
      <c r="C275" s="460"/>
      <c r="D275" s="462"/>
      <c r="E275" s="463"/>
      <c r="F275" s="493"/>
      <c r="G275" s="493"/>
      <c r="H275" s="493"/>
      <c r="I275" s="493"/>
      <c r="J275" s="493"/>
      <c r="K275" s="493"/>
      <c r="M275" s="495"/>
      <c r="N275" s="495"/>
      <c r="O275" s="495"/>
      <c r="Q275" s="462"/>
      <c r="R275" s="463"/>
      <c r="S275" s="468"/>
      <c r="T275" s="463"/>
      <c r="U275" s="492"/>
      <c r="V275" s="460"/>
      <c r="W275" s="458"/>
    </row>
    <row r="276" spans="1:23" ht="14.45" customHeight="1" x14ac:dyDescent="0.25">
      <c r="A276" s="458"/>
      <c r="B276" s="469"/>
      <c r="C276" s="460"/>
      <c r="D276" s="462"/>
      <c r="E276" s="463"/>
      <c r="F276" s="493"/>
      <c r="G276" s="493"/>
      <c r="H276" s="493"/>
      <c r="I276" s="493"/>
      <c r="J276" s="493"/>
      <c r="K276" s="493"/>
      <c r="M276" s="495"/>
      <c r="N276" s="495"/>
      <c r="O276" s="495"/>
      <c r="Q276" s="462"/>
      <c r="R276" s="463"/>
      <c r="S276" s="468"/>
      <c r="T276" s="463"/>
      <c r="U276" s="492"/>
      <c r="V276" s="460"/>
      <c r="W276" s="458"/>
    </row>
    <row r="277" spans="1:23" ht="14.45" customHeight="1" x14ac:dyDescent="0.25">
      <c r="A277" s="458"/>
      <c r="B277" s="469"/>
      <c r="C277" s="460"/>
      <c r="D277" s="463"/>
      <c r="E277" s="463"/>
      <c r="F277" s="493"/>
      <c r="G277" s="493"/>
      <c r="H277" s="493"/>
      <c r="I277" s="493"/>
      <c r="J277" s="493"/>
      <c r="K277" s="493"/>
      <c r="M277" s="495"/>
      <c r="N277" s="495"/>
      <c r="O277" s="495"/>
      <c r="Q277" s="462"/>
      <c r="R277" s="463"/>
      <c r="S277" s="468"/>
      <c r="T277" s="463"/>
      <c r="U277" s="492"/>
      <c r="V277" s="460"/>
      <c r="W277" s="458"/>
    </row>
    <row r="278" spans="1:23" ht="14.45" customHeight="1" x14ac:dyDescent="0.25">
      <c r="A278" s="458"/>
      <c r="B278" s="469"/>
      <c r="C278" s="460"/>
      <c r="D278" s="463"/>
      <c r="E278" s="463"/>
      <c r="F278" s="493"/>
      <c r="G278" s="493"/>
      <c r="H278" s="493"/>
      <c r="I278" s="493"/>
      <c r="J278" s="493"/>
      <c r="K278" s="493"/>
      <c r="M278" s="495"/>
      <c r="N278" s="495"/>
      <c r="O278" s="495"/>
      <c r="Q278" s="462"/>
      <c r="R278" s="463"/>
      <c r="S278" s="468"/>
      <c r="T278" s="463"/>
      <c r="U278" s="492"/>
      <c r="V278" s="460"/>
      <c r="W278" s="458"/>
    </row>
    <row r="279" spans="1:23" ht="14.45" customHeight="1" x14ac:dyDescent="0.25">
      <c r="A279" s="458"/>
      <c r="B279" s="463"/>
      <c r="C279" s="460"/>
      <c r="D279" s="462"/>
      <c r="E279" s="463"/>
      <c r="F279" s="493"/>
      <c r="G279" s="493"/>
      <c r="H279" s="493"/>
      <c r="I279" s="493"/>
      <c r="J279" s="493"/>
      <c r="K279" s="493"/>
      <c r="M279" s="494"/>
      <c r="N279" s="494"/>
      <c r="O279" s="494"/>
      <c r="Q279" s="462"/>
      <c r="R279" s="463"/>
      <c r="S279" s="462"/>
      <c r="T279" s="463"/>
      <c r="U279" s="492"/>
      <c r="V279" s="460"/>
      <c r="W279" s="458"/>
    </row>
    <row r="280" spans="1:23" ht="14.45" customHeight="1" x14ac:dyDescent="0.25">
      <c r="A280" s="458"/>
      <c r="B280" s="469"/>
      <c r="C280" s="460"/>
      <c r="D280" s="463"/>
      <c r="E280" s="463"/>
      <c r="F280" s="493"/>
      <c r="G280" s="493"/>
      <c r="H280" s="493"/>
      <c r="I280" s="493"/>
      <c r="J280" s="493"/>
      <c r="K280" s="493"/>
      <c r="M280" s="494"/>
      <c r="N280" s="494"/>
      <c r="O280" s="494"/>
      <c r="Q280" s="462"/>
      <c r="R280" s="469"/>
      <c r="S280" s="468"/>
      <c r="T280" s="463"/>
      <c r="U280" s="492"/>
      <c r="V280" s="460"/>
      <c r="W280" s="458"/>
    </row>
    <row r="281" spans="1:23" ht="14.45" customHeight="1" x14ac:dyDescent="0.25">
      <c r="A281" s="458"/>
      <c r="B281" s="469"/>
      <c r="C281" s="460"/>
      <c r="D281" s="463"/>
      <c r="E281" s="463"/>
      <c r="F281" s="493"/>
      <c r="G281" s="493"/>
      <c r="H281" s="493"/>
      <c r="I281" s="493"/>
      <c r="J281" s="493"/>
      <c r="K281" s="493"/>
      <c r="M281" s="494"/>
      <c r="N281" s="494"/>
      <c r="O281" s="494"/>
      <c r="Q281" s="462"/>
      <c r="R281" s="469"/>
      <c r="S281" s="468"/>
      <c r="T281" s="463"/>
      <c r="U281" s="492"/>
      <c r="V281" s="460"/>
      <c r="W281" s="458"/>
    </row>
    <row r="282" spans="1:23" ht="14.45" customHeight="1" x14ac:dyDescent="0.25">
      <c r="A282" s="458"/>
      <c r="B282" s="469"/>
      <c r="C282" s="460"/>
      <c r="D282" s="463"/>
      <c r="E282" s="463"/>
      <c r="F282" s="493"/>
      <c r="G282" s="493"/>
      <c r="H282" s="493"/>
      <c r="I282" s="493"/>
      <c r="J282" s="493"/>
      <c r="K282" s="493"/>
      <c r="M282" s="494"/>
      <c r="N282" s="494"/>
      <c r="O282" s="494"/>
      <c r="Q282" s="462"/>
      <c r="R282" s="469"/>
      <c r="S282" s="468"/>
      <c r="T282" s="463"/>
      <c r="U282" s="492"/>
      <c r="V282" s="460"/>
      <c r="W282" s="458"/>
    </row>
    <row r="283" spans="1:23" ht="14.45" customHeight="1" x14ac:dyDescent="0.25">
      <c r="A283" s="458"/>
      <c r="B283" s="469"/>
      <c r="C283" s="460"/>
      <c r="D283" s="463"/>
      <c r="E283" s="463"/>
      <c r="F283" s="493"/>
      <c r="G283" s="493"/>
      <c r="H283" s="493"/>
      <c r="I283" s="493"/>
      <c r="J283" s="493"/>
      <c r="K283" s="493"/>
      <c r="M283" s="494"/>
      <c r="N283" s="494"/>
      <c r="O283" s="494"/>
      <c r="Q283" s="462"/>
      <c r="R283" s="469"/>
      <c r="S283" s="468"/>
      <c r="T283" s="463"/>
      <c r="U283" s="492"/>
      <c r="V283" s="460"/>
      <c r="W283" s="458"/>
    </row>
    <row r="284" spans="1:23" ht="14.45" customHeight="1" x14ac:dyDescent="0.25">
      <c r="A284" s="458"/>
      <c r="B284" s="469"/>
      <c r="C284" s="460"/>
      <c r="D284" s="463"/>
      <c r="E284" s="463"/>
      <c r="F284" s="493"/>
      <c r="G284" s="493"/>
      <c r="H284" s="493"/>
      <c r="I284" s="493"/>
      <c r="J284" s="493"/>
      <c r="K284" s="493"/>
      <c r="M284" s="494"/>
      <c r="N284" s="494"/>
      <c r="O284" s="494"/>
      <c r="Q284" s="462"/>
      <c r="R284" s="469"/>
      <c r="S284" s="468"/>
      <c r="T284" s="463"/>
      <c r="U284" s="492"/>
      <c r="V284" s="460"/>
      <c r="W284" s="458"/>
    </row>
    <row r="285" spans="1:23" ht="14.45" customHeight="1" x14ac:dyDescent="0.25">
      <c r="A285" s="458"/>
      <c r="B285" s="469"/>
      <c r="C285" s="460"/>
      <c r="D285" s="462"/>
      <c r="E285" s="463"/>
      <c r="F285" s="493"/>
      <c r="G285" s="493"/>
      <c r="H285" s="493"/>
      <c r="I285" s="493"/>
      <c r="J285" s="493"/>
      <c r="K285" s="493"/>
      <c r="L285" s="446"/>
      <c r="M285" s="494"/>
      <c r="N285" s="494"/>
      <c r="O285" s="494"/>
      <c r="P285" s="459"/>
      <c r="Q285" s="462"/>
      <c r="R285" s="469"/>
      <c r="S285" s="462"/>
      <c r="T285" s="463"/>
      <c r="U285" s="492"/>
      <c r="V285" s="460"/>
      <c r="W285" s="458"/>
    </row>
    <row r="286" spans="1:23" ht="14.45" customHeight="1" x14ac:dyDescent="0.25">
      <c r="A286" s="458"/>
      <c r="B286" s="469"/>
      <c r="C286" s="460"/>
      <c r="D286" s="462"/>
      <c r="E286" s="463"/>
      <c r="F286" s="493"/>
      <c r="G286" s="493"/>
      <c r="H286" s="493"/>
      <c r="I286" s="493"/>
      <c r="J286" s="493"/>
      <c r="K286" s="493"/>
      <c r="L286" s="446"/>
      <c r="M286" s="494"/>
      <c r="N286" s="494"/>
      <c r="O286" s="494"/>
      <c r="P286" s="459"/>
      <c r="Q286" s="462"/>
      <c r="R286" s="469"/>
      <c r="S286" s="462"/>
      <c r="T286" s="463"/>
      <c r="U286" s="492"/>
      <c r="V286" s="460"/>
      <c r="W286" s="458"/>
    </row>
    <row r="287" spans="1:23" ht="14.45" customHeight="1" x14ac:dyDescent="0.25">
      <c r="A287" s="458"/>
      <c r="B287" s="469"/>
      <c r="C287" s="460"/>
      <c r="D287" s="462"/>
      <c r="E287" s="463"/>
      <c r="F287" s="493"/>
      <c r="G287" s="493"/>
      <c r="H287" s="493"/>
      <c r="I287" s="493"/>
      <c r="J287" s="493"/>
      <c r="K287" s="493"/>
      <c r="L287" s="446"/>
      <c r="M287" s="494"/>
      <c r="N287" s="494"/>
      <c r="O287" s="494"/>
      <c r="P287" s="459"/>
      <c r="Q287" s="462"/>
      <c r="R287" s="469"/>
      <c r="S287" s="462"/>
      <c r="T287" s="463"/>
      <c r="U287" s="492"/>
      <c r="V287" s="460"/>
      <c r="W287" s="458"/>
    </row>
    <row r="288" spans="1:23" ht="14.45" customHeight="1" x14ac:dyDescent="0.25">
      <c r="A288" s="458"/>
      <c r="B288" s="469"/>
      <c r="C288" s="460"/>
      <c r="D288" s="462"/>
      <c r="E288" s="463"/>
      <c r="F288" s="493"/>
      <c r="G288" s="493"/>
      <c r="H288" s="493"/>
      <c r="I288" s="493"/>
      <c r="J288" s="493"/>
      <c r="K288" s="493"/>
      <c r="L288" s="446"/>
      <c r="M288" s="494"/>
      <c r="N288" s="494"/>
      <c r="O288" s="494"/>
      <c r="P288" s="459"/>
      <c r="Q288" s="462"/>
      <c r="R288" s="469"/>
      <c r="S288" s="462"/>
      <c r="T288" s="463"/>
      <c r="U288" s="492"/>
      <c r="V288" s="460"/>
      <c r="W288" s="458"/>
    </row>
    <row r="289" spans="1:23" ht="30" customHeight="1" x14ac:dyDescent="0.25">
      <c r="A289" s="458"/>
      <c r="B289" s="469"/>
      <c r="C289" s="460"/>
      <c r="D289" s="462"/>
      <c r="E289" s="463"/>
      <c r="F289" s="493"/>
      <c r="G289" s="493"/>
      <c r="H289" s="493"/>
      <c r="I289" s="493"/>
      <c r="J289" s="493"/>
      <c r="K289" s="493"/>
      <c r="L289" s="446"/>
      <c r="M289" s="549"/>
      <c r="N289" s="494"/>
      <c r="O289" s="494"/>
      <c r="P289" s="457"/>
      <c r="Q289" s="462"/>
      <c r="R289" s="469"/>
      <c r="S289" s="468"/>
      <c r="T289" s="463"/>
      <c r="U289" s="492"/>
      <c r="V289" s="460"/>
      <c r="W289" s="458"/>
    </row>
    <row r="290" spans="1:23" ht="29.25" customHeight="1" x14ac:dyDescent="0.25">
      <c r="A290" s="458"/>
      <c r="B290" s="469"/>
      <c r="C290" s="460"/>
      <c r="D290" s="462"/>
      <c r="E290" s="463"/>
      <c r="F290" s="493"/>
      <c r="G290" s="493"/>
      <c r="H290" s="493"/>
      <c r="I290" s="493"/>
      <c r="J290" s="493"/>
      <c r="K290" s="493"/>
      <c r="L290" s="446"/>
      <c r="M290" s="549"/>
      <c r="N290" s="494"/>
      <c r="O290" s="494"/>
      <c r="P290" s="457"/>
      <c r="Q290" s="462"/>
      <c r="R290" s="469"/>
      <c r="S290" s="468"/>
      <c r="T290" s="463"/>
      <c r="U290" s="492"/>
      <c r="V290" s="460"/>
      <c r="W290" s="458"/>
    </row>
    <row r="291" spans="1:23" ht="29.25" customHeight="1" x14ac:dyDescent="0.25">
      <c r="A291" s="458"/>
      <c r="B291" s="469"/>
      <c r="C291" s="460"/>
      <c r="D291" s="462"/>
      <c r="E291" s="463"/>
      <c r="F291" s="493"/>
      <c r="G291" s="493"/>
      <c r="H291" s="493"/>
      <c r="I291" s="493"/>
      <c r="J291" s="493"/>
      <c r="K291" s="493"/>
      <c r="L291" s="446"/>
      <c r="M291" s="549"/>
      <c r="N291" s="549"/>
      <c r="O291" s="549"/>
      <c r="P291" s="457"/>
      <c r="Q291" s="462"/>
      <c r="R291" s="469"/>
      <c r="S291" s="468"/>
      <c r="T291" s="463"/>
      <c r="U291" s="492"/>
      <c r="V291" s="460"/>
      <c r="W291" s="458"/>
    </row>
    <row r="292" spans="1:23" ht="14.45" customHeight="1" x14ac:dyDescent="0.25">
      <c r="A292" s="458"/>
      <c r="B292" s="469"/>
      <c r="C292" s="460"/>
      <c r="D292" s="462"/>
      <c r="E292" s="463"/>
      <c r="F292" s="493"/>
      <c r="G292" s="493"/>
      <c r="H292" s="493"/>
      <c r="I292" s="493"/>
      <c r="J292" s="493"/>
      <c r="K292" s="493"/>
      <c r="L292" s="446"/>
      <c r="M292" s="494"/>
      <c r="N292" s="494"/>
      <c r="O292" s="494"/>
      <c r="P292" s="457"/>
      <c r="Q292" s="462"/>
      <c r="R292" s="469"/>
      <c r="S292" s="468"/>
      <c r="T292" s="463"/>
      <c r="U292" s="492"/>
      <c r="V292" s="460"/>
      <c r="W292" s="458"/>
    </row>
    <row r="293" spans="1:23" ht="30" customHeight="1" x14ac:dyDescent="0.25">
      <c r="A293" s="458"/>
      <c r="B293" s="469"/>
      <c r="C293" s="460"/>
      <c r="D293" s="462"/>
      <c r="E293" s="463"/>
      <c r="F293" s="493"/>
      <c r="G293" s="493"/>
      <c r="H293" s="493"/>
      <c r="I293" s="493"/>
      <c r="J293" s="493"/>
      <c r="K293" s="493"/>
      <c r="M293" s="549"/>
      <c r="N293" s="549"/>
      <c r="O293" s="549"/>
      <c r="P293" s="457"/>
      <c r="Q293" s="462"/>
      <c r="R293" s="469"/>
      <c r="S293" s="468"/>
      <c r="T293" s="463"/>
      <c r="U293" s="492"/>
      <c r="V293" s="460"/>
      <c r="W293" s="458"/>
    </row>
    <row r="294" spans="1:23" ht="14.45" customHeight="1" x14ac:dyDescent="0.25">
      <c r="A294" s="458"/>
      <c r="B294" s="469"/>
      <c r="C294" s="460"/>
      <c r="D294" s="462"/>
      <c r="E294" s="463"/>
      <c r="F294" s="493"/>
      <c r="G294" s="493"/>
      <c r="H294" s="493"/>
      <c r="I294" s="493"/>
      <c r="J294" s="493"/>
      <c r="K294" s="493"/>
      <c r="M294" s="494"/>
      <c r="N294" s="494"/>
      <c r="O294" s="494"/>
      <c r="P294" s="457"/>
      <c r="Q294" s="462"/>
      <c r="R294" s="469"/>
      <c r="S294" s="468"/>
      <c r="T294" s="463"/>
      <c r="U294" s="492"/>
      <c r="V294" s="460"/>
      <c r="W294" s="458"/>
    </row>
    <row r="295" spans="1:23" ht="14.45" customHeight="1" x14ac:dyDescent="0.25">
      <c r="A295" s="458"/>
      <c r="B295" s="469"/>
      <c r="C295" s="460"/>
      <c r="D295" s="462"/>
      <c r="E295" s="463"/>
      <c r="F295" s="493"/>
      <c r="G295" s="493"/>
      <c r="H295" s="493"/>
      <c r="I295" s="493"/>
      <c r="J295" s="493"/>
      <c r="K295" s="493"/>
      <c r="M295" s="494"/>
      <c r="N295" s="494"/>
      <c r="O295" s="494"/>
      <c r="P295" s="457"/>
      <c r="Q295" s="462"/>
      <c r="R295" s="469"/>
      <c r="S295" s="468"/>
      <c r="T295" s="463"/>
      <c r="U295" s="492"/>
      <c r="V295" s="460"/>
      <c r="W295" s="458"/>
    </row>
    <row r="296" spans="1:23" ht="14.45" customHeight="1" x14ac:dyDescent="0.25">
      <c r="A296" s="458"/>
      <c r="B296" s="469"/>
      <c r="C296" s="460"/>
      <c r="D296" s="462"/>
      <c r="E296" s="463"/>
      <c r="F296" s="493"/>
      <c r="G296" s="493"/>
      <c r="H296" s="493"/>
      <c r="I296" s="493"/>
      <c r="J296" s="493"/>
      <c r="K296" s="493"/>
      <c r="M296" s="494"/>
      <c r="N296" s="494"/>
      <c r="O296" s="494"/>
      <c r="P296" s="457"/>
      <c r="Q296" s="462"/>
      <c r="R296" s="469"/>
      <c r="S296" s="468"/>
      <c r="T296" s="463"/>
      <c r="U296" s="492"/>
      <c r="V296" s="460"/>
      <c r="W296" s="458"/>
    </row>
    <row r="297" spans="1:23" ht="14.45" customHeight="1" x14ac:dyDescent="0.25">
      <c r="A297" s="458"/>
      <c r="B297" s="469"/>
      <c r="C297" s="460"/>
      <c r="D297" s="462"/>
      <c r="E297" s="463"/>
      <c r="F297" s="493"/>
      <c r="G297" s="493"/>
      <c r="H297" s="493"/>
      <c r="I297" s="493"/>
      <c r="J297" s="493"/>
      <c r="K297" s="493"/>
      <c r="M297" s="494"/>
      <c r="N297" s="494"/>
      <c r="O297" s="494"/>
      <c r="P297" s="457"/>
      <c r="Q297" s="462"/>
      <c r="R297" s="469"/>
      <c r="S297" s="468"/>
      <c r="T297" s="463"/>
      <c r="U297" s="492"/>
      <c r="V297" s="460"/>
      <c r="W297" s="458"/>
    </row>
    <row r="298" spans="1:23" ht="14.45" customHeight="1" x14ac:dyDescent="0.25">
      <c r="A298" s="458"/>
      <c r="B298" s="469"/>
      <c r="C298" s="460"/>
      <c r="D298" s="462"/>
      <c r="E298" s="463"/>
      <c r="F298" s="493"/>
      <c r="G298" s="493"/>
      <c r="H298" s="493"/>
      <c r="I298" s="493"/>
      <c r="J298" s="493"/>
      <c r="K298" s="493"/>
      <c r="M298" s="494"/>
      <c r="N298" s="494"/>
      <c r="O298" s="494"/>
      <c r="P298" s="457"/>
      <c r="Q298" s="462"/>
      <c r="R298" s="469"/>
      <c r="S298" s="462"/>
      <c r="T298" s="463"/>
      <c r="U298" s="492"/>
      <c r="V298" s="460"/>
      <c r="W298" s="458"/>
    </row>
    <row r="299" spans="1:23" ht="14.45" customHeight="1" x14ac:dyDescent="0.25">
      <c r="A299" s="458"/>
      <c r="B299" s="469"/>
      <c r="C299" s="460"/>
      <c r="D299" s="462"/>
      <c r="E299" s="463"/>
      <c r="F299" s="493"/>
      <c r="G299" s="493"/>
      <c r="H299" s="493"/>
      <c r="I299" s="493"/>
      <c r="J299" s="493"/>
      <c r="K299" s="493"/>
      <c r="M299" s="494"/>
      <c r="N299" s="494"/>
      <c r="O299" s="494"/>
      <c r="P299" s="457"/>
      <c r="Q299" s="462"/>
      <c r="R299" s="469"/>
      <c r="S299" s="468"/>
      <c r="T299" s="463"/>
      <c r="U299" s="492"/>
      <c r="V299" s="460"/>
      <c r="W299" s="458"/>
    </row>
    <row r="300" spans="1:23" ht="14.45" customHeight="1" x14ac:dyDescent="0.25">
      <c r="A300" s="458"/>
      <c r="B300" s="469"/>
      <c r="C300" s="460"/>
      <c r="D300" s="462"/>
      <c r="E300" s="463"/>
      <c r="F300" s="493"/>
      <c r="G300" s="493"/>
      <c r="H300" s="493"/>
      <c r="I300" s="493"/>
      <c r="J300" s="493"/>
      <c r="K300" s="493"/>
      <c r="M300" s="494"/>
      <c r="N300" s="494"/>
      <c r="O300" s="494"/>
      <c r="P300" s="457"/>
      <c r="Q300" s="462"/>
      <c r="R300" s="469"/>
      <c r="S300" s="468"/>
      <c r="T300" s="463"/>
      <c r="U300" s="492"/>
      <c r="V300" s="460"/>
      <c r="W300" s="458"/>
    </row>
    <row r="301" spans="1:23" ht="30.75" customHeight="1" x14ac:dyDescent="0.25">
      <c r="A301" s="458"/>
      <c r="B301" s="469"/>
      <c r="C301" s="460"/>
      <c r="D301" s="462"/>
      <c r="E301" s="463"/>
      <c r="F301" s="493"/>
      <c r="G301" s="493"/>
      <c r="H301" s="493"/>
      <c r="I301" s="493"/>
      <c r="J301" s="493"/>
      <c r="K301" s="493"/>
      <c r="M301" s="549"/>
      <c r="N301" s="549"/>
      <c r="O301" s="549"/>
      <c r="P301" s="457"/>
      <c r="Q301" s="462"/>
      <c r="R301" s="469"/>
      <c r="S301" s="468"/>
      <c r="T301" s="463"/>
      <c r="U301" s="492"/>
      <c r="V301" s="460"/>
      <c r="W301" s="458"/>
    </row>
    <row r="302" spans="1:23" ht="30" customHeight="1" x14ac:dyDescent="0.25">
      <c r="A302" s="458"/>
      <c r="B302" s="469"/>
      <c r="C302" s="460"/>
      <c r="D302" s="462"/>
      <c r="E302" s="463"/>
      <c r="F302" s="493"/>
      <c r="G302" s="493"/>
      <c r="H302" s="493"/>
      <c r="I302" s="493"/>
      <c r="J302" s="493"/>
      <c r="K302" s="493"/>
      <c r="M302" s="549"/>
      <c r="N302" s="549"/>
      <c r="O302" s="549"/>
      <c r="P302" s="457"/>
      <c r="Q302" s="462"/>
      <c r="R302" s="469"/>
      <c r="S302" s="468"/>
      <c r="T302" s="463"/>
      <c r="U302" s="492"/>
      <c r="V302" s="460"/>
      <c r="W302" s="458"/>
    </row>
    <row r="303" spans="1:23" ht="14.45" customHeight="1" x14ac:dyDescent="0.25">
      <c r="A303" s="458"/>
      <c r="B303" s="469"/>
      <c r="C303" s="460"/>
      <c r="D303" s="462"/>
      <c r="E303" s="463"/>
      <c r="F303" s="493"/>
      <c r="G303" s="493"/>
      <c r="H303" s="493"/>
      <c r="I303" s="493"/>
      <c r="J303" s="493"/>
      <c r="K303" s="493"/>
      <c r="M303" s="494"/>
      <c r="N303" s="494"/>
      <c r="O303" s="494"/>
      <c r="P303" s="457"/>
      <c r="Q303" s="462"/>
      <c r="R303" s="469"/>
      <c r="S303" s="468"/>
      <c r="T303" s="463"/>
      <c r="U303" s="492"/>
      <c r="V303" s="460"/>
      <c r="W303" s="458"/>
    </row>
    <row r="304" spans="1:23" ht="14.45" customHeight="1" x14ac:dyDescent="0.25">
      <c r="A304" s="458"/>
      <c r="B304" s="469"/>
      <c r="C304" s="460"/>
      <c r="D304" s="462"/>
      <c r="E304" s="463"/>
      <c r="F304" s="493"/>
      <c r="G304" s="493"/>
      <c r="H304" s="493"/>
      <c r="I304" s="493"/>
      <c r="J304" s="493"/>
      <c r="K304" s="493"/>
      <c r="M304" s="494"/>
      <c r="N304" s="494"/>
      <c r="O304" s="494"/>
      <c r="P304" s="457"/>
      <c r="Q304" s="462"/>
      <c r="R304" s="469"/>
      <c r="S304" s="462"/>
      <c r="T304" s="463"/>
      <c r="U304" s="492"/>
      <c r="V304" s="460"/>
      <c r="W304" s="458"/>
    </row>
    <row r="305" spans="1:23" ht="14.45" customHeight="1" x14ac:dyDescent="0.25">
      <c r="A305" s="458"/>
      <c r="B305" s="469"/>
      <c r="C305" s="460"/>
      <c r="D305" s="462"/>
      <c r="E305" s="463"/>
      <c r="F305" s="493"/>
      <c r="G305" s="493"/>
      <c r="H305" s="493"/>
      <c r="I305" s="493"/>
      <c r="J305" s="493"/>
      <c r="K305" s="493"/>
      <c r="L305" s="446"/>
      <c r="M305" s="494"/>
      <c r="N305" s="494"/>
      <c r="O305" s="494"/>
      <c r="P305" s="457"/>
      <c r="Q305" s="462"/>
      <c r="R305" s="469"/>
      <c r="S305" s="462"/>
      <c r="T305" s="463"/>
      <c r="U305" s="492"/>
      <c r="V305" s="460"/>
      <c r="W305" s="458"/>
    </row>
    <row r="306" spans="1:23" ht="14.45" customHeight="1" x14ac:dyDescent="0.25">
      <c r="A306" s="458"/>
      <c r="B306" s="469"/>
      <c r="C306" s="460"/>
      <c r="D306" s="462"/>
      <c r="E306" s="463"/>
      <c r="F306" s="493"/>
      <c r="G306" s="493"/>
      <c r="H306" s="493"/>
      <c r="I306" s="493"/>
      <c r="J306" s="493"/>
      <c r="K306" s="493"/>
      <c r="M306" s="494"/>
      <c r="N306" s="494"/>
      <c r="O306" s="494"/>
      <c r="P306" s="457"/>
      <c r="Q306" s="462"/>
      <c r="R306" s="469"/>
      <c r="S306" s="462"/>
      <c r="T306" s="463"/>
      <c r="U306" s="492"/>
      <c r="V306" s="460"/>
      <c r="W306" s="458"/>
    </row>
    <row r="307" spans="1:23" ht="14.45" customHeight="1" x14ac:dyDescent="0.25">
      <c r="A307" s="458"/>
      <c r="B307" s="469"/>
      <c r="C307" s="460"/>
      <c r="D307" s="462"/>
      <c r="E307" s="463"/>
      <c r="F307" s="493"/>
      <c r="G307" s="493"/>
      <c r="H307" s="493"/>
      <c r="I307" s="493"/>
      <c r="J307" s="493"/>
      <c r="K307" s="493"/>
      <c r="M307" s="494"/>
      <c r="N307" s="494"/>
      <c r="O307" s="494"/>
      <c r="P307" s="457"/>
      <c r="Q307" s="462"/>
      <c r="R307" s="469"/>
      <c r="S307" s="462"/>
      <c r="T307" s="463"/>
      <c r="U307" s="492"/>
      <c r="V307" s="460"/>
      <c r="W307" s="458"/>
    </row>
    <row r="308" spans="1:23" ht="14.45" customHeight="1" x14ac:dyDescent="0.25">
      <c r="A308" s="458"/>
      <c r="B308" s="469"/>
      <c r="C308" s="460"/>
      <c r="D308" s="462"/>
      <c r="E308" s="463"/>
      <c r="F308" s="493"/>
      <c r="G308" s="493"/>
      <c r="H308" s="493"/>
      <c r="I308" s="493"/>
      <c r="J308" s="493"/>
      <c r="K308" s="493"/>
      <c r="M308" s="494"/>
      <c r="N308" s="494"/>
      <c r="O308" s="494"/>
      <c r="P308" s="457"/>
      <c r="Q308" s="462"/>
      <c r="R308" s="469"/>
      <c r="S308" s="462"/>
      <c r="T308" s="463"/>
      <c r="U308" s="492"/>
      <c r="V308" s="460"/>
      <c r="W308" s="458"/>
    </row>
    <row r="309" spans="1:23" ht="14.45" customHeight="1" x14ac:dyDescent="0.25">
      <c r="A309" s="458"/>
      <c r="B309" s="469"/>
      <c r="C309" s="460"/>
      <c r="D309" s="462"/>
      <c r="E309" s="463"/>
      <c r="F309" s="493"/>
      <c r="G309" s="493"/>
      <c r="H309" s="493"/>
      <c r="I309" s="493"/>
      <c r="J309" s="493"/>
      <c r="K309" s="493"/>
      <c r="L309" s="446"/>
      <c r="M309" s="494"/>
      <c r="N309" s="494"/>
      <c r="O309" s="494"/>
      <c r="P309" s="459"/>
      <c r="Q309" s="462"/>
      <c r="R309" s="469"/>
      <c r="S309" s="462"/>
      <c r="T309" s="463"/>
      <c r="U309" s="492"/>
      <c r="V309" s="460"/>
      <c r="W309" s="458"/>
    </row>
    <row r="310" spans="1:23" ht="14.45" customHeight="1" x14ac:dyDescent="0.25">
      <c r="A310" s="458"/>
      <c r="B310" s="469"/>
      <c r="C310" s="460"/>
      <c r="D310" s="462"/>
      <c r="E310" s="463"/>
      <c r="F310" s="493"/>
      <c r="G310" s="493"/>
      <c r="H310" s="493"/>
      <c r="I310" s="493"/>
      <c r="J310" s="493"/>
      <c r="K310" s="493"/>
      <c r="L310" s="446"/>
      <c r="M310" s="494"/>
      <c r="N310" s="494"/>
      <c r="O310" s="494"/>
      <c r="P310" s="457"/>
      <c r="Q310" s="462"/>
      <c r="R310" s="469"/>
      <c r="S310" s="462"/>
      <c r="T310" s="463"/>
      <c r="U310" s="492"/>
      <c r="V310" s="460"/>
      <c r="W310" s="458"/>
    </row>
    <row r="311" spans="1:23" ht="14.45" customHeight="1" x14ac:dyDescent="0.25">
      <c r="A311" s="458"/>
      <c r="B311" s="469"/>
      <c r="C311" s="460"/>
      <c r="D311" s="462"/>
      <c r="E311" s="463"/>
      <c r="F311" s="493"/>
      <c r="G311" s="493"/>
      <c r="H311" s="493"/>
      <c r="I311" s="493"/>
      <c r="J311" s="493"/>
      <c r="K311" s="493"/>
      <c r="L311" s="446"/>
      <c r="M311" s="494"/>
      <c r="N311" s="494"/>
      <c r="O311" s="494"/>
      <c r="P311" s="457"/>
      <c r="Q311" s="462"/>
      <c r="R311" s="469"/>
      <c r="S311" s="468"/>
      <c r="T311" s="463"/>
      <c r="U311" s="492"/>
      <c r="V311" s="460"/>
      <c r="W311" s="458"/>
    </row>
    <row r="312" spans="1:23" ht="14.45" customHeight="1" x14ac:dyDescent="0.25">
      <c r="A312" s="458"/>
      <c r="B312" s="469"/>
      <c r="C312" s="460"/>
      <c r="D312" s="462"/>
      <c r="E312" s="463"/>
      <c r="F312" s="493"/>
      <c r="G312" s="493"/>
      <c r="H312" s="493"/>
      <c r="I312" s="493"/>
      <c r="J312" s="493"/>
      <c r="K312" s="493"/>
      <c r="L312" s="446"/>
      <c r="M312" s="494"/>
      <c r="N312" s="494"/>
      <c r="O312" s="494"/>
      <c r="P312" s="457"/>
      <c r="Q312" s="462"/>
      <c r="R312" s="469"/>
      <c r="S312" s="468"/>
      <c r="T312" s="463"/>
      <c r="U312" s="492"/>
      <c r="V312" s="460"/>
      <c r="W312" s="458"/>
    </row>
    <row r="313" spans="1:23" ht="14.45" customHeight="1" x14ac:dyDescent="0.25">
      <c r="A313" s="458"/>
      <c r="B313" s="469"/>
      <c r="C313" s="460"/>
      <c r="D313" s="462"/>
      <c r="E313" s="463"/>
      <c r="F313" s="493"/>
      <c r="G313" s="493"/>
      <c r="H313" s="493"/>
      <c r="I313" s="493"/>
      <c r="J313" s="493"/>
      <c r="K313" s="493"/>
      <c r="L313" s="446"/>
      <c r="M313" s="494"/>
      <c r="N313" s="494"/>
      <c r="O313" s="494"/>
      <c r="P313" s="457"/>
      <c r="Q313" s="462"/>
      <c r="R313" s="469"/>
      <c r="S313" s="468"/>
      <c r="T313" s="463"/>
      <c r="U313" s="492"/>
      <c r="V313" s="460"/>
      <c r="W313" s="458"/>
    </row>
    <row r="314" spans="1:23" ht="14.45" customHeight="1" x14ac:dyDescent="0.25">
      <c r="A314" s="458"/>
      <c r="B314" s="469"/>
      <c r="C314" s="460"/>
      <c r="D314" s="462"/>
      <c r="E314" s="463"/>
      <c r="F314" s="493"/>
      <c r="G314" s="493"/>
      <c r="H314" s="493"/>
      <c r="I314" s="493"/>
      <c r="J314" s="493"/>
      <c r="K314" s="493"/>
      <c r="L314" s="446"/>
      <c r="M314" s="494"/>
      <c r="N314" s="494"/>
      <c r="O314" s="494"/>
      <c r="P314" s="457"/>
      <c r="Q314" s="462"/>
      <c r="R314" s="469"/>
      <c r="S314" s="468"/>
      <c r="T314" s="463"/>
      <c r="U314" s="492"/>
      <c r="V314" s="460"/>
      <c r="W314" s="458"/>
    </row>
    <row r="315" spans="1:23" ht="14.45" customHeight="1" x14ac:dyDescent="0.25">
      <c r="A315" s="458"/>
      <c r="B315" s="469"/>
      <c r="C315" s="460"/>
      <c r="D315" s="462"/>
      <c r="E315" s="463"/>
      <c r="F315" s="493"/>
      <c r="G315" s="493"/>
      <c r="H315" s="493"/>
      <c r="I315" s="493"/>
      <c r="J315" s="493"/>
      <c r="K315" s="493"/>
      <c r="M315" s="494"/>
      <c r="N315" s="494"/>
      <c r="O315" s="494"/>
      <c r="P315" s="457"/>
      <c r="Q315" s="462"/>
      <c r="R315" s="469"/>
      <c r="S315" s="468"/>
      <c r="T315" s="463"/>
      <c r="U315" s="492"/>
      <c r="V315" s="460"/>
      <c r="W315" s="458"/>
    </row>
    <row r="316" spans="1:23" ht="14.45" customHeight="1" x14ac:dyDescent="0.25">
      <c r="A316" s="458"/>
      <c r="B316" s="469"/>
      <c r="C316" s="460"/>
      <c r="D316" s="462"/>
      <c r="E316" s="463"/>
      <c r="F316" s="493"/>
      <c r="G316" s="493"/>
      <c r="H316" s="493"/>
      <c r="I316" s="493"/>
      <c r="J316" s="493"/>
      <c r="K316" s="493"/>
      <c r="M316" s="494"/>
      <c r="N316" s="494"/>
      <c r="O316" s="494"/>
      <c r="P316" s="457"/>
      <c r="Q316" s="462"/>
      <c r="R316" s="469"/>
      <c r="S316" s="462"/>
      <c r="T316" s="463"/>
      <c r="U316" s="492"/>
      <c r="V316" s="460"/>
      <c r="W316" s="458"/>
    </row>
    <row r="317" spans="1:23" ht="14.45" customHeight="1" x14ac:dyDescent="0.25">
      <c r="A317" s="458"/>
      <c r="B317" s="469"/>
      <c r="C317" s="460"/>
      <c r="D317" s="462"/>
      <c r="E317" s="463"/>
      <c r="F317" s="493"/>
      <c r="G317" s="493"/>
      <c r="H317" s="493"/>
      <c r="I317" s="493"/>
      <c r="J317" s="493"/>
      <c r="K317" s="493"/>
      <c r="M317" s="494"/>
      <c r="N317" s="494"/>
      <c r="O317" s="494"/>
      <c r="P317" s="457"/>
      <c r="Q317" s="462"/>
      <c r="R317" s="469"/>
      <c r="S317" s="468"/>
      <c r="T317" s="463"/>
      <c r="U317" s="492"/>
      <c r="V317" s="460"/>
      <c r="W317" s="458"/>
    </row>
    <row r="318" spans="1:23" ht="14.45" customHeight="1" x14ac:dyDescent="0.25">
      <c r="A318" s="458"/>
      <c r="B318" s="469"/>
      <c r="C318" s="460"/>
      <c r="D318" s="462"/>
      <c r="E318" s="463"/>
      <c r="F318" s="493"/>
      <c r="G318" s="493"/>
      <c r="H318" s="493"/>
      <c r="I318" s="493"/>
      <c r="J318" s="493"/>
      <c r="K318" s="493"/>
      <c r="M318" s="494"/>
      <c r="N318" s="494"/>
      <c r="O318" s="494"/>
      <c r="P318" s="457"/>
      <c r="Q318" s="462"/>
      <c r="R318" s="469"/>
      <c r="S318" s="468"/>
      <c r="T318" s="463"/>
      <c r="U318" s="492"/>
      <c r="V318" s="460"/>
      <c r="W318" s="458"/>
    </row>
    <row r="319" spans="1:23" ht="14.45" customHeight="1" x14ac:dyDescent="0.25">
      <c r="A319" s="458"/>
      <c r="B319" s="469"/>
      <c r="C319" s="460"/>
      <c r="D319" s="462"/>
      <c r="E319" s="463"/>
      <c r="F319" s="493"/>
      <c r="G319" s="493"/>
      <c r="H319" s="493"/>
      <c r="I319" s="493"/>
      <c r="J319" s="493"/>
      <c r="K319" s="493"/>
      <c r="M319" s="494"/>
      <c r="N319" s="494"/>
      <c r="O319" s="494"/>
      <c r="P319" s="457"/>
      <c r="Q319" s="462"/>
      <c r="R319" s="469"/>
      <c r="S319" s="468"/>
      <c r="T319" s="463"/>
      <c r="U319" s="492"/>
      <c r="V319" s="460"/>
      <c r="W319" s="458"/>
    </row>
    <row r="320" spans="1:23" ht="14.45" customHeight="1" x14ac:dyDescent="0.25">
      <c r="A320" s="458"/>
      <c r="B320" s="469"/>
      <c r="C320" s="460"/>
      <c r="D320" s="462"/>
      <c r="E320" s="463"/>
      <c r="F320" s="493"/>
      <c r="G320" s="493"/>
      <c r="H320" s="493"/>
      <c r="I320" s="493"/>
      <c r="J320" s="493"/>
      <c r="K320" s="493"/>
      <c r="M320" s="494"/>
      <c r="N320" s="494"/>
      <c r="O320" s="494"/>
      <c r="P320" s="457"/>
      <c r="Q320" s="462"/>
      <c r="R320" s="469"/>
      <c r="S320" s="468"/>
      <c r="T320" s="463"/>
      <c r="U320" s="492"/>
      <c r="V320" s="460"/>
      <c r="W320" s="458"/>
    </row>
    <row r="321" spans="1:23" ht="14.45" customHeight="1" x14ac:dyDescent="0.25">
      <c r="A321" s="458"/>
      <c r="B321" s="469"/>
      <c r="C321" s="460"/>
      <c r="D321" s="462"/>
      <c r="E321" s="463"/>
      <c r="F321" s="493"/>
      <c r="G321" s="493"/>
      <c r="H321" s="493"/>
      <c r="I321" s="493"/>
      <c r="J321" s="493"/>
      <c r="K321" s="493"/>
      <c r="M321" s="494"/>
      <c r="N321" s="494"/>
      <c r="O321" s="494"/>
      <c r="P321" s="457"/>
      <c r="Q321" s="462"/>
      <c r="R321" s="469"/>
      <c r="S321" s="468"/>
      <c r="T321" s="463"/>
      <c r="U321" s="492"/>
      <c r="V321" s="460"/>
      <c r="W321" s="458"/>
    </row>
    <row r="322" spans="1:23" ht="14.45" customHeight="1" x14ac:dyDescent="0.25">
      <c r="A322" s="458"/>
      <c r="B322" s="469"/>
      <c r="C322" s="460"/>
      <c r="D322" s="462"/>
      <c r="E322" s="463"/>
      <c r="F322" s="493"/>
      <c r="G322" s="493"/>
      <c r="H322" s="493"/>
      <c r="I322" s="493"/>
      <c r="J322" s="493"/>
      <c r="K322" s="493"/>
      <c r="M322" s="494"/>
      <c r="N322" s="494"/>
      <c r="O322" s="494"/>
      <c r="P322" s="457"/>
      <c r="Q322" s="462"/>
      <c r="R322" s="469"/>
      <c r="S322" s="468"/>
      <c r="T322" s="463"/>
      <c r="U322" s="492"/>
      <c r="V322" s="460"/>
      <c r="W322" s="458"/>
    </row>
    <row r="323" spans="1:23" ht="14.45" customHeight="1" x14ac:dyDescent="0.25">
      <c r="A323" s="458"/>
      <c r="B323" s="469"/>
      <c r="C323" s="460"/>
      <c r="D323" s="462"/>
      <c r="E323" s="463"/>
      <c r="F323" s="493"/>
      <c r="G323" s="493"/>
      <c r="H323" s="493"/>
      <c r="I323" s="493"/>
      <c r="J323" s="493"/>
      <c r="K323" s="493"/>
      <c r="M323" s="494"/>
      <c r="N323" s="494"/>
      <c r="O323" s="494"/>
      <c r="P323" s="457"/>
      <c r="Q323" s="462"/>
      <c r="R323" s="469"/>
      <c r="S323" s="468"/>
      <c r="T323" s="463"/>
      <c r="U323" s="492"/>
      <c r="V323" s="460"/>
      <c r="W323" s="458"/>
    </row>
    <row r="324" spans="1:23" ht="14.45" customHeight="1" x14ac:dyDescent="0.25">
      <c r="A324" s="458"/>
      <c r="B324" s="469"/>
      <c r="C324" s="460"/>
      <c r="D324" s="462"/>
      <c r="E324" s="463"/>
      <c r="F324" s="493"/>
      <c r="G324" s="493"/>
      <c r="H324" s="493"/>
      <c r="I324" s="493"/>
      <c r="J324" s="493"/>
      <c r="K324" s="493"/>
      <c r="M324" s="494"/>
      <c r="N324" s="494"/>
      <c r="O324" s="494"/>
      <c r="P324" s="457"/>
      <c r="Q324" s="462"/>
      <c r="R324" s="469"/>
      <c r="S324" s="468"/>
      <c r="T324" s="463"/>
      <c r="U324" s="492"/>
      <c r="V324" s="460"/>
      <c r="W324" s="458"/>
    </row>
    <row r="325" spans="1:23" ht="14.45" customHeight="1" x14ac:dyDescent="0.25">
      <c r="A325" s="458"/>
      <c r="B325" s="469"/>
      <c r="C325" s="460"/>
      <c r="D325" s="462"/>
      <c r="E325" s="463"/>
      <c r="F325" s="493"/>
      <c r="G325" s="493"/>
      <c r="H325" s="493"/>
      <c r="I325" s="493"/>
      <c r="J325" s="493"/>
      <c r="K325" s="493"/>
      <c r="M325" s="494"/>
      <c r="N325" s="494"/>
      <c r="O325" s="494"/>
      <c r="P325" s="457"/>
      <c r="Q325" s="462"/>
      <c r="R325" s="469"/>
      <c r="S325" s="468"/>
      <c r="T325" s="463"/>
      <c r="U325" s="492"/>
      <c r="V325" s="460"/>
      <c r="W325" s="458"/>
    </row>
    <row r="326" spans="1:23" ht="14.45" customHeight="1" x14ac:dyDescent="0.25">
      <c r="A326" s="458"/>
      <c r="B326" s="469"/>
      <c r="C326" s="460"/>
      <c r="D326" s="462"/>
      <c r="E326" s="463"/>
      <c r="F326" s="493"/>
      <c r="G326" s="493"/>
      <c r="H326" s="493"/>
      <c r="I326" s="493"/>
      <c r="J326" s="493"/>
      <c r="K326" s="493"/>
      <c r="M326" s="494"/>
      <c r="N326" s="494"/>
      <c r="O326" s="494"/>
      <c r="P326" s="457"/>
      <c r="Q326" s="462"/>
      <c r="R326" s="469"/>
      <c r="S326" s="462"/>
      <c r="T326" s="463"/>
      <c r="U326" s="492"/>
      <c r="V326" s="460"/>
      <c r="W326" s="458"/>
    </row>
    <row r="327" spans="1:23" ht="14.45" customHeight="1" x14ac:dyDescent="0.25">
      <c r="A327" s="458"/>
      <c r="B327" s="469"/>
      <c r="C327" s="460"/>
      <c r="D327" s="462"/>
      <c r="E327" s="463"/>
      <c r="F327" s="493"/>
      <c r="G327" s="493"/>
      <c r="H327" s="493"/>
      <c r="I327" s="493"/>
      <c r="J327" s="493"/>
      <c r="K327" s="493"/>
      <c r="M327" s="494"/>
      <c r="N327" s="494"/>
      <c r="O327" s="494"/>
      <c r="P327" s="457"/>
      <c r="Q327" s="462"/>
      <c r="R327" s="469"/>
      <c r="S327" s="468"/>
      <c r="T327" s="463"/>
      <c r="U327" s="492"/>
      <c r="V327" s="460"/>
      <c r="W327" s="458"/>
    </row>
    <row r="328" spans="1:23" ht="14.45" customHeight="1" x14ac:dyDescent="0.25">
      <c r="A328" s="458"/>
      <c r="B328" s="469"/>
      <c r="C328" s="460"/>
      <c r="D328" s="462"/>
      <c r="E328" s="463"/>
      <c r="F328" s="493"/>
      <c r="G328" s="493"/>
      <c r="H328" s="493"/>
      <c r="I328" s="493"/>
      <c r="J328" s="493"/>
      <c r="K328" s="493"/>
      <c r="M328" s="494"/>
      <c r="N328" s="494"/>
      <c r="O328" s="494"/>
      <c r="P328" s="457"/>
      <c r="Q328" s="462"/>
      <c r="R328" s="469"/>
      <c r="S328" s="468"/>
      <c r="T328" s="463"/>
      <c r="U328" s="492"/>
      <c r="V328" s="460"/>
      <c r="W328" s="458"/>
    </row>
    <row r="329" spans="1:23" ht="30" customHeight="1" x14ac:dyDescent="0.25">
      <c r="A329" s="458"/>
      <c r="B329" s="469"/>
      <c r="C329" s="460"/>
      <c r="D329" s="462"/>
      <c r="E329" s="463"/>
      <c r="F329" s="493"/>
      <c r="G329" s="493"/>
      <c r="H329" s="493"/>
      <c r="I329" s="493"/>
      <c r="J329" s="493"/>
      <c r="K329" s="493"/>
      <c r="M329" s="549"/>
      <c r="N329" s="494"/>
      <c r="O329" s="494"/>
      <c r="P329" s="457"/>
      <c r="Q329" s="462"/>
      <c r="R329" s="469"/>
      <c r="S329" s="468"/>
      <c r="T329" s="463"/>
      <c r="U329" s="492"/>
      <c r="V329" s="460"/>
      <c r="W329" s="458"/>
    </row>
    <row r="330" spans="1:23" ht="14.45" customHeight="1" x14ac:dyDescent="0.25">
      <c r="A330" s="458"/>
      <c r="B330" s="469"/>
      <c r="C330" s="460"/>
      <c r="D330" s="462"/>
      <c r="E330" s="463"/>
      <c r="F330" s="493"/>
      <c r="G330" s="493"/>
      <c r="H330" s="493"/>
      <c r="I330" s="493"/>
      <c r="J330" s="493"/>
      <c r="K330" s="493"/>
      <c r="M330" s="494"/>
      <c r="N330" s="494"/>
      <c r="O330" s="494"/>
      <c r="P330" s="457"/>
      <c r="Q330" s="462"/>
      <c r="R330" s="469"/>
      <c r="S330" s="468"/>
      <c r="T330" s="463"/>
      <c r="U330" s="492"/>
      <c r="V330" s="460"/>
      <c r="W330" s="458"/>
    </row>
    <row r="331" spans="1:23" ht="14.45" customHeight="1" x14ac:dyDescent="0.25">
      <c r="A331" s="458"/>
      <c r="B331" s="469"/>
      <c r="C331" s="460"/>
      <c r="D331" s="462"/>
      <c r="E331" s="463"/>
      <c r="F331" s="493"/>
      <c r="G331" s="493"/>
      <c r="H331" s="493"/>
      <c r="I331" s="493"/>
      <c r="J331" s="493"/>
      <c r="K331" s="493"/>
      <c r="M331" s="494"/>
      <c r="N331" s="494"/>
      <c r="O331" s="494"/>
      <c r="P331" s="457"/>
      <c r="Q331" s="462"/>
      <c r="R331" s="469"/>
      <c r="S331" s="462"/>
      <c r="T331" s="463"/>
      <c r="U331" s="492"/>
      <c r="V331" s="460"/>
      <c r="W331" s="458"/>
    </row>
    <row r="332" spans="1:23" ht="14.45" customHeight="1" x14ac:dyDescent="0.25">
      <c r="A332" s="458"/>
      <c r="B332" s="469"/>
      <c r="C332" s="460"/>
      <c r="D332" s="462"/>
      <c r="E332" s="463"/>
      <c r="F332" s="493"/>
      <c r="G332" s="493"/>
      <c r="H332" s="493"/>
      <c r="I332" s="493"/>
      <c r="J332" s="493"/>
      <c r="K332" s="493"/>
      <c r="M332" s="494"/>
      <c r="N332" s="494"/>
      <c r="O332" s="494"/>
      <c r="P332" s="457"/>
      <c r="Q332" s="462"/>
      <c r="R332" s="469"/>
      <c r="S332" s="462"/>
      <c r="T332" s="463"/>
      <c r="U332" s="492"/>
      <c r="V332" s="460"/>
      <c r="W332" s="458"/>
    </row>
    <row r="333" spans="1:23" ht="14.45" customHeight="1" x14ac:dyDescent="0.25">
      <c r="A333" s="458"/>
      <c r="B333" s="469"/>
      <c r="C333" s="460"/>
      <c r="D333" s="462"/>
      <c r="E333" s="463"/>
      <c r="F333" s="493"/>
      <c r="G333" s="493"/>
      <c r="H333" s="493"/>
      <c r="I333" s="493"/>
      <c r="J333" s="493"/>
      <c r="K333" s="493"/>
      <c r="M333" s="494"/>
      <c r="N333" s="494"/>
      <c r="O333" s="494"/>
      <c r="P333" s="457"/>
      <c r="Q333" s="462"/>
      <c r="R333" s="469"/>
      <c r="S333" s="462"/>
      <c r="T333" s="463"/>
      <c r="U333" s="492"/>
      <c r="V333" s="460"/>
      <c r="W333" s="458"/>
    </row>
    <row r="334" spans="1:23" ht="14.45" customHeight="1" x14ac:dyDescent="0.25">
      <c r="A334" s="458"/>
      <c r="B334" s="469"/>
      <c r="C334" s="460"/>
      <c r="D334" s="462"/>
      <c r="E334" s="463"/>
      <c r="F334" s="493"/>
      <c r="G334" s="493"/>
      <c r="H334" s="493"/>
      <c r="I334" s="493"/>
      <c r="J334" s="493"/>
      <c r="K334" s="493"/>
      <c r="M334" s="494"/>
      <c r="N334" s="494"/>
      <c r="O334" s="494"/>
      <c r="P334" s="457"/>
      <c r="Q334" s="462"/>
      <c r="R334" s="469"/>
      <c r="S334" s="462"/>
      <c r="T334" s="463"/>
      <c r="U334" s="492"/>
      <c r="V334" s="460"/>
      <c r="W334" s="458"/>
    </row>
    <row r="335" spans="1:23" ht="14.45" customHeight="1" x14ac:dyDescent="0.25">
      <c r="A335" s="458"/>
      <c r="B335" s="469"/>
      <c r="C335" s="460"/>
      <c r="D335" s="462"/>
      <c r="E335" s="463"/>
      <c r="F335" s="493"/>
      <c r="G335" s="493"/>
      <c r="H335" s="493"/>
      <c r="I335" s="493"/>
      <c r="J335" s="493"/>
      <c r="K335" s="493"/>
      <c r="M335" s="494"/>
      <c r="N335" s="494"/>
      <c r="O335" s="494"/>
      <c r="P335" s="457"/>
      <c r="Q335" s="462"/>
      <c r="R335" s="469"/>
      <c r="S335" s="462"/>
      <c r="T335" s="463"/>
      <c r="U335" s="492"/>
      <c r="V335" s="460"/>
      <c r="W335" s="458"/>
    </row>
    <row r="336" spans="1:23" ht="14.45" customHeight="1" x14ac:dyDescent="0.25">
      <c r="A336" s="458"/>
      <c r="B336" s="469"/>
      <c r="C336" s="460"/>
      <c r="D336" s="462"/>
      <c r="E336" s="463"/>
      <c r="F336" s="493"/>
      <c r="G336" s="493"/>
      <c r="H336" s="493"/>
      <c r="I336" s="493"/>
      <c r="J336" s="493"/>
      <c r="K336" s="493"/>
      <c r="M336" s="494"/>
      <c r="N336" s="494"/>
      <c r="O336" s="494"/>
      <c r="P336" s="457"/>
      <c r="Q336" s="462"/>
      <c r="R336" s="469"/>
      <c r="S336" s="468"/>
      <c r="T336" s="463"/>
      <c r="U336" s="492"/>
      <c r="V336" s="460"/>
      <c r="W336" s="458"/>
    </row>
    <row r="337" spans="1:23" ht="14.45" customHeight="1" x14ac:dyDescent="0.25">
      <c r="A337" s="458"/>
      <c r="B337" s="469"/>
      <c r="C337" s="460"/>
      <c r="D337" s="462"/>
      <c r="E337" s="463"/>
      <c r="F337" s="493"/>
      <c r="G337" s="493"/>
      <c r="H337" s="493"/>
      <c r="I337" s="493"/>
      <c r="J337" s="493"/>
      <c r="K337" s="493"/>
      <c r="M337" s="494"/>
      <c r="N337" s="494"/>
      <c r="O337" s="494"/>
      <c r="P337" s="457"/>
      <c r="Q337" s="462"/>
      <c r="R337" s="469"/>
      <c r="S337" s="468"/>
      <c r="T337" s="463"/>
      <c r="U337" s="492"/>
      <c r="V337" s="460"/>
      <c r="W337" s="458"/>
    </row>
    <row r="338" spans="1:23" ht="14.45" customHeight="1" x14ac:dyDescent="0.25">
      <c r="A338" s="458"/>
      <c r="B338" s="469"/>
      <c r="C338" s="460"/>
      <c r="D338" s="462"/>
      <c r="E338" s="463"/>
      <c r="F338" s="493"/>
      <c r="G338" s="493"/>
      <c r="H338" s="493"/>
      <c r="I338" s="493"/>
      <c r="J338" s="493"/>
      <c r="K338" s="493"/>
      <c r="M338" s="494"/>
      <c r="N338" s="494"/>
      <c r="O338" s="494"/>
      <c r="P338" s="476"/>
      <c r="Q338" s="462"/>
      <c r="R338" s="469"/>
      <c r="S338" s="462"/>
      <c r="T338" s="463"/>
      <c r="U338" s="492"/>
      <c r="V338" s="460"/>
      <c r="W338" s="458"/>
    </row>
    <row r="339" spans="1:23" x14ac:dyDescent="0.25">
      <c r="A339" s="458"/>
      <c r="B339" s="469"/>
      <c r="C339" s="460"/>
      <c r="D339" s="462"/>
      <c r="E339" s="463"/>
      <c r="F339" s="493"/>
      <c r="G339" s="493"/>
      <c r="H339" s="493"/>
      <c r="I339" s="493"/>
      <c r="J339" s="493"/>
      <c r="K339" s="493"/>
      <c r="L339" s="68"/>
      <c r="M339" s="458"/>
      <c r="N339" s="458"/>
      <c r="O339" s="458"/>
      <c r="P339" s="68"/>
      <c r="Q339" s="462"/>
      <c r="R339" s="469"/>
      <c r="S339" s="468"/>
      <c r="T339" s="463"/>
      <c r="U339" s="492"/>
      <c r="V339" s="460"/>
      <c r="W339" s="458"/>
    </row>
    <row r="340" spans="1:23" x14ac:dyDescent="0.25">
      <c r="A340" s="458"/>
      <c r="B340" s="469"/>
      <c r="C340" s="460"/>
      <c r="D340" s="462"/>
      <c r="E340" s="463"/>
      <c r="F340" s="493"/>
      <c r="G340" s="493"/>
      <c r="H340" s="493"/>
      <c r="I340" s="493"/>
      <c r="J340" s="493"/>
      <c r="K340" s="493"/>
      <c r="L340" s="68"/>
      <c r="M340" s="458"/>
      <c r="N340" s="458"/>
      <c r="O340" s="458"/>
      <c r="P340" s="68"/>
      <c r="Q340" s="462"/>
      <c r="R340" s="469"/>
      <c r="S340" s="468"/>
      <c r="T340" s="463"/>
      <c r="U340" s="492"/>
      <c r="V340" s="460"/>
      <c r="W340" s="458"/>
    </row>
    <row r="341" spans="1:23" x14ac:dyDescent="0.25">
      <c r="A341" s="458"/>
      <c r="B341" s="469"/>
      <c r="C341" s="460"/>
      <c r="D341" s="462"/>
      <c r="E341" s="463"/>
      <c r="F341" s="493"/>
      <c r="G341" s="493"/>
      <c r="H341" s="493"/>
      <c r="I341" s="493"/>
      <c r="J341" s="493"/>
      <c r="K341" s="493"/>
      <c r="L341" s="68"/>
      <c r="M341" s="458"/>
      <c r="N341" s="458"/>
      <c r="O341" s="458"/>
      <c r="P341" s="68"/>
      <c r="Q341" s="462"/>
      <c r="R341" s="469"/>
      <c r="S341" s="468"/>
      <c r="T341" s="463"/>
      <c r="U341" s="492"/>
      <c r="V341" s="460"/>
      <c r="W341" s="458"/>
    </row>
    <row r="342" spans="1:23" x14ac:dyDescent="0.25">
      <c r="A342" s="458"/>
      <c r="B342" s="469"/>
      <c r="C342" s="460"/>
      <c r="D342" s="462"/>
      <c r="E342" s="463"/>
      <c r="F342" s="493"/>
      <c r="G342" s="493"/>
      <c r="H342" s="493"/>
      <c r="I342" s="493"/>
      <c r="J342" s="493"/>
      <c r="K342" s="493"/>
      <c r="L342" s="68"/>
      <c r="M342" s="458"/>
      <c r="N342" s="458"/>
      <c r="O342" s="458"/>
      <c r="P342" s="68"/>
      <c r="Q342" s="462"/>
      <c r="R342" s="469"/>
      <c r="S342" s="468"/>
      <c r="T342" s="463"/>
      <c r="U342" s="492"/>
      <c r="V342" s="460"/>
      <c r="W342" s="458"/>
    </row>
    <row r="343" spans="1:23" x14ac:dyDescent="0.25">
      <c r="A343" s="458"/>
      <c r="B343" s="469"/>
      <c r="C343" s="460"/>
      <c r="D343" s="462"/>
      <c r="E343" s="463"/>
      <c r="F343" s="493"/>
      <c r="G343" s="493"/>
      <c r="H343" s="493"/>
      <c r="I343" s="493"/>
      <c r="J343" s="493"/>
      <c r="K343" s="493"/>
      <c r="L343" s="68"/>
      <c r="M343" s="458"/>
      <c r="N343" s="458"/>
      <c r="O343" s="458"/>
      <c r="P343" s="68"/>
      <c r="Q343" s="462"/>
      <c r="R343" s="469"/>
      <c r="S343" s="468"/>
      <c r="T343" s="463"/>
      <c r="U343" s="492"/>
      <c r="V343" s="460"/>
      <c r="W343" s="458"/>
    </row>
    <row r="344" spans="1:23" x14ac:dyDescent="0.25">
      <c r="A344" s="458"/>
      <c r="B344" s="469"/>
      <c r="C344" s="460"/>
      <c r="D344" s="462"/>
      <c r="E344" s="463"/>
      <c r="F344" s="493"/>
      <c r="G344" s="493"/>
      <c r="H344" s="493"/>
      <c r="I344" s="493"/>
      <c r="J344" s="493"/>
      <c r="K344" s="493"/>
      <c r="L344" s="68"/>
      <c r="M344" s="458"/>
      <c r="N344" s="458"/>
      <c r="O344" s="458"/>
      <c r="P344" s="68"/>
      <c r="Q344" s="462"/>
      <c r="R344" s="469"/>
      <c r="S344" s="468"/>
      <c r="T344" s="463"/>
      <c r="U344" s="492"/>
      <c r="V344" s="460"/>
      <c r="W344" s="458"/>
    </row>
    <row r="345" spans="1:23" x14ac:dyDescent="0.25">
      <c r="A345" s="458"/>
      <c r="B345" s="469"/>
      <c r="C345" s="460"/>
      <c r="D345" s="462"/>
      <c r="E345" s="463"/>
      <c r="F345" s="493"/>
      <c r="G345" s="493"/>
      <c r="H345" s="493"/>
      <c r="I345" s="493"/>
      <c r="J345" s="493"/>
      <c r="K345" s="493"/>
      <c r="L345" s="68"/>
      <c r="M345" s="458"/>
      <c r="N345" s="458"/>
      <c r="O345" s="458"/>
      <c r="P345" s="68"/>
      <c r="Q345" s="462"/>
      <c r="R345" s="469"/>
      <c r="S345" s="468"/>
      <c r="T345" s="463"/>
      <c r="U345" s="492"/>
      <c r="V345" s="460"/>
      <c r="W345" s="458"/>
    </row>
    <row r="346" spans="1:23" x14ac:dyDescent="0.25">
      <c r="A346" s="458"/>
      <c r="B346" s="469"/>
      <c r="C346" s="460"/>
      <c r="D346" s="462"/>
      <c r="E346" s="463"/>
      <c r="F346" s="493"/>
      <c r="G346" s="493"/>
      <c r="H346" s="493"/>
      <c r="I346" s="493"/>
      <c r="J346" s="493"/>
      <c r="K346" s="493"/>
      <c r="L346" s="68"/>
      <c r="M346" s="458"/>
      <c r="N346" s="458"/>
      <c r="O346" s="458"/>
      <c r="P346" s="68"/>
      <c r="Q346" s="462"/>
      <c r="R346" s="469"/>
      <c r="S346" s="468"/>
      <c r="T346" s="463"/>
      <c r="U346" s="492"/>
      <c r="V346" s="460"/>
      <c r="W346" s="458"/>
    </row>
    <row r="347" spans="1:23" x14ac:dyDescent="0.25">
      <c r="A347" s="458"/>
      <c r="B347" s="469"/>
      <c r="C347" s="460"/>
      <c r="D347" s="462"/>
      <c r="E347" s="463"/>
      <c r="F347" s="493"/>
      <c r="G347" s="493"/>
      <c r="H347" s="493"/>
      <c r="I347" s="493"/>
      <c r="J347" s="493"/>
      <c r="K347" s="493"/>
      <c r="L347" s="68"/>
      <c r="M347" s="458"/>
      <c r="N347" s="458"/>
      <c r="O347" s="458"/>
      <c r="P347" s="68"/>
      <c r="Q347" s="462"/>
      <c r="R347" s="469"/>
      <c r="S347" s="468"/>
      <c r="T347" s="463"/>
      <c r="U347" s="492"/>
      <c r="V347" s="460"/>
      <c r="W347" s="458"/>
    </row>
    <row r="348" spans="1:23" x14ac:dyDescent="0.25">
      <c r="A348" s="458"/>
      <c r="B348" s="469"/>
      <c r="C348" s="460"/>
      <c r="D348" s="462"/>
      <c r="E348" s="463"/>
      <c r="F348" s="493"/>
      <c r="G348" s="493"/>
      <c r="H348" s="493"/>
      <c r="I348" s="493"/>
      <c r="J348" s="493"/>
      <c r="K348" s="493"/>
      <c r="L348" s="68"/>
      <c r="M348" s="458"/>
      <c r="N348" s="458"/>
      <c r="O348" s="458"/>
      <c r="P348" s="68"/>
      <c r="Q348" s="462"/>
      <c r="R348" s="469"/>
      <c r="S348" s="468"/>
      <c r="T348" s="463"/>
      <c r="U348" s="492"/>
      <c r="V348" s="460"/>
      <c r="W348" s="458"/>
    </row>
    <row r="349" spans="1:23" x14ac:dyDescent="0.25">
      <c r="A349" s="458"/>
      <c r="B349" s="469"/>
      <c r="C349" s="460"/>
      <c r="D349" s="462"/>
      <c r="E349" s="463"/>
      <c r="F349" s="493"/>
      <c r="G349" s="493"/>
      <c r="H349" s="493"/>
      <c r="I349" s="493"/>
      <c r="J349" s="493"/>
      <c r="K349" s="493"/>
      <c r="L349" s="68"/>
      <c r="M349" s="458"/>
      <c r="N349" s="458"/>
      <c r="O349" s="458"/>
      <c r="P349" s="68"/>
      <c r="Q349" s="462"/>
      <c r="R349" s="469"/>
      <c r="S349" s="468"/>
      <c r="T349" s="463"/>
      <c r="U349" s="492"/>
      <c r="V349" s="460"/>
      <c r="W349" s="458"/>
    </row>
    <row r="350" spans="1:23" x14ac:dyDescent="0.25">
      <c r="A350" s="458"/>
      <c r="B350" s="469"/>
      <c r="C350" s="460"/>
      <c r="D350" s="462"/>
      <c r="E350" s="463"/>
      <c r="F350" s="493"/>
      <c r="G350" s="493"/>
      <c r="H350" s="493"/>
      <c r="I350" s="493"/>
      <c r="J350" s="493"/>
      <c r="K350" s="493"/>
      <c r="L350" s="68"/>
      <c r="M350" s="458"/>
      <c r="N350" s="458"/>
      <c r="O350" s="458"/>
      <c r="P350" s="68"/>
      <c r="Q350" s="462"/>
      <c r="R350" s="469"/>
      <c r="S350" s="468"/>
      <c r="T350" s="463"/>
      <c r="U350" s="492"/>
      <c r="V350" s="460"/>
      <c r="W350" s="458"/>
    </row>
    <row r="351" spans="1:23" x14ac:dyDescent="0.25">
      <c r="A351" s="458"/>
      <c r="B351" s="469"/>
      <c r="C351" s="460"/>
      <c r="D351" s="462"/>
      <c r="E351" s="463"/>
      <c r="F351" s="493"/>
      <c r="G351" s="493"/>
      <c r="H351" s="493"/>
      <c r="I351" s="493"/>
      <c r="J351" s="493"/>
      <c r="K351" s="493"/>
      <c r="L351" s="68"/>
      <c r="M351" s="458"/>
      <c r="N351" s="458"/>
      <c r="O351" s="458"/>
      <c r="P351" s="68"/>
      <c r="Q351" s="462"/>
      <c r="R351" s="469"/>
      <c r="S351" s="468"/>
      <c r="T351" s="463"/>
      <c r="U351" s="492"/>
      <c r="V351" s="460"/>
      <c r="W351" s="458"/>
    </row>
    <row r="352" spans="1:23" x14ac:dyDescent="0.25">
      <c r="A352" s="458"/>
      <c r="B352" s="469"/>
      <c r="C352" s="460"/>
      <c r="D352" s="462"/>
      <c r="E352" s="463"/>
      <c r="F352" s="493"/>
      <c r="G352" s="493"/>
      <c r="H352" s="493"/>
      <c r="I352" s="493"/>
      <c r="J352" s="493"/>
      <c r="K352" s="493"/>
      <c r="L352" s="68"/>
      <c r="M352" s="458"/>
      <c r="N352" s="458"/>
      <c r="O352" s="458"/>
      <c r="P352" s="68"/>
      <c r="Q352" s="462"/>
      <c r="R352" s="469"/>
      <c r="S352" s="468"/>
      <c r="T352" s="463"/>
      <c r="U352" s="492"/>
      <c r="V352" s="460"/>
      <c r="W352" s="458"/>
    </row>
    <row r="353" spans="1:23" x14ac:dyDescent="0.25">
      <c r="A353" s="458"/>
      <c r="B353" s="469"/>
      <c r="C353" s="460"/>
      <c r="D353" s="462"/>
      <c r="E353" s="463"/>
      <c r="F353" s="493"/>
      <c r="G353" s="493"/>
      <c r="H353" s="493"/>
      <c r="I353" s="493"/>
      <c r="J353" s="493"/>
      <c r="K353" s="493"/>
      <c r="L353" s="68"/>
      <c r="M353" s="458"/>
      <c r="N353" s="458"/>
      <c r="O353" s="458"/>
      <c r="P353" s="68"/>
      <c r="Q353" s="462"/>
      <c r="R353" s="469"/>
      <c r="S353" s="468"/>
      <c r="T353" s="463"/>
      <c r="U353" s="492"/>
      <c r="V353" s="460"/>
      <c r="W353" s="458"/>
    </row>
    <row r="354" spans="1:23" x14ac:dyDescent="0.25">
      <c r="A354" s="458"/>
      <c r="B354" s="469"/>
      <c r="C354" s="460"/>
      <c r="D354" s="462"/>
      <c r="E354" s="463"/>
      <c r="F354" s="493"/>
      <c r="G354" s="493"/>
      <c r="H354" s="493"/>
      <c r="I354" s="493"/>
      <c r="J354" s="493"/>
      <c r="K354" s="493"/>
      <c r="L354" s="68"/>
      <c r="M354" s="458"/>
      <c r="N354" s="458"/>
      <c r="O354" s="458"/>
      <c r="P354" s="68"/>
      <c r="Q354" s="462"/>
      <c r="R354" s="469"/>
      <c r="S354" s="468"/>
      <c r="T354" s="463"/>
      <c r="U354" s="492"/>
      <c r="V354" s="460"/>
      <c r="W354" s="458"/>
    </row>
    <row r="355" spans="1:23" x14ac:dyDescent="0.25">
      <c r="A355" s="458"/>
      <c r="B355" s="469"/>
      <c r="C355" s="460"/>
      <c r="D355" s="462"/>
      <c r="E355" s="463"/>
      <c r="F355" s="493"/>
      <c r="G355" s="493"/>
      <c r="H355" s="493"/>
      <c r="I355" s="493"/>
      <c r="J355" s="493"/>
      <c r="K355" s="493"/>
      <c r="L355" s="68"/>
      <c r="M355" s="458"/>
      <c r="N355" s="458"/>
      <c r="O355" s="458"/>
      <c r="P355" s="68"/>
      <c r="Q355" s="462"/>
      <c r="R355" s="469"/>
      <c r="S355" s="468"/>
      <c r="T355" s="463"/>
      <c r="U355" s="492"/>
      <c r="V355" s="460"/>
      <c r="W355" s="458"/>
    </row>
    <row r="356" spans="1:23" x14ac:dyDescent="0.25">
      <c r="A356" s="458"/>
      <c r="B356" s="469"/>
      <c r="C356" s="460"/>
      <c r="D356" s="462"/>
      <c r="E356" s="463"/>
      <c r="F356" s="493"/>
      <c r="G356" s="493"/>
      <c r="H356" s="493"/>
      <c r="I356" s="493"/>
      <c r="J356" s="493"/>
      <c r="K356" s="493"/>
      <c r="L356" s="68"/>
      <c r="M356" s="458"/>
      <c r="N356" s="458"/>
      <c r="O356" s="458"/>
      <c r="P356" s="68"/>
      <c r="Q356" s="462"/>
      <c r="R356" s="469"/>
      <c r="S356" s="468"/>
      <c r="T356" s="463"/>
      <c r="U356" s="492"/>
      <c r="V356" s="460"/>
      <c r="W356" s="458"/>
    </row>
    <row r="357" spans="1:23" x14ac:dyDescent="0.25">
      <c r="A357" s="458"/>
      <c r="B357" s="469"/>
      <c r="C357" s="460"/>
      <c r="D357" s="462"/>
      <c r="E357" s="463"/>
      <c r="F357" s="493"/>
      <c r="G357" s="493"/>
      <c r="H357" s="493"/>
      <c r="I357" s="493"/>
      <c r="J357" s="493"/>
      <c r="K357" s="493"/>
      <c r="L357" s="68"/>
      <c r="M357" s="458"/>
      <c r="N357" s="458"/>
      <c r="O357" s="458"/>
      <c r="P357" s="68"/>
      <c r="Q357" s="462"/>
      <c r="R357" s="469"/>
      <c r="S357" s="468"/>
      <c r="T357" s="463"/>
      <c r="U357" s="492"/>
      <c r="V357" s="460"/>
      <c r="W357" s="458"/>
    </row>
    <row r="358" spans="1:23" x14ac:dyDescent="0.25">
      <c r="A358" s="458"/>
      <c r="B358" s="469"/>
      <c r="C358" s="460"/>
      <c r="D358" s="462"/>
      <c r="E358" s="463"/>
      <c r="F358" s="493"/>
      <c r="G358" s="493"/>
      <c r="H358" s="493"/>
      <c r="I358" s="493"/>
      <c r="J358" s="493"/>
      <c r="K358" s="493"/>
      <c r="L358" s="68"/>
      <c r="M358" s="458"/>
      <c r="N358" s="458"/>
      <c r="O358" s="458"/>
      <c r="P358" s="68"/>
      <c r="Q358" s="462"/>
      <c r="R358" s="469"/>
      <c r="S358" s="468"/>
      <c r="T358" s="463"/>
      <c r="U358" s="492"/>
      <c r="V358" s="460"/>
      <c r="W358" s="458"/>
    </row>
    <row r="359" spans="1:23" x14ac:dyDescent="0.25">
      <c r="A359" s="458"/>
      <c r="B359" s="469"/>
      <c r="C359" s="460"/>
      <c r="D359" s="462"/>
      <c r="E359" s="463"/>
      <c r="F359" s="493"/>
      <c r="G359" s="493"/>
      <c r="H359" s="493"/>
      <c r="I359" s="493"/>
      <c r="J359" s="493"/>
      <c r="K359" s="493"/>
      <c r="L359" s="68"/>
      <c r="M359" s="458"/>
      <c r="N359" s="458"/>
      <c r="O359" s="458"/>
      <c r="P359" s="68"/>
      <c r="Q359" s="462"/>
      <c r="R359" s="469"/>
      <c r="S359" s="468"/>
      <c r="T359" s="463"/>
      <c r="U359" s="492"/>
      <c r="V359" s="460"/>
      <c r="W359" s="458"/>
    </row>
    <row r="360" spans="1:23" x14ac:dyDescent="0.25">
      <c r="A360" s="458"/>
      <c r="B360" s="469"/>
      <c r="C360" s="460"/>
      <c r="D360" s="462"/>
      <c r="E360" s="463"/>
      <c r="F360" s="493"/>
      <c r="G360" s="493"/>
      <c r="H360" s="493"/>
      <c r="I360" s="493"/>
      <c r="J360" s="493"/>
      <c r="K360" s="493"/>
      <c r="L360" s="68"/>
      <c r="M360" s="458"/>
      <c r="N360" s="458"/>
      <c r="O360" s="458"/>
      <c r="P360" s="68"/>
      <c r="Q360" s="462"/>
      <c r="R360" s="469"/>
      <c r="S360" s="468"/>
      <c r="T360" s="463"/>
      <c r="U360" s="492"/>
      <c r="V360" s="460"/>
      <c r="W360" s="458"/>
    </row>
    <row r="361" spans="1:23" x14ac:dyDescent="0.25">
      <c r="A361" s="458"/>
      <c r="B361" s="469"/>
      <c r="C361" s="460"/>
      <c r="D361" s="462"/>
      <c r="E361" s="463"/>
      <c r="F361" s="493"/>
      <c r="G361" s="493"/>
      <c r="H361" s="493"/>
      <c r="I361" s="493"/>
      <c r="J361" s="493"/>
      <c r="K361" s="493"/>
      <c r="L361" s="68"/>
      <c r="M361" s="458"/>
      <c r="N361" s="458"/>
      <c r="O361" s="458"/>
      <c r="P361" s="68"/>
      <c r="Q361" s="462"/>
      <c r="R361" s="469"/>
      <c r="S361" s="468"/>
      <c r="T361" s="463"/>
      <c r="U361" s="492"/>
      <c r="V361" s="460"/>
      <c r="W361" s="458"/>
    </row>
    <row r="362" spans="1:23" x14ac:dyDescent="0.25">
      <c r="A362" s="458"/>
      <c r="B362" s="469"/>
      <c r="C362" s="460"/>
      <c r="D362" s="462"/>
      <c r="E362" s="463"/>
      <c r="F362" s="493"/>
      <c r="G362" s="493"/>
      <c r="H362" s="493"/>
      <c r="I362" s="493"/>
      <c r="J362" s="493"/>
      <c r="K362" s="493"/>
      <c r="L362" s="68"/>
      <c r="M362" s="458"/>
      <c r="N362" s="458"/>
      <c r="O362" s="458"/>
      <c r="P362" s="68"/>
      <c r="Q362" s="462"/>
      <c r="R362" s="469"/>
      <c r="S362" s="468"/>
      <c r="T362" s="463"/>
      <c r="U362" s="492"/>
      <c r="V362" s="460"/>
      <c r="W362" s="458"/>
    </row>
    <row r="363" spans="1:23" x14ac:dyDescent="0.25">
      <c r="A363" s="458"/>
      <c r="B363" s="469"/>
      <c r="C363" s="460"/>
      <c r="D363" s="462"/>
      <c r="E363" s="463"/>
      <c r="F363" s="493"/>
      <c r="G363" s="493"/>
      <c r="H363" s="493"/>
      <c r="I363" s="493"/>
      <c r="J363" s="493"/>
      <c r="K363" s="493"/>
      <c r="L363" s="68"/>
      <c r="M363" s="458"/>
      <c r="N363" s="458"/>
      <c r="O363" s="458"/>
      <c r="P363" s="68"/>
      <c r="Q363" s="462"/>
      <c r="R363" s="469"/>
      <c r="S363" s="468"/>
      <c r="T363" s="463"/>
      <c r="U363" s="492"/>
      <c r="V363" s="460"/>
      <c r="W363" s="458"/>
    </row>
    <row r="364" spans="1:23" x14ac:dyDescent="0.25">
      <c r="A364" s="458"/>
      <c r="B364" s="469"/>
      <c r="C364" s="460"/>
      <c r="D364" s="462"/>
      <c r="E364" s="463"/>
      <c r="F364" s="493"/>
      <c r="G364" s="493"/>
      <c r="H364" s="493"/>
      <c r="I364" s="493"/>
      <c r="J364" s="493"/>
      <c r="K364" s="493"/>
      <c r="L364" s="68"/>
      <c r="M364" s="458"/>
      <c r="N364" s="458"/>
      <c r="O364" s="458"/>
      <c r="P364" s="68"/>
      <c r="Q364" s="462"/>
      <c r="R364" s="469"/>
      <c r="S364" s="468"/>
      <c r="T364" s="463"/>
      <c r="U364" s="492"/>
      <c r="V364" s="460"/>
      <c r="W364" s="458"/>
    </row>
    <row r="365" spans="1:23" x14ac:dyDescent="0.25">
      <c r="A365" s="458"/>
      <c r="B365" s="469"/>
      <c r="C365" s="460"/>
      <c r="D365" s="462"/>
      <c r="E365" s="463"/>
      <c r="F365" s="493"/>
      <c r="G365" s="493"/>
      <c r="H365" s="493"/>
      <c r="I365" s="493"/>
      <c r="J365" s="493"/>
      <c r="K365" s="493"/>
      <c r="L365" s="68"/>
      <c r="M365" s="458"/>
      <c r="N365" s="458"/>
      <c r="O365" s="458"/>
      <c r="P365" s="68"/>
      <c r="Q365" s="462"/>
      <c r="R365" s="469"/>
      <c r="S365" s="468"/>
      <c r="T365" s="463"/>
      <c r="U365" s="492"/>
      <c r="V365" s="460"/>
      <c r="W365" s="458"/>
    </row>
    <row r="366" spans="1:23" x14ac:dyDescent="0.25">
      <c r="A366" s="458"/>
      <c r="B366" s="469"/>
      <c r="C366" s="460"/>
      <c r="D366" s="462"/>
      <c r="E366" s="463"/>
      <c r="F366" s="493"/>
      <c r="G366" s="493"/>
      <c r="H366" s="493"/>
      <c r="I366" s="493"/>
      <c r="J366" s="493"/>
      <c r="K366" s="493"/>
      <c r="L366" s="68"/>
      <c r="M366" s="458"/>
      <c r="N366" s="458"/>
      <c r="O366" s="458"/>
      <c r="P366" s="68"/>
      <c r="Q366" s="462"/>
      <c r="R366" s="469"/>
      <c r="S366" s="468"/>
      <c r="T366" s="463"/>
      <c r="U366" s="492"/>
      <c r="V366" s="460"/>
      <c r="W366" s="458"/>
    </row>
    <row r="367" spans="1:23" x14ac:dyDescent="0.25">
      <c r="A367" s="458"/>
      <c r="B367" s="469"/>
      <c r="C367" s="460"/>
      <c r="D367" s="462"/>
      <c r="E367" s="463"/>
      <c r="F367" s="493"/>
      <c r="G367" s="493"/>
      <c r="H367" s="493"/>
      <c r="I367" s="493"/>
      <c r="J367" s="493"/>
      <c r="K367" s="493"/>
      <c r="L367" s="68"/>
      <c r="M367" s="458"/>
      <c r="N367" s="458"/>
      <c r="O367" s="458"/>
      <c r="P367" s="68"/>
      <c r="Q367" s="462"/>
      <c r="R367" s="469"/>
      <c r="S367" s="468"/>
      <c r="T367" s="463"/>
      <c r="U367" s="492"/>
      <c r="V367" s="460"/>
      <c r="W367" s="458"/>
    </row>
    <row r="368" spans="1:23" x14ac:dyDescent="0.25">
      <c r="A368" s="458"/>
      <c r="B368" s="469"/>
      <c r="C368" s="460"/>
      <c r="D368" s="462"/>
      <c r="E368" s="463"/>
      <c r="F368" s="493"/>
      <c r="G368" s="493"/>
      <c r="H368" s="493"/>
      <c r="I368" s="493"/>
      <c r="J368" s="493"/>
      <c r="K368" s="493"/>
      <c r="L368" s="68"/>
      <c r="M368" s="458"/>
      <c r="N368" s="458"/>
      <c r="O368" s="458"/>
      <c r="P368" s="68"/>
      <c r="Q368" s="462"/>
      <c r="R368" s="469"/>
      <c r="S368" s="468"/>
      <c r="T368" s="463"/>
      <c r="U368" s="492"/>
      <c r="V368" s="460"/>
      <c r="W368" s="458"/>
    </row>
    <row r="369" spans="1:23" x14ac:dyDescent="0.25">
      <c r="A369" s="458"/>
      <c r="B369" s="469"/>
      <c r="C369" s="460"/>
      <c r="D369" s="462"/>
      <c r="E369" s="463"/>
      <c r="F369" s="493"/>
      <c r="G369" s="493"/>
      <c r="H369" s="493"/>
      <c r="I369" s="493"/>
      <c r="J369" s="493"/>
      <c r="K369" s="493"/>
      <c r="L369" s="68"/>
      <c r="M369" s="458"/>
      <c r="N369" s="458"/>
      <c r="O369" s="458"/>
      <c r="P369" s="68"/>
      <c r="Q369" s="462"/>
      <c r="R369" s="469"/>
      <c r="S369" s="468"/>
      <c r="T369" s="463"/>
      <c r="U369" s="492"/>
      <c r="V369" s="460"/>
      <c r="W369" s="458"/>
    </row>
    <row r="370" spans="1:23" x14ac:dyDescent="0.25">
      <c r="A370" s="458"/>
      <c r="B370" s="469"/>
      <c r="C370" s="460"/>
      <c r="D370" s="462"/>
      <c r="E370" s="463"/>
      <c r="F370" s="493"/>
      <c r="G370" s="493"/>
      <c r="H370" s="493"/>
      <c r="I370" s="493"/>
      <c r="J370" s="493"/>
      <c r="K370" s="493"/>
      <c r="L370" s="68"/>
      <c r="M370" s="458"/>
      <c r="N370" s="458"/>
      <c r="O370" s="458"/>
      <c r="P370" s="68"/>
      <c r="Q370" s="462"/>
      <c r="R370" s="469"/>
      <c r="S370" s="468"/>
      <c r="T370" s="463"/>
      <c r="U370" s="492"/>
      <c r="V370" s="460"/>
      <c r="W370" s="458"/>
    </row>
    <row r="371" spans="1:23" x14ac:dyDescent="0.25">
      <c r="A371" s="458"/>
      <c r="B371" s="469"/>
      <c r="C371" s="460"/>
      <c r="D371" s="462"/>
      <c r="E371" s="463"/>
      <c r="F371" s="493"/>
      <c r="G371" s="493"/>
      <c r="H371" s="493"/>
      <c r="I371" s="493"/>
      <c r="J371" s="493"/>
      <c r="K371" s="493"/>
      <c r="L371" s="68"/>
      <c r="M371" s="458"/>
      <c r="N371" s="458"/>
      <c r="O371" s="458"/>
      <c r="P371" s="68"/>
      <c r="Q371" s="462"/>
      <c r="R371" s="469"/>
      <c r="S371" s="468"/>
      <c r="T371" s="463"/>
      <c r="U371" s="492"/>
      <c r="V371" s="460"/>
      <c r="W371" s="458"/>
    </row>
    <row r="372" spans="1:23" x14ac:dyDescent="0.25">
      <c r="A372" s="458"/>
      <c r="B372" s="469"/>
      <c r="C372" s="460"/>
      <c r="D372" s="462"/>
      <c r="E372" s="463"/>
      <c r="F372" s="493"/>
      <c r="G372" s="493"/>
      <c r="H372" s="493"/>
      <c r="I372" s="493"/>
      <c r="J372" s="493"/>
      <c r="K372" s="493"/>
      <c r="L372" s="68"/>
      <c r="M372" s="458"/>
      <c r="N372" s="458"/>
      <c r="O372" s="458"/>
      <c r="P372" s="68"/>
      <c r="Q372" s="462"/>
      <c r="R372" s="469"/>
      <c r="S372" s="468"/>
      <c r="T372" s="463"/>
      <c r="U372" s="492"/>
      <c r="V372" s="460"/>
      <c r="W372" s="458"/>
    </row>
    <row r="373" spans="1:23" x14ac:dyDescent="0.25">
      <c r="A373" s="458"/>
      <c r="B373" s="469"/>
      <c r="C373" s="460"/>
      <c r="D373" s="462"/>
      <c r="E373" s="463"/>
      <c r="F373" s="493"/>
      <c r="G373" s="493"/>
      <c r="H373" s="493"/>
      <c r="I373" s="493"/>
      <c r="J373" s="493"/>
      <c r="K373" s="493"/>
      <c r="L373" s="68"/>
      <c r="M373" s="458"/>
      <c r="N373" s="458"/>
      <c r="O373" s="458"/>
      <c r="P373" s="68"/>
      <c r="Q373" s="462"/>
      <c r="R373" s="469"/>
      <c r="S373" s="468"/>
      <c r="T373" s="463"/>
      <c r="U373" s="492"/>
      <c r="V373" s="460"/>
      <c r="W373" s="458"/>
    </row>
    <row r="374" spans="1:23" x14ac:dyDescent="0.25">
      <c r="A374" s="458"/>
      <c r="B374" s="462"/>
      <c r="C374" s="461"/>
      <c r="D374" s="460"/>
      <c r="E374" s="462"/>
      <c r="F374" s="493"/>
      <c r="G374" s="493"/>
      <c r="H374" s="493"/>
      <c r="I374" s="493"/>
      <c r="J374" s="493"/>
      <c r="K374" s="493"/>
      <c r="L374" s="68"/>
      <c r="M374" s="458"/>
      <c r="N374" s="458"/>
      <c r="O374" s="458"/>
      <c r="P374" s="68"/>
      <c r="Q374" s="458"/>
      <c r="R374" s="462"/>
      <c r="S374" s="469"/>
      <c r="T374" s="468"/>
      <c r="U374" s="492"/>
      <c r="V374" s="460"/>
      <c r="W374" s="458"/>
    </row>
    <row r="375" spans="1:23" x14ac:dyDescent="0.25">
      <c r="A375" s="458"/>
      <c r="B375" s="462"/>
      <c r="C375" s="461"/>
      <c r="D375" s="460"/>
      <c r="E375" s="462"/>
      <c r="F375" s="493"/>
      <c r="G375" s="493"/>
      <c r="H375" s="493"/>
      <c r="I375" s="493"/>
      <c r="J375" s="493"/>
      <c r="K375" s="493"/>
      <c r="L375" s="68"/>
      <c r="M375" s="458"/>
      <c r="N375" s="458"/>
      <c r="O375" s="458"/>
      <c r="P375" s="68"/>
      <c r="Q375" s="458"/>
      <c r="R375" s="462"/>
      <c r="S375" s="469"/>
      <c r="T375" s="468"/>
      <c r="U375" s="492"/>
      <c r="V375" s="460"/>
      <c r="W375" s="458"/>
    </row>
    <row r="376" spans="1:23" x14ac:dyDescent="0.25">
      <c r="A376" s="458"/>
      <c r="B376" s="462"/>
      <c r="C376" s="461"/>
      <c r="D376" s="460"/>
      <c r="E376" s="462"/>
      <c r="F376" s="493"/>
      <c r="G376" s="493"/>
      <c r="H376" s="493"/>
      <c r="I376" s="493"/>
      <c r="J376" s="493"/>
      <c r="K376" s="493"/>
      <c r="L376" s="68"/>
      <c r="M376" s="458"/>
      <c r="N376" s="458"/>
      <c r="O376" s="458"/>
      <c r="P376" s="68"/>
      <c r="Q376" s="458"/>
      <c r="R376" s="462"/>
      <c r="S376" s="469"/>
      <c r="T376" s="468"/>
      <c r="U376" s="492"/>
      <c r="V376" s="460"/>
      <c r="W376" s="458"/>
    </row>
    <row r="377" spans="1:23" x14ac:dyDescent="0.25">
      <c r="A377" s="458"/>
      <c r="B377" s="463"/>
      <c r="C377" s="460"/>
      <c r="D377" s="462"/>
      <c r="E377" s="463"/>
      <c r="F377" s="493"/>
      <c r="G377" s="493"/>
      <c r="H377" s="493"/>
      <c r="I377" s="493"/>
      <c r="J377" s="493"/>
      <c r="K377" s="493"/>
      <c r="L377" s="68"/>
      <c r="M377" s="458"/>
      <c r="N377" s="458"/>
      <c r="O377" s="458"/>
      <c r="P377" s="68"/>
      <c r="Q377" s="462"/>
      <c r="R377" s="463"/>
      <c r="S377" s="462"/>
      <c r="T377" s="463"/>
      <c r="U377" s="492"/>
      <c r="V377" s="460"/>
      <c r="W377" s="458"/>
    </row>
    <row r="378" spans="1:23" x14ac:dyDescent="0.25">
      <c r="A378" s="458"/>
      <c r="B378" s="463"/>
      <c r="C378" s="460"/>
      <c r="D378" s="462"/>
      <c r="E378" s="463"/>
      <c r="F378" s="493"/>
      <c r="G378" s="493"/>
      <c r="H378" s="493"/>
      <c r="I378" s="493"/>
      <c r="J378" s="493"/>
      <c r="K378" s="493"/>
      <c r="L378" s="68"/>
      <c r="M378" s="458"/>
      <c r="N378" s="458"/>
      <c r="O378" s="458"/>
      <c r="P378" s="68"/>
      <c r="Q378" s="462"/>
      <c r="R378" s="463"/>
      <c r="S378" s="462"/>
      <c r="T378" s="463"/>
      <c r="U378" s="492"/>
      <c r="V378" s="460"/>
      <c r="W378" s="458"/>
    </row>
    <row r="379" spans="1:23" x14ac:dyDescent="0.25">
      <c r="A379" s="458"/>
      <c r="B379" s="463"/>
      <c r="C379" s="460"/>
      <c r="D379" s="462"/>
      <c r="E379" s="463"/>
      <c r="F379" s="493"/>
      <c r="G379" s="493"/>
      <c r="H379" s="493"/>
      <c r="I379" s="493"/>
      <c r="J379" s="493"/>
      <c r="K379" s="493"/>
      <c r="L379" s="68"/>
      <c r="M379" s="458"/>
      <c r="N379" s="458"/>
      <c r="O379" s="458"/>
      <c r="P379" s="68"/>
      <c r="Q379" s="462"/>
      <c r="R379" s="463"/>
      <c r="S379" s="462"/>
      <c r="T379" s="463"/>
      <c r="U379" s="492"/>
      <c r="V379" s="460"/>
      <c r="W379" s="458"/>
    </row>
    <row r="380" spans="1:23" x14ac:dyDescent="0.25">
      <c r="A380" s="458"/>
      <c r="B380" s="463"/>
      <c r="C380" s="460"/>
      <c r="D380" s="462"/>
      <c r="E380" s="463"/>
      <c r="F380" s="493"/>
      <c r="G380" s="493"/>
      <c r="H380" s="493"/>
      <c r="I380" s="493"/>
      <c r="J380" s="493"/>
      <c r="K380" s="493"/>
      <c r="L380" s="68"/>
      <c r="M380" s="458"/>
      <c r="N380" s="458"/>
      <c r="O380" s="458"/>
      <c r="P380" s="68"/>
      <c r="Q380" s="462"/>
      <c r="R380" s="463"/>
      <c r="S380" s="462"/>
      <c r="T380" s="463"/>
      <c r="U380" s="492"/>
      <c r="V380" s="460"/>
      <c r="W380" s="458"/>
    </row>
    <row r="381" spans="1:23" x14ac:dyDescent="0.25">
      <c r="A381" s="458"/>
      <c r="B381" s="463"/>
      <c r="C381" s="460"/>
      <c r="D381" s="462"/>
      <c r="E381" s="463"/>
      <c r="F381" s="493"/>
      <c r="G381" s="493"/>
      <c r="H381" s="493"/>
      <c r="I381" s="493"/>
      <c r="J381" s="493"/>
      <c r="K381" s="493"/>
      <c r="L381" s="68"/>
      <c r="M381" s="458"/>
      <c r="N381" s="458"/>
      <c r="O381" s="458"/>
      <c r="P381" s="68"/>
      <c r="Q381" s="462"/>
      <c r="R381" s="463"/>
      <c r="S381" s="462"/>
      <c r="T381" s="463"/>
      <c r="U381" s="492"/>
      <c r="V381" s="460"/>
      <c r="W381" s="458"/>
    </row>
    <row r="382" spans="1:23" x14ac:dyDescent="0.25">
      <c r="A382" s="458"/>
      <c r="B382" s="463"/>
      <c r="C382" s="460"/>
      <c r="D382" s="462"/>
      <c r="E382" s="463"/>
      <c r="F382" s="493"/>
      <c r="G382" s="493"/>
      <c r="H382" s="493"/>
      <c r="I382" s="493"/>
      <c r="J382" s="493"/>
      <c r="K382" s="493"/>
      <c r="L382" s="68"/>
      <c r="M382" s="458"/>
      <c r="N382" s="458"/>
      <c r="O382" s="458"/>
      <c r="P382" s="68"/>
      <c r="Q382" s="462"/>
      <c r="R382" s="463"/>
      <c r="S382" s="462"/>
      <c r="T382" s="463"/>
      <c r="U382" s="492"/>
      <c r="V382" s="460"/>
      <c r="W382" s="458"/>
    </row>
    <row r="383" spans="1:23" x14ac:dyDescent="0.25">
      <c r="A383" s="458"/>
      <c r="B383" s="463"/>
      <c r="C383" s="460"/>
      <c r="D383" s="462"/>
      <c r="E383" s="463"/>
      <c r="F383" s="493"/>
      <c r="G383" s="493"/>
      <c r="H383" s="493"/>
      <c r="I383" s="493"/>
      <c r="J383" s="493"/>
      <c r="K383" s="493"/>
      <c r="L383" s="68"/>
      <c r="M383" s="458"/>
      <c r="N383" s="458"/>
      <c r="O383" s="458"/>
      <c r="P383" s="68"/>
      <c r="Q383" s="462"/>
      <c r="R383" s="463"/>
      <c r="S383" s="462"/>
      <c r="T383" s="463"/>
      <c r="U383" s="492"/>
      <c r="V383" s="460"/>
      <c r="W383" s="458"/>
    </row>
    <row r="384" spans="1:23" x14ac:dyDescent="0.25">
      <c r="A384" s="458"/>
      <c r="B384" s="463"/>
      <c r="C384" s="460"/>
      <c r="D384" s="462"/>
      <c r="E384" s="463"/>
      <c r="F384" s="493"/>
      <c r="G384" s="493"/>
      <c r="H384" s="493"/>
      <c r="I384" s="493"/>
      <c r="J384" s="493"/>
      <c r="K384" s="493"/>
      <c r="L384" s="68"/>
      <c r="M384" s="458"/>
      <c r="N384" s="458"/>
      <c r="O384" s="458"/>
      <c r="P384" s="68"/>
      <c r="Q384" s="462"/>
      <c r="R384" s="463"/>
      <c r="S384" s="462"/>
      <c r="T384" s="463"/>
      <c r="U384" s="492"/>
      <c r="V384" s="460"/>
      <c r="W384" s="458"/>
    </row>
    <row r="385" spans="1:23" x14ac:dyDescent="0.25">
      <c r="A385" s="458"/>
      <c r="B385" s="463"/>
      <c r="C385" s="460"/>
      <c r="D385" s="462"/>
      <c r="E385" s="463"/>
      <c r="F385" s="493"/>
      <c r="G385" s="493"/>
      <c r="H385" s="493"/>
      <c r="I385" s="493"/>
      <c r="J385" s="493"/>
      <c r="K385" s="493"/>
      <c r="L385" s="68"/>
      <c r="M385" s="458"/>
      <c r="N385" s="458"/>
      <c r="O385" s="458"/>
      <c r="P385" s="68"/>
      <c r="Q385" s="462"/>
      <c r="R385" s="463"/>
      <c r="S385" s="462"/>
      <c r="T385" s="463"/>
      <c r="U385" s="492"/>
      <c r="V385" s="460"/>
      <c r="W385" s="458"/>
    </row>
    <row r="386" spans="1:23" x14ac:dyDescent="0.25">
      <c r="A386" s="458"/>
      <c r="B386" s="463"/>
      <c r="C386" s="460"/>
      <c r="D386" s="462"/>
      <c r="E386" s="463"/>
      <c r="F386" s="493"/>
      <c r="G386" s="493"/>
      <c r="H386" s="493"/>
      <c r="I386" s="493"/>
      <c r="J386" s="493"/>
      <c r="K386" s="493"/>
      <c r="L386" s="68"/>
      <c r="M386" s="458"/>
      <c r="N386" s="458"/>
      <c r="O386" s="458"/>
      <c r="P386" s="68"/>
      <c r="Q386" s="462"/>
      <c r="R386" s="463"/>
      <c r="S386" s="462"/>
      <c r="T386" s="463"/>
      <c r="U386" s="492"/>
      <c r="V386" s="460"/>
      <c r="W386" s="458"/>
    </row>
    <row r="387" spans="1:23" x14ac:dyDescent="0.25">
      <c r="A387" s="458"/>
      <c r="B387" s="463"/>
      <c r="C387" s="460"/>
      <c r="D387" s="462"/>
      <c r="E387" s="463"/>
      <c r="F387" s="493"/>
      <c r="G387" s="493"/>
      <c r="H387" s="493"/>
      <c r="I387" s="493"/>
      <c r="J387" s="493"/>
      <c r="K387" s="493"/>
      <c r="L387" s="68"/>
      <c r="M387" s="458"/>
      <c r="N387" s="458"/>
      <c r="O387" s="458"/>
      <c r="P387" s="68"/>
      <c r="Q387" s="462"/>
      <c r="R387" s="463"/>
      <c r="S387" s="462"/>
      <c r="T387" s="463"/>
      <c r="U387" s="492"/>
      <c r="V387" s="460"/>
      <c r="W387" s="458"/>
    </row>
    <row r="388" spans="1:23" x14ac:dyDescent="0.25">
      <c r="A388" s="458"/>
      <c r="B388" s="463"/>
      <c r="C388" s="460"/>
      <c r="D388" s="462"/>
      <c r="E388" s="463"/>
      <c r="F388" s="493"/>
      <c r="G388" s="493"/>
      <c r="H388" s="493"/>
      <c r="I388" s="493"/>
      <c r="J388" s="493"/>
      <c r="K388" s="493"/>
      <c r="L388" s="68"/>
      <c r="M388" s="458"/>
      <c r="N388" s="458"/>
      <c r="O388" s="458"/>
      <c r="P388" s="68"/>
      <c r="Q388" s="462"/>
      <c r="R388" s="463"/>
      <c r="S388" s="462"/>
      <c r="T388" s="463"/>
      <c r="U388" s="492"/>
      <c r="V388" s="460"/>
      <c r="W388" s="458"/>
    </row>
    <row r="389" spans="1:23" x14ac:dyDescent="0.25">
      <c r="A389" s="458"/>
      <c r="B389" s="463"/>
      <c r="C389" s="460"/>
      <c r="D389" s="462"/>
      <c r="E389" s="463"/>
      <c r="F389" s="493"/>
      <c r="G389" s="493"/>
      <c r="H389" s="493"/>
      <c r="I389" s="493"/>
      <c r="J389" s="493"/>
      <c r="K389" s="493"/>
      <c r="L389" s="68"/>
      <c r="M389" s="458"/>
      <c r="N389" s="458"/>
      <c r="O389" s="458"/>
      <c r="P389" s="68"/>
      <c r="Q389" s="462"/>
      <c r="R389" s="463"/>
      <c r="S389" s="462"/>
      <c r="T389" s="463"/>
      <c r="U389" s="492"/>
      <c r="V389" s="460"/>
      <c r="W389" s="458"/>
    </row>
    <row r="390" spans="1:23" x14ac:dyDescent="0.25">
      <c r="A390" s="458"/>
      <c r="B390" s="463"/>
      <c r="C390" s="460"/>
      <c r="D390" s="462"/>
      <c r="E390" s="463"/>
      <c r="F390" s="493"/>
      <c r="G390" s="493"/>
      <c r="H390" s="493"/>
      <c r="I390" s="493"/>
      <c r="J390" s="493"/>
      <c r="K390" s="493"/>
      <c r="L390" s="68"/>
      <c r="M390" s="458"/>
      <c r="N390" s="458"/>
      <c r="O390" s="458"/>
      <c r="P390" s="68"/>
      <c r="Q390" s="462"/>
      <c r="R390" s="463"/>
      <c r="S390" s="462"/>
      <c r="T390" s="463"/>
      <c r="U390" s="492"/>
      <c r="V390" s="460"/>
      <c r="W390" s="458"/>
    </row>
    <row r="391" spans="1:23" x14ac:dyDescent="0.25">
      <c r="A391" s="458"/>
      <c r="B391" s="463"/>
      <c r="C391" s="460"/>
      <c r="D391" s="462"/>
      <c r="E391" s="463"/>
      <c r="F391" s="493"/>
      <c r="G391" s="493"/>
      <c r="H391" s="493"/>
      <c r="I391" s="493"/>
      <c r="J391" s="493"/>
      <c r="K391" s="493"/>
      <c r="L391" s="68"/>
      <c r="M391" s="458"/>
      <c r="N391" s="458"/>
      <c r="O391" s="458"/>
      <c r="P391" s="68"/>
      <c r="Q391" s="462"/>
      <c r="R391" s="463"/>
      <c r="S391" s="462"/>
      <c r="T391" s="463"/>
      <c r="U391" s="492"/>
      <c r="V391" s="460"/>
      <c r="W391" s="458"/>
    </row>
    <row r="392" spans="1:23" x14ac:dyDescent="0.25">
      <c r="A392" s="458"/>
      <c r="B392" s="463"/>
      <c r="C392" s="460"/>
      <c r="D392" s="462"/>
      <c r="E392" s="463"/>
      <c r="F392" s="493"/>
      <c r="G392" s="493"/>
      <c r="H392" s="493"/>
      <c r="I392" s="493"/>
      <c r="J392" s="493"/>
      <c r="K392" s="493"/>
      <c r="L392" s="68"/>
      <c r="M392" s="458"/>
      <c r="N392" s="458"/>
      <c r="O392" s="458"/>
      <c r="P392" s="68"/>
      <c r="Q392" s="462"/>
      <c r="R392" s="463"/>
      <c r="S392" s="462"/>
      <c r="T392" s="463"/>
      <c r="U392" s="492"/>
      <c r="V392" s="460"/>
      <c r="W392" s="458"/>
    </row>
    <row r="393" spans="1:23" x14ac:dyDescent="0.25">
      <c r="A393" s="458"/>
      <c r="B393" s="463"/>
      <c r="C393" s="460"/>
      <c r="D393" s="462"/>
      <c r="E393" s="463"/>
      <c r="F393" s="493"/>
      <c r="G393" s="493"/>
      <c r="H393" s="493"/>
      <c r="I393" s="493"/>
      <c r="J393" s="493"/>
      <c r="K393" s="493"/>
      <c r="L393" s="68"/>
      <c r="M393" s="458"/>
      <c r="N393" s="458"/>
      <c r="O393" s="458"/>
      <c r="P393" s="68"/>
      <c r="Q393" s="462"/>
      <c r="R393" s="463"/>
      <c r="S393" s="462"/>
      <c r="T393" s="463"/>
      <c r="U393" s="492"/>
      <c r="V393" s="460"/>
      <c r="W393" s="458"/>
    </row>
    <row r="394" spans="1:23" x14ac:dyDescent="0.25">
      <c r="A394" s="458"/>
      <c r="B394" s="463"/>
      <c r="C394" s="460"/>
      <c r="D394" s="462"/>
      <c r="E394" s="463"/>
      <c r="F394" s="493"/>
      <c r="G394" s="493"/>
      <c r="H394" s="493"/>
      <c r="I394" s="493"/>
      <c r="J394" s="493"/>
      <c r="K394" s="493"/>
      <c r="L394" s="68"/>
      <c r="M394" s="458"/>
      <c r="N394" s="458"/>
      <c r="O394" s="458"/>
      <c r="P394" s="68"/>
      <c r="Q394" s="462"/>
      <c r="R394" s="463"/>
      <c r="S394" s="462"/>
      <c r="T394" s="463"/>
      <c r="U394" s="492"/>
      <c r="V394" s="460"/>
      <c r="W394" s="458"/>
    </row>
    <row r="395" spans="1:23" x14ac:dyDescent="0.25">
      <c r="A395" s="458"/>
      <c r="B395" s="463"/>
      <c r="C395" s="460"/>
      <c r="D395" s="462"/>
      <c r="E395" s="463"/>
      <c r="F395" s="493"/>
      <c r="G395" s="493"/>
      <c r="H395" s="493"/>
      <c r="I395" s="493"/>
      <c r="J395" s="493"/>
      <c r="K395" s="493"/>
      <c r="L395" s="68"/>
      <c r="M395" s="458"/>
      <c r="N395" s="458"/>
      <c r="O395" s="458"/>
      <c r="P395" s="68"/>
      <c r="Q395" s="462"/>
      <c r="R395" s="463"/>
      <c r="S395" s="462"/>
      <c r="T395" s="463"/>
      <c r="U395" s="492"/>
      <c r="V395" s="460"/>
      <c r="W395" s="458"/>
    </row>
    <row r="396" spans="1:23" x14ac:dyDescent="0.25">
      <c r="A396" s="458"/>
      <c r="B396" s="463"/>
      <c r="C396" s="460"/>
      <c r="D396" s="462"/>
      <c r="E396" s="463"/>
      <c r="F396" s="493"/>
      <c r="G396" s="493"/>
      <c r="H396" s="493"/>
      <c r="I396" s="493"/>
      <c r="J396" s="493"/>
      <c r="K396" s="493"/>
      <c r="L396" s="68"/>
      <c r="M396" s="458"/>
      <c r="N396" s="458"/>
      <c r="O396" s="458"/>
      <c r="P396" s="68"/>
      <c r="Q396" s="462"/>
      <c r="R396" s="463"/>
      <c r="S396" s="462"/>
      <c r="T396" s="463"/>
      <c r="U396" s="492"/>
      <c r="V396" s="460"/>
      <c r="W396" s="458"/>
    </row>
    <row r="397" spans="1:23" x14ac:dyDescent="0.25">
      <c r="A397" s="458"/>
      <c r="B397" s="463"/>
      <c r="C397" s="460"/>
      <c r="D397" s="462"/>
      <c r="E397" s="463"/>
      <c r="F397" s="493"/>
      <c r="G397" s="493"/>
      <c r="H397" s="493"/>
      <c r="I397" s="493"/>
      <c r="J397" s="493"/>
      <c r="K397" s="493"/>
      <c r="L397" s="68"/>
      <c r="M397" s="458"/>
      <c r="N397" s="458"/>
      <c r="O397" s="458"/>
      <c r="P397" s="68"/>
      <c r="Q397" s="462"/>
      <c r="R397" s="463"/>
      <c r="S397" s="462"/>
      <c r="T397" s="463"/>
      <c r="U397" s="492"/>
      <c r="V397" s="460"/>
      <c r="W397" s="458"/>
    </row>
    <row r="398" spans="1:23" x14ac:dyDescent="0.25">
      <c r="A398" s="458"/>
      <c r="B398" s="463"/>
      <c r="C398" s="460"/>
      <c r="D398" s="462"/>
      <c r="E398" s="463"/>
      <c r="F398" s="493"/>
      <c r="G398" s="493"/>
      <c r="H398" s="493"/>
      <c r="I398" s="493"/>
      <c r="J398" s="493"/>
      <c r="K398" s="493"/>
      <c r="L398" s="68"/>
      <c r="M398" s="458"/>
      <c r="N398" s="458"/>
      <c r="O398" s="458"/>
      <c r="P398" s="68"/>
      <c r="Q398" s="462"/>
      <c r="R398" s="463"/>
      <c r="S398" s="462"/>
      <c r="T398" s="463"/>
      <c r="U398" s="492"/>
      <c r="V398" s="460"/>
      <c r="W398" s="458"/>
    </row>
    <row r="399" spans="1:23" x14ac:dyDescent="0.25">
      <c r="A399" s="458"/>
      <c r="B399" s="463"/>
      <c r="C399" s="460"/>
      <c r="D399" s="462"/>
      <c r="E399" s="463"/>
      <c r="F399" s="493"/>
      <c r="G399" s="493"/>
      <c r="H399" s="493"/>
      <c r="I399" s="493"/>
      <c r="J399" s="493"/>
      <c r="K399" s="493"/>
      <c r="L399" s="68"/>
      <c r="M399" s="458"/>
      <c r="N399" s="458"/>
      <c r="O399" s="458"/>
      <c r="P399" s="68"/>
      <c r="Q399" s="462"/>
      <c r="R399" s="463"/>
      <c r="S399" s="462"/>
      <c r="T399" s="463"/>
      <c r="U399" s="492"/>
      <c r="V399" s="460"/>
      <c r="W399" s="458"/>
    </row>
    <row r="400" spans="1:23" x14ac:dyDescent="0.25">
      <c r="A400" s="458"/>
      <c r="B400" s="463"/>
      <c r="C400" s="460"/>
      <c r="D400" s="462"/>
      <c r="E400" s="463"/>
      <c r="F400" s="493"/>
      <c r="G400" s="493"/>
      <c r="H400" s="493"/>
      <c r="I400" s="493"/>
      <c r="J400" s="493"/>
      <c r="K400" s="493"/>
      <c r="L400" s="68"/>
      <c r="M400" s="458"/>
      <c r="N400" s="458"/>
      <c r="O400" s="458"/>
      <c r="P400" s="68"/>
      <c r="Q400" s="462"/>
      <c r="R400" s="463"/>
      <c r="S400" s="462"/>
      <c r="T400" s="463"/>
      <c r="U400" s="492"/>
      <c r="V400" s="460"/>
      <c r="W400" s="458"/>
    </row>
    <row r="401" spans="1:23" x14ac:dyDescent="0.25">
      <c r="A401" s="458"/>
      <c r="B401" s="463"/>
      <c r="C401" s="460"/>
      <c r="D401" s="462"/>
      <c r="E401" s="463"/>
      <c r="F401" s="493"/>
      <c r="G401" s="493"/>
      <c r="H401" s="493"/>
      <c r="I401" s="493"/>
      <c r="J401" s="493"/>
      <c r="K401" s="493"/>
      <c r="L401" s="68"/>
      <c r="M401" s="458"/>
      <c r="N401" s="458"/>
      <c r="O401" s="458"/>
      <c r="P401" s="68"/>
      <c r="Q401" s="462"/>
      <c r="R401" s="463"/>
      <c r="S401" s="462"/>
      <c r="T401" s="463"/>
      <c r="U401" s="492"/>
      <c r="V401" s="460"/>
      <c r="W401" s="458"/>
    </row>
    <row r="402" spans="1:23" x14ac:dyDescent="0.25">
      <c r="A402" s="458"/>
      <c r="B402" s="463"/>
      <c r="C402" s="460"/>
      <c r="D402" s="462"/>
      <c r="E402" s="463"/>
      <c r="F402" s="493"/>
      <c r="G402" s="493"/>
      <c r="H402" s="493"/>
      <c r="I402" s="493"/>
      <c r="J402" s="493"/>
      <c r="K402" s="493"/>
      <c r="L402" s="68"/>
      <c r="M402" s="458"/>
      <c r="N402" s="458"/>
      <c r="O402" s="458"/>
      <c r="P402" s="68"/>
      <c r="Q402" s="462"/>
      <c r="R402" s="463"/>
      <c r="S402" s="462"/>
      <c r="T402" s="463"/>
      <c r="U402" s="492"/>
      <c r="V402" s="460"/>
      <c r="W402" s="458"/>
    </row>
    <row r="403" spans="1:23" x14ac:dyDescent="0.25">
      <c r="A403" s="458"/>
      <c r="B403" s="463"/>
      <c r="C403" s="460"/>
      <c r="D403" s="462"/>
      <c r="E403" s="463"/>
      <c r="F403" s="493"/>
      <c r="G403" s="493"/>
      <c r="H403" s="493"/>
      <c r="I403" s="493"/>
      <c r="J403" s="493"/>
      <c r="K403" s="493"/>
      <c r="L403" s="68"/>
      <c r="M403" s="458"/>
      <c r="N403" s="458"/>
      <c r="O403" s="458"/>
      <c r="P403" s="68"/>
      <c r="Q403" s="462"/>
      <c r="R403" s="463"/>
      <c r="S403" s="462"/>
      <c r="T403" s="463"/>
      <c r="U403" s="492"/>
      <c r="V403" s="460"/>
      <c r="W403" s="458"/>
    </row>
    <row r="404" spans="1:23" x14ac:dyDescent="0.25">
      <c r="A404" s="458"/>
      <c r="B404" s="463"/>
      <c r="C404" s="460"/>
      <c r="D404" s="462"/>
      <c r="E404" s="463"/>
      <c r="F404" s="493"/>
      <c r="G404" s="493"/>
      <c r="H404" s="493"/>
      <c r="I404" s="493"/>
      <c r="J404" s="493"/>
      <c r="K404" s="493"/>
      <c r="L404" s="68"/>
      <c r="M404" s="458"/>
      <c r="N404" s="458"/>
      <c r="O404" s="458"/>
      <c r="P404" s="68"/>
      <c r="Q404" s="462"/>
      <c r="R404" s="463"/>
      <c r="S404" s="462"/>
      <c r="T404" s="463"/>
      <c r="U404" s="492"/>
      <c r="V404" s="460"/>
      <c r="W404" s="458"/>
    </row>
    <row r="405" spans="1:23" x14ac:dyDescent="0.25">
      <c r="A405" s="458"/>
      <c r="B405" s="463"/>
      <c r="C405" s="460"/>
      <c r="D405" s="462"/>
      <c r="E405" s="463"/>
      <c r="F405" s="493"/>
      <c r="G405" s="493"/>
      <c r="H405" s="493"/>
      <c r="I405" s="493"/>
      <c r="J405" s="493"/>
      <c r="K405" s="493"/>
      <c r="L405" s="68"/>
      <c r="M405" s="458"/>
      <c r="N405" s="458"/>
      <c r="O405" s="458"/>
      <c r="P405" s="68"/>
      <c r="Q405" s="462"/>
      <c r="R405" s="463"/>
      <c r="S405" s="462"/>
      <c r="T405" s="463"/>
      <c r="U405" s="492"/>
      <c r="V405" s="460"/>
      <c r="W405" s="458"/>
    </row>
    <row r="406" spans="1:23" x14ac:dyDescent="0.25">
      <c r="A406" s="458"/>
      <c r="B406" s="463"/>
      <c r="C406" s="460"/>
      <c r="D406" s="462"/>
      <c r="E406" s="463"/>
      <c r="F406" s="493"/>
      <c r="G406" s="493"/>
      <c r="H406" s="493"/>
      <c r="I406" s="493"/>
      <c r="J406" s="493"/>
      <c r="K406" s="493"/>
      <c r="L406" s="68"/>
      <c r="M406" s="458"/>
      <c r="N406" s="458"/>
      <c r="O406" s="458"/>
      <c r="P406" s="68"/>
      <c r="Q406" s="462"/>
      <c r="R406" s="463"/>
      <c r="S406" s="462"/>
      <c r="T406" s="463"/>
      <c r="U406" s="492"/>
      <c r="V406" s="460"/>
      <c r="W406" s="458"/>
    </row>
    <row r="407" spans="1:23" x14ac:dyDescent="0.25">
      <c r="A407" s="458"/>
      <c r="B407" s="463"/>
      <c r="C407" s="460"/>
      <c r="D407" s="462"/>
      <c r="E407" s="463"/>
      <c r="F407" s="493"/>
      <c r="G407" s="493"/>
      <c r="H407" s="493"/>
      <c r="I407" s="493"/>
      <c r="J407" s="493"/>
      <c r="K407" s="493"/>
      <c r="L407" s="68"/>
      <c r="M407" s="458"/>
      <c r="N407" s="458"/>
      <c r="O407" s="458"/>
      <c r="P407" s="68"/>
      <c r="Q407" s="462"/>
      <c r="R407" s="463"/>
      <c r="S407" s="462"/>
      <c r="T407" s="463"/>
      <c r="U407" s="492"/>
      <c r="V407" s="460"/>
      <c r="W407" s="458"/>
    </row>
    <row r="408" spans="1:23" x14ac:dyDescent="0.25">
      <c r="A408" s="458"/>
      <c r="B408" s="463"/>
      <c r="C408" s="460"/>
      <c r="D408" s="462"/>
      <c r="E408" s="463"/>
      <c r="F408" s="493"/>
      <c r="G408" s="493"/>
      <c r="H408" s="493"/>
      <c r="I408" s="493"/>
      <c r="J408" s="493"/>
      <c r="K408" s="493"/>
      <c r="L408" s="68"/>
      <c r="M408" s="458"/>
      <c r="N408" s="458"/>
      <c r="O408" s="458"/>
      <c r="P408" s="68"/>
      <c r="Q408" s="462"/>
      <c r="R408" s="463"/>
      <c r="S408" s="462"/>
      <c r="T408" s="463"/>
      <c r="U408" s="492"/>
      <c r="V408" s="460"/>
      <c r="W408" s="458"/>
    </row>
    <row r="409" spans="1:23" x14ac:dyDescent="0.25">
      <c r="A409" s="458"/>
      <c r="B409" s="463"/>
      <c r="C409" s="460"/>
      <c r="D409" s="462"/>
      <c r="E409" s="463"/>
      <c r="F409" s="493"/>
      <c r="G409" s="493"/>
      <c r="H409" s="493"/>
      <c r="I409" s="493"/>
      <c r="J409" s="493"/>
      <c r="K409" s="493"/>
      <c r="L409" s="68"/>
      <c r="M409" s="458"/>
      <c r="N409" s="458"/>
      <c r="O409" s="458"/>
      <c r="P409" s="68"/>
      <c r="Q409" s="462"/>
      <c r="R409" s="463"/>
      <c r="S409" s="462"/>
      <c r="T409" s="463"/>
      <c r="U409" s="492"/>
      <c r="V409" s="460"/>
      <c r="W409" s="458"/>
    </row>
    <row r="410" spans="1:23" x14ac:dyDescent="0.25">
      <c r="A410" s="458"/>
      <c r="B410" s="463"/>
      <c r="C410" s="460"/>
      <c r="D410" s="462"/>
      <c r="E410" s="463"/>
      <c r="F410" s="493"/>
      <c r="G410" s="493"/>
      <c r="H410" s="493"/>
      <c r="I410" s="493"/>
      <c r="J410" s="493"/>
      <c r="K410" s="493"/>
      <c r="L410" s="68"/>
      <c r="M410" s="458"/>
      <c r="N410" s="458"/>
      <c r="O410" s="458"/>
      <c r="P410" s="68"/>
      <c r="Q410" s="462"/>
      <c r="R410" s="463"/>
      <c r="S410" s="462"/>
      <c r="T410" s="463"/>
      <c r="U410" s="492"/>
      <c r="V410" s="460"/>
      <c r="W410" s="458"/>
    </row>
    <row r="411" spans="1:23" x14ac:dyDescent="0.25">
      <c r="A411" s="458"/>
      <c r="B411" s="463"/>
      <c r="C411" s="460"/>
      <c r="D411" s="462"/>
      <c r="E411" s="463"/>
      <c r="F411" s="493"/>
      <c r="G411" s="493"/>
      <c r="H411" s="493"/>
      <c r="I411" s="493"/>
      <c r="J411" s="493"/>
      <c r="K411" s="493"/>
      <c r="L411" s="68"/>
      <c r="M411" s="458"/>
      <c r="N411" s="458"/>
      <c r="O411" s="458"/>
      <c r="P411" s="68"/>
      <c r="Q411" s="462"/>
      <c r="R411" s="463"/>
      <c r="S411" s="462"/>
      <c r="T411" s="463"/>
      <c r="U411" s="492"/>
      <c r="V411" s="460"/>
      <c r="W411" s="458"/>
    </row>
    <row r="412" spans="1:23" x14ac:dyDescent="0.25">
      <c r="A412" s="458"/>
      <c r="B412" s="463"/>
      <c r="C412" s="460"/>
      <c r="D412" s="462"/>
      <c r="E412" s="463"/>
      <c r="F412" s="493"/>
      <c r="G412" s="493"/>
      <c r="H412" s="493"/>
      <c r="I412" s="493"/>
      <c r="J412" s="493"/>
      <c r="K412" s="493"/>
      <c r="L412" s="68"/>
      <c r="M412" s="458"/>
      <c r="N412" s="458"/>
      <c r="O412" s="458"/>
      <c r="P412" s="68"/>
      <c r="Q412" s="462"/>
      <c r="R412" s="463"/>
      <c r="S412" s="462"/>
      <c r="T412" s="463"/>
      <c r="U412" s="492"/>
      <c r="V412" s="460"/>
      <c r="W412" s="458"/>
    </row>
    <row r="413" spans="1:23" x14ac:dyDescent="0.25">
      <c r="A413" s="458"/>
      <c r="B413" s="463"/>
      <c r="C413" s="460"/>
      <c r="D413" s="462"/>
      <c r="E413" s="463"/>
      <c r="F413" s="493"/>
      <c r="G413" s="493"/>
      <c r="H413" s="493"/>
      <c r="I413" s="493"/>
      <c r="J413" s="493"/>
      <c r="K413" s="493"/>
      <c r="L413" s="68"/>
      <c r="M413" s="458"/>
      <c r="N413" s="458"/>
      <c r="O413" s="458"/>
      <c r="P413" s="68"/>
      <c r="Q413" s="462"/>
      <c r="R413" s="463"/>
      <c r="S413" s="462"/>
      <c r="T413" s="463"/>
      <c r="U413" s="492"/>
      <c r="V413" s="460"/>
      <c r="W413" s="458"/>
    </row>
    <row r="414" spans="1:23" x14ac:dyDescent="0.25">
      <c r="A414" s="458"/>
      <c r="B414" s="463"/>
      <c r="C414" s="460"/>
      <c r="D414" s="462"/>
      <c r="E414" s="463"/>
      <c r="F414" s="493"/>
      <c r="G414" s="493"/>
      <c r="H414" s="493"/>
      <c r="I414" s="493"/>
      <c r="J414" s="493"/>
      <c r="K414" s="493"/>
      <c r="L414" s="68"/>
      <c r="M414" s="458"/>
      <c r="N414" s="458"/>
      <c r="O414" s="458"/>
      <c r="P414" s="68"/>
      <c r="Q414" s="462"/>
      <c r="R414" s="463"/>
      <c r="S414" s="462"/>
      <c r="T414" s="463"/>
      <c r="U414" s="492"/>
      <c r="V414" s="460"/>
      <c r="W414" s="458"/>
    </row>
    <row r="415" spans="1:23" x14ac:dyDescent="0.25">
      <c r="A415" s="458"/>
      <c r="B415" s="463"/>
      <c r="C415" s="460"/>
      <c r="D415" s="462"/>
      <c r="E415" s="463"/>
      <c r="F415" s="493"/>
      <c r="G415" s="493"/>
      <c r="H415" s="493"/>
      <c r="I415" s="493"/>
      <c r="J415" s="493"/>
      <c r="K415" s="493"/>
      <c r="L415" s="68"/>
      <c r="M415" s="458"/>
      <c r="N415" s="458"/>
      <c r="O415" s="458"/>
      <c r="P415" s="68"/>
      <c r="Q415" s="462"/>
      <c r="R415" s="463"/>
      <c r="S415" s="462"/>
      <c r="T415" s="463"/>
      <c r="U415" s="492"/>
      <c r="V415" s="460"/>
      <c r="W415" s="458"/>
    </row>
    <row r="416" spans="1:23" x14ac:dyDescent="0.25">
      <c r="A416" s="458"/>
      <c r="B416" s="463"/>
      <c r="C416" s="460"/>
      <c r="D416" s="462"/>
      <c r="E416" s="463"/>
      <c r="F416" s="493"/>
      <c r="G416" s="493"/>
      <c r="H416" s="493"/>
      <c r="I416" s="493"/>
      <c r="J416" s="493"/>
      <c r="K416" s="493"/>
      <c r="L416" s="68"/>
      <c r="M416" s="458"/>
      <c r="N416" s="458"/>
      <c r="O416" s="458"/>
      <c r="P416" s="68"/>
      <c r="Q416" s="462"/>
      <c r="R416" s="463"/>
      <c r="S416" s="462"/>
      <c r="T416" s="463"/>
      <c r="U416" s="492"/>
      <c r="V416" s="460"/>
      <c r="W416" s="458"/>
    </row>
    <row r="417" spans="1:23" x14ac:dyDescent="0.25">
      <c r="A417" s="458"/>
      <c r="B417" s="463"/>
      <c r="C417" s="460"/>
      <c r="D417" s="462"/>
      <c r="E417" s="463"/>
      <c r="F417" s="493"/>
      <c r="G417" s="493"/>
      <c r="H417" s="493"/>
      <c r="I417" s="493"/>
      <c r="J417" s="493"/>
      <c r="K417" s="493"/>
      <c r="L417" s="68"/>
      <c r="M417" s="458"/>
      <c r="N417" s="458"/>
      <c r="O417" s="458"/>
      <c r="P417" s="68"/>
      <c r="Q417" s="462"/>
      <c r="R417" s="463"/>
      <c r="S417" s="462"/>
      <c r="T417" s="463"/>
      <c r="U417" s="492"/>
      <c r="V417" s="460"/>
      <c r="W417" s="458"/>
    </row>
    <row r="418" spans="1:23" x14ac:dyDescent="0.25">
      <c r="A418" s="458"/>
      <c r="B418" s="463"/>
      <c r="C418" s="460"/>
      <c r="D418" s="462"/>
      <c r="E418" s="463"/>
      <c r="F418" s="493"/>
      <c r="G418" s="493"/>
      <c r="H418" s="493"/>
      <c r="I418" s="493"/>
      <c r="J418" s="493"/>
      <c r="K418" s="493"/>
      <c r="L418" s="68"/>
      <c r="M418" s="458"/>
      <c r="N418" s="458"/>
      <c r="O418" s="458"/>
      <c r="P418" s="68"/>
      <c r="Q418" s="462"/>
      <c r="R418" s="463"/>
      <c r="S418" s="462"/>
      <c r="T418" s="463"/>
      <c r="U418" s="492"/>
      <c r="V418" s="460"/>
      <c r="W418" s="458"/>
    </row>
    <row r="419" spans="1:23" x14ac:dyDescent="0.25">
      <c r="A419" s="458"/>
      <c r="B419" s="463"/>
      <c r="C419" s="460"/>
      <c r="D419" s="462"/>
      <c r="E419" s="463"/>
      <c r="F419" s="493"/>
      <c r="G419" s="493"/>
      <c r="H419" s="493"/>
      <c r="I419" s="493"/>
      <c r="J419" s="493"/>
      <c r="K419" s="493"/>
      <c r="L419" s="68"/>
      <c r="M419" s="458"/>
      <c r="N419" s="458"/>
      <c r="O419" s="458"/>
      <c r="P419" s="68"/>
      <c r="Q419" s="462"/>
      <c r="R419" s="463"/>
      <c r="S419" s="462"/>
      <c r="T419" s="463"/>
      <c r="U419" s="492"/>
      <c r="V419" s="460"/>
      <c r="W419" s="458"/>
    </row>
    <row r="420" spans="1:23" x14ac:dyDescent="0.25">
      <c r="A420" s="458"/>
      <c r="B420" s="463"/>
      <c r="C420" s="460"/>
      <c r="D420" s="462"/>
      <c r="E420" s="463"/>
      <c r="F420" s="493"/>
      <c r="G420" s="493"/>
      <c r="H420" s="493"/>
      <c r="I420" s="493"/>
      <c r="J420" s="493"/>
      <c r="K420" s="493"/>
      <c r="L420" s="68"/>
      <c r="M420" s="458"/>
      <c r="N420" s="458"/>
      <c r="O420" s="458"/>
      <c r="P420" s="68"/>
      <c r="Q420" s="462"/>
      <c r="R420" s="463"/>
      <c r="S420" s="462"/>
      <c r="T420" s="463"/>
      <c r="U420" s="492"/>
      <c r="V420" s="460"/>
      <c r="W420" s="458"/>
    </row>
    <row r="421" spans="1:23" x14ac:dyDescent="0.25">
      <c r="A421" s="458"/>
      <c r="B421" s="463"/>
      <c r="C421" s="460"/>
      <c r="D421" s="462"/>
      <c r="E421" s="463"/>
      <c r="F421" s="493"/>
      <c r="G421" s="493"/>
      <c r="H421" s="493"/>
      <c r="I421" s="493"/>
      <c r="J421" s="493"/>
      <c r="K421" s="493"/>
      <c r="L421" s="68"/>
      <c r="M421" s="458"/>
      <c r="N421" s="458"/>
      <c r="O421" s="458"/>
      <c r="P421" s="68"/>
      <c r="Q421" s="462"/>
      <c r="R421" s="463"/>
      <c r="S421" s="462"/>
      <c r="T421" s="463"/>
      <c r="U421" s="492"/>
      <c r="V421" s="460"/>
      <c r="W421" s="458"/>
    </row>
    <row r="422" spans="1:23" x14ac:dyDescent="0.25">
      <c r="A422" s="458"/>
      <c r="B422" s="463"/>
      <c r="C422" s="460"/>
      <c r="D422" s="462"/>
      <c r="E422" s="463"/>
      <c r="F422" s="493"/>
      <c r="G422" s="493"/>
      <c r="H422" s="493"/>
      <c r="I422" s="493"/>
      <c r="J422" s="493"/>
      <c r="K422" s="493"/>
      <c r="L422" s="68"/>
      <c r="M422" s="458"/>
      <c r="N422" s="458"/>
      <c r="O422" s="458"/>
      <c r="P422" s="68"/>
      <c r="Q422" s="462"/>
      <c r="R422" s="463"/>
      <c r="S422" s="462"/>
      <c r="T422" s="463"/>
      <c r="U422" s="492"/>
      <c r="V422" s="460"/>
      <c r="W422" s="458"/>
    </row>
    <row r="423" spans="1:23" x14ac:dyDescent="0.25">
      <c r="A423" s="458"/>
      <c r="B423" s="463"/>
      <c r="C423" s="460"/>
      <c r="D423" s="462"/>
      <c r="E423" s="463"/>
      <c r="F423" s="493"/>
      <c r="G423" s="493"/>
      <c r="H423" s="493"/>
      <c r="I423" s="493"/>
      <c r="J423" s="493"/>
      <c r="K423" s="493"/>
      <c r="L423" s="68"/>
      <c r="M423" s="458"/>
      <c r="N423" s="458"/>
      <c r="O423" s="458"/>
      <c r="P423" s="68"/>
      <c r="Q423" s="462"/>
      <c r="R423" s="463"/>
      <c r="S423" s="462"/>
      <c r="T423" s="463"/>
      <c r="U423" s="492"/>
      <c r="V423" s="460"/>
      <c r="W423" s="458"/>
    </row>
    <row r="424" spans="1:23" x14ac:dyDescent="0.25">
      <c r="A424" s="458"/>
      <c r="B424" s="463"/>
      <c r="C424" s="460"/>
      <c r="D424" s="462"/>
      <c r="E424" s="463"/>
      <c r="F424" s="493"/>
      <c r="G424" s="493"/>
      <c r="H424" s="493"/>
      <c r="I424" s="493"/>
      <c r="J424" s="493"/>
      <c r="K424" s="493"/>
      <c r="L424" s="68"/>
      <c r="M424" s="458"/>
      <c r="N424" s="458"/>
      <c r="O424" s="458"/>
      <c r="P424" s="68"/>
      <c r="Q424" s="462"/>
      <c r="R424" s="463"/>
      <c r="S424" s="462"/>
      <c r="T424" s="463"/>
      <c r="U424" s="492"/>
      <c r="V424" s="460"/>
      <c r="W424" s="458"/>
    </row>
    <row r="425" spans="1:23" x14ac:dyDescent="0.25">
      <c r="A425" s="458"/>
      <c r="B425" s="463"/>
      <c r="C425" s="460"/>
      <c r="D425" s="462"/>
      <c r="E425" s="463"/>
      <c r="F425" s="493"/>
      <c r="G425" s="493"/>
      <c r="H425" s="493"/>
      <c r="I425" s="493"/>
      <c r="J425" s="493"/>
      <c r="K425" s="493"/>
      <c r="L425" s="68"/>
      <c r="M425" s="458"/>
      <c r="N425" s="458"/>
      <c r="O425" s="458"/>
      <c r="P425" s="68"/>
      <c r="Q425" s="462"/>
      <c r="R425" s="463"/>
      <c r="S425" s="462"/>
      <c r="T425" s="463"/>
      <c r="U425" s="492"/>
      <c r="V425" s="460"/>
      <c r="W425" s="458"/>
    </row>
    <row r="426" spans="1:23" x14ac:dyDescent="0.25">
      <c r="A426" s="458"/>
      <c r="B426" s="463"/>
      <c r="C426" s="460"/>
      <c r="D426" s="462"/>
      <c r="E426" s="463"/>
      <c r="F426" s="493"/>
      <c r="G426" s="493"/>
      <c r="H426" s="493"/>
      <c r="I426" s="493"/>
      <c r="J426" s="493"/>
      <c r="K426" s="493"/>
      <c r="L426" s="68"/>
      <c r="M426" s="458"/>
      <c r="N426" s="458"/>
      <c r="O426" s="458"/>
      <c r="P426" s="68"/>
      <c r="Q426" s="462"/>
      <c r="R426" s="463"/>
      <c r="S426" s="462"/>
      <c r="T426" s="463"/>
      <c r="U426" s="492"/>
      <c r="V426" s="460"/>
      <c r="W426" s="458"/>
    </row>
    <row r="427" spans="1:23" x14ac:dyDescent="0.25">
      <c r="A427" s="458"/>
      <c r="B427" s="463"/>
      <c r="C427" s="460"/>
      <c r="D427" s="462"/>
      <c r="E427" s="463"/>
      <c r="F427" s="493"/>
      <c r="G427" s="493"/>
      <c r="H427" s="493"/>
      <c r="I427" s="493"/>
      <c r="J427" s="493"/>
      <c r="K427" s="493"/>
      <c r="L427" s="68"/>
      <c r="M427" s="458"/>
      <c r="N427" s="458"/>
      <c r="O427" s="458"/>
      <c r="P427" s="68"/>
      <c r="Q427" s="462"/>
      <c r="R427" s="463"/>
      <c r="S427" s="462"/>
      <c r="T427" s="463"/>
      <c r="U427" s="492"/>
      <c r="V427" s="460"/>
      <c r="W427" s="458"/>
    </row>
    <row r="428" spans="1:23" x14ac:dyDescent="0.25">
      <c r="A428" s="458"/>
      <c r="B428" s="463"/>
      <c r="C428" s="460"/>
      <c r="D428" s="462"/>
      <c r="E428" s="463"/>
      <c r="F428" s="493"/>
      <c r="G428" s="493"/>
      <c r="H428" s="493"/>
      <c r="I428" s="493"/>
      <c r="J428" s="493"/>
      <c r="K428" s="493"/>
      <c r="L428" s="68"/>
      <c r="M428" s="458"/>
      <c r="N428" s="458"/>
      <c r="O428" s="458"/>
      <c r="P428" s="68"/>
      <c r="Q428" s="462"/>
      <c r="R428" s="463"/>
      <c r="S428" s="462"/>
      <c r="T428" s="463"/>
      <c r="U428" s="492"/>
      <c r="V428" s="460"/>
      <c r="W428" s="458"/>
    </row>
    <row r="429" spans="1:23" x14ac:dyDescent="0.25">
      <c r="A429" s="458"/>
      <c r="B429" s="463"/>
      <c r="C429" s="460"/>
      <c r="D429" s="462"/>
      <c r="E429" s="463"/>
      <c r="F429" s="493"/>
      <c r="G429" s="493"/>
      <c r="H429" s="493"/>
      <c r="I429" s="493"/>
      <c r="J429" s="493"/>
      <c r="K429" s="493"/>
      <c r="L429" s="68"/>
      <c r="M429" s="458"/>
      <c r="N429" s="458"/>
      <c r="O429" s="458"/>
      <c r="P429" s="68"/>
      <c r="Q429" s="462"/>
      <c r="R429" s="463"/>
      <c r="S429" s="462"/>
      <c r="T429" s="463"/>
      <c r="U429" s="492"/>
      <c r="V429" s="460"/>
      <c r="W429" s="458"/>
    </row>
    <row r="430" spans="1:23" x14ac:dyDescent="0.25">
      <c r="A430" s="458"/>
      <c r="B430" s="463"/>
      <c r="C430" s="460"/>
      <c r="D430" s="462"/>
      <c r="E430" s="463"/>
      <c r="F430" s="493"/>
      <c r="G430" s="493"/>
      <c r="H430" s="493"/>
      <c r="I430" s="493"/>
      <c r="J430" s="493"/>
      <c r="K430" s="493"/>
      <c r="L430" s="68"/>
      <c r="M430" s="458"/>
      <c r="N430" s="458"/>
      <c r="O430" s="458"/>
      <c r="P430" s="68"/>
      <c r="Q430" s="462"/>
      <c r="R430" s="463"/>
      <c r="S430" s="462"/>
      <c r="T430" s="463"/>
      <c r="U430" s="492"/>
      <c r="V430" s="460"/>
      <c r="W430" s="458"/>
    </row>
    <row r="431" spans="1:23" x14ac:dyDescent="0.25">
      <c r="A431" s="458"/>
      <c r="B431" s="463"/>
      <c r="C431" s="460"/>
      <c r="D431" s="462"/>
      <c r="E431" s="463"/>
      <c r="F431" s="493"/>
      <c r="G431" s="493"/>
      <c r="H431" s="493"/>
      <c r="I431" s="493"/>
      <c r="J431" s="493"/>
      <c r="K431" s="493"/>
      <c r="L431" s="68"/>
      <c r="M431" s="458"/>
      <c r="N431" s="458"/>
      <c r="O431" s="458"/>
      <c r="P431" s="68"/>
      <c r="Q431" s="462"/>
      <c r="R431" s="463"/>
      <c r="S431" s="462"/>
      <c r="T431" s="463"/>
      <c r="U431" s="492"/>
      <c r="V431" s="460"/>
      <c r="W431" s="458"/>
    </row>
    <row r="432" spans="1:23" x14ac:dyDescent="0.25">
      <c r="A432" s="458"/>
      <c r="B432" s="463"/>
      <c r="C432" s="460"/>
      <c r="D432" s="462"/>
      <c r="E432" s="463"/>
      <c r="F432" s="493"/>
      <c r="G432" s="493"/>
      <c r="H432" s="493"/>
      <c r="I432" s="493"/>
      <c r="J432" s="493"/>
      <c r="K432" s="493"/>
      <c r="L432" s="68"/>
      <c r="M432" s="458"/>
      <c r="N432" s="458"/>
      <c r="O432" s="458"/>
      <c r="P432" s="68"/>
      <c r="Q432" s="462"/>
      <c r="R432" s="463"/>
      <c r="S432" s="462"/>
      <c r="T432" s="463"/>
      <c r="U432" s="492"/>
      <c r="V432" s="460"/>
      <c r="W432" s="458"/>
    </row>
    <row r="433" spans="1:23" x14ac:dyDescent="0.25">
      <c r="A433" s="458"/>
      <c r="B433" s="463"/>
      <c r="C433" s="460"/>
      <c r="D433" s="462"/>
      <c r="E433" s="463"/>
      <c r="F433" s="493"/>
      <c r="G433" s="493"/>
      <c r="H433" s="493"/>
      <c r="I433" s="493"/>
      <c r="J433" s="493"/>
      <c r="K433" s="493"/>
      <c r="L433" s="68"/>
      <c r="M433" s="458"/>
      <c r="N433" s="458"/>
      <c r="O433" s="458"/>
      <c r="P433" s="68"/>
      <c r="Q433" s="462"/>
      <c r="R433" s="463"/>
      <c r="S433" s="462"/>
      <c r="T433" s="463"/>
      <c r="U433" s="492"/>
      <c r="V433" s="460"/>
      <c r="W433" s="458"/>
    </row>
    <row r="434" spans="1:23" x14ac:dyDescent="0.25">
      <c r="A434" s="458"/>
      <c r="B434" s="463"/>
      <c r="C434" s="460"/>
      <c r="D434" s="462"/>
      <c r="E434" s="463"/>
      <c r="F434" s="493"/>
      <c r="G434" s="493"/>
      <c r="H434" s="493"/>
      <c r="I434" s="493"/>
      <c r="J434" s="493"/>
      <c r="K434" s="493"/>
      <c r="L434" s="68"/>
      <c r="M434" s="458"/>
      <c r="N434" s="458"/>
      <c r="O434" s="458"/>
      <c r="P434" s="68"/>
      <c r="Q434" s="462"/>
      <c r="R434" s="463"/>
      <c r="S434" s="462"/>
      <c r="T434" s="463"/>
      <c r="U434" s="492"/>
      <c r="V434" s="460"/>
      <c r="W434" s="458"/>
    </row>
    <row r="435" spans="1:23" x14ac:dyDescent="0.25">
      <c r="A435" s="458"/>
      <c r="B435" s="463"/>
      <c r="C435" s="460"/>
      <c r="D435" s="462"/>
      <c r="E435" s="463"/>
      <c r="F435" s="493"/>
      <c r="G435" s="493"/>
      <c r="H435" s="493"/>
      <c r="I435" s="493"/>
      <c r="J435" s="493"/>
      <c r="K435" s="493"/>
      <c r="L435" s="68"/>
      <c r="M435" s="458"/>
      <c r="N435" s="458"/>
      <c r="O435" s="458"/>
      <c r="P435" s="68"/>
      <c r="Q435" s="462"/>
      <c r="R435" s="463"/>
      <c r="S435" s="462"/>
      <c r="T435" s="463"/>
      <c r="U435" s="492"/>
      <c r="V435" s="460"/>
      <c r="W435" s="458"/>
    </row>
    <row r="436" spans="1:23" x14ac:dyDescent="0.25">
      <c r="A436" s="458"/>
      <c r="B436" s="463"/>
      <c r="C436" s="460"/>
      <c r="D436" s="462"/>
      <c r="E436" s="463"/>
      <c r="F436" s="493"/>
      <c r="G436" s="493"/>
      <c r="H436" s="493"/>
      <c r="I436" s="493"/>
      <c r="J436" s="493"/>
      <c r="K436" s="493"/>
      <c r="L436" s="68"/>
      <c r="M436" s="458"/>
      <c r="N436" s="458"/>
      <c r="O436" s="458"/>
      <c r="P436" s="68"/>
      <c r="Q436" s="462"/>
      <c r="R436" s="463"/>
      <c r="S436" s="462"/>
      <c r="T436" s="463"/>
      <c r="U436" s="492"/>
      <c r="V436" s="460"/>
      <c r="W436" s="458"/>
    </row>
    <row r="437" spans="1:23" x14ac:dyDescent="0.25">
      <c r="A437" s="458"/>
      <c r="B437" s="463"/>
      <c r="C437" s="460"/>
      <c r="D437" s="462"/>
      <c r="E437" s="463"/>
      <c r="F437" s="493"/>
      <c r="G437" s="493"/>
      <c r="H437" s="493"/>
      <c r="I437" s="493"/>
      <c r="J437" s="493"/>
      <c r="K437" s="493"/>
      <c r="L437" s="68"/>
      <c r="M437" s="458"/>
      <c r="N437" s="458"/>
      <c r="O437" s="458"/>
      <c r="P437" s="68"/>
      <c r="Q437" s="462"/>
      <c r="R437" s="463"/>
      <c r="S437" s="462"/>
      <c r="T437" s="463"/>
      <c r="U437" s="492"/>
      <c r="V437" s="460"/>
      <c r="W437" s="458"/>
    </row>
    <row r="438" spans="1:23" x14ac:dyDescent="0.25">
      <c r="A438" s="458"/>
      <c r="B438" s="463"/>
      <c r="C438" s="460"/>
      <c r="D438" s="462"/>
      <c r="E438" s="463"/>
      <c r="F438" s="493"/>
      <c r="G438" s="493"/>
      <c r="H438" s="493"/>
      <c r="I438" s="493"/>
      <c r="J438" s="493"/>
      <c r="K438" s="493"/>
      <c r="L438" s="68"/>
      <c r="M438" s="458"/>
      <c r="N438" s="458"/>
      <c r="O438" s="458"/>
      <c r="P438" s="68"/>
      <c r="Q438" s="462"/>
      <c r="R438" s="463"/>
      <c r="S438" s="462"/>
      <c r="T438" s="463"/>
      <c r="U438" s="492"/>
      <c r="V438" s="460"/>
      <c r="W438" s="458"/>
    </row>
    <row r="439" spans="1:23" x14ac:dyDescent="0.25">
      <c r="A439" s="458"/>
      <c r="B439" s="463"/>
      <c r="C439" s="460"/>
      <c r="D439" s="462"/>
      <c r="E439" s="463"/>
      <c r="F439" s="493"/>
      <c r="G439" s="493"/>
      <c r="H439" s="493"/>
      <c r="I439" s="493"/>
      <c r="J439" s="493"/>
      <c r="K439" s="493"/>
      <c r="L439" s="68"/>
      <c r="M439" s="458"/>
      <c r="N439" s="458"/>
      <c r="O439" s="458"/>
      <c r="P439" s="68"/>
      <c r="Q439" s="462"/>
      <c r="R439" s="463"/>
      <c r="S439" s="462"/>
      <c r="T439" s="463"/>
      <c r="U439" s="492"/>
      <c r="V439" s="460"/>
      <c r="W439" s="458"/>
    </row>
    <row r="440" spans="1:23" x14ac:dyDescent="0.25">
      <c r="A440" s="458"/>
      <c r="B440" s="463"/>
      <c r="C440" s="460"/>
      <c r="D440" s="462"/>
      <c r="E440" s="463"/>
      <c r="F440" s="493"/>
      <c r="G440" s="493"/>
      <c r="H440" s="493"/>
      <c r="I440" s="493"/>
      <c r="J440" s="493"/>
      <c r="K440" s="493"/>
      <c r="L440" s="68"/>
      <c r="M440" s="458"/>
      <c r="N440" s="458"/>
      <c r="O440" s="458"/>
      <c r="P440" s="68"/>
      <c r="Q440" s="462"/>
      <c r="R440" s="463"/>
      <c r="S440" s="462"/>
      <c r="T440" s="463"/>
      <c r="U440" s="492"/>
      <c r="V440" s="460"/>
      <c r="W440" s="458"/>
    </row>
    <row r="441" spans="1:23" x14ac:dyDescent="0.25">
      <c r="A441" s="458"/>
      <c r="B441" s="463"/>
      <c r="C441" s="460"/>
      <c r="D441" s="462"/>
      <c r="E441" s="463"/>
      <c r="F441" s="493"/>
      <c r="G441" s="493"/>
      <c r="H441" s="493"/>
      <c r="I441" s="493"/>
      <c r="J441" s="493"/>
      <c r="K441" s="493"/>
      <c r="L441" s="68"/>
      <c r="M441" s="458"/>
      <c r="N441" s="458"/>
      <c r="O441" s="458"/>
      <c r="P441" s="68"/>
      <c r="Q441" s="462"/>
      <c r="R441" s="463"/>
      <c r="S441" s="462"/>
      <c r="T441" s="463"/>
      <c r="U441" s="492"/>
      <c r="V441" s="460"/>
      <c r="W441" s="458"/>
    </row>
    <row r="442" spans="1:23" x14ac:dyDescent="0.25">
      <c r="A442" s="458"/>
      <c r="B442" s="463"/>
      <c r="C442" s="460"/>
      <c r="D442" s="462"/>
      <c r="E442" s="463"/>
      <c r="F442" s="493"/>
      <c r="G442" s="493"/>
      <c r="H442" s="493"/>
      <c r="I442" s="493"/>
      <c r="J442" s="493"/>
      <c r="K442" s="493"/>
      <c r="L442" s="68"/>
      <c r="M442" s="458"/>
      <c r="N442" s="458"/>
      <c r="O442" s="458"/>
      <c r="P442" s="68"/>
      <c r="Q442" s="462"/>
      <c r="R442" s="463"/>
      <c r="S442" s="462"/>
      <c r="T442" s="463"/>
      <c r="U442" s="492"/>
      <c r="V442" s="460"/>
      <c r="W442" s="458"/>
    </row>
    <row r="443" spans="1:23" x14ac:dyDescent="0.25">
      <c r="A443" s="458"/>
      <c r="B443" s="463"/>
      <c r="C443" s="460"/>
      <c r="D443" s="462"/>
      <c r="E443" s="463"/>
      <c r="F443" s="493"/>
      <c r="G443" s="493"/>
      <c r="H443" s="493"/>
      <c r="I443" s="493"/>
      <c r="J443" s="493"/>
      <c r="K443" s="493"/>
      <c r="L443" s="68"/>
      <c r="M443" s="458"/>
      <c r="N443" s="458"/>
      <c r="O443" s="458"/>
      <c r="P443" s="68"/>
      <c r="Q443" s="462"/>
      <c r="R443" s="463"/>
      <c r="S443" s="462"/>
      <c r="T443" s="463"/>
      <c r="U443" s="492"/>
      <c r="V443" s="460"/>
      <c r="W443" s="458"/>
    </row>
    <row r="444" spans="1:23" x14ac:dyDescent="0.25">
      <c r="A444" s="458"/>
      <c r="B444" s="463"/>
      <c r="C444" s="460"/>
      <c r="D444" s="462"/>
      <c r="E444" s="463"/>
      <c r="F444" s="493"/>
      <c r="G444" s="493"/>
      <c r="H444" s="493"/>
      <c r="I444" s="493"/>
      <c r="J444" s="493"/>
      <c r="K444" s="493"/>
      <c r="L444" s="68"/>
      <c r="M444" s="458"/>
      <c r="N444" s="458"/>
      <c r="O444" s="458"/>
      <c r="P444" s="68"/>
      <c r="Q444" s="462"/>
      <c r="R444" s="463"/>
      <c r="S444" s="462"/>
      <c r="T444" s="463"/>
      <c r="U444" s="492"/>
      <c r="V444" s="460"/>
      <c r="W444" s="458"/>
    </row>
    <row r="445" spans="1:23" x14ac:dyDescent="0.25">
      <c r="A445" s="458"/>
      <c r="B445" s="463"/>
      <c r="C445" s="460"/>
      <c r="D445" s="462"/>
      <c r="E445" s="463"/>
      <c r="F445" s="493"/>
      <c r="G445" s="493"/>
      <c r="H445" s="493"/>
      <c r="I445" s="493"/>
      <c r="J445" s="493"/>
      <c r="K445" s="493"/>
      <c r="L445" s="68"/>
      <c r="M445" s="458"/>
      <c r="N445" s="458"/>
      <c r="O445" s="458"/>
      <c r="P445" s="68"/>
      <c r="Q445" s="462"/>
      <c r="R445" s="463"/>
      <c r="S445" s="462"/>
      <c r="T445" s="463"/>
      <c r="U445" s="492"/>
      <c r="V445" s="460"/>
      <c r="W445" s="458"/>
    </row>
    <row r="446" spans="1:23" x14ac:dyDescent="0.25">
      <c r="A446" s="458"/>
      <c r="B446" s="463"/>
      <c r="C446" s="460"/>
      <c r="D446" s="462"/>
      <c r="E446" s="463"/>
      <c r="F446" s="493"/>
      <c r="G446" s="493"/>
      <c r="H446" s="493"/>
      <c r="I446" s="493"/>
      <c r="J446" s="493"/>
      <c r="K446" s="493"/>
      <c r="L446" s="68"/>
      <c r="M446" s="458"/>
      <c r="N446" s="458"/>
      <c r="O446" s="458"/>
      <c r="P446" s="68"/>
      <c r="Q446" s="462"/>
      <c r="R446" s="463"/>
      <c r="S446" s="462"/>
      <c r="T446" s="463"/>
      <c r="U446" s="492"/>
      <c r="V446" s="460"/>
      <c r="W446" s="458"/>
    </row>
    <row r="447" spans="1:23" x14ac:dyDescent="0.25">
      <c r="A447" s="458"/>
      <c r="B447" s="463"/>
      <c r="C447" s="460"/>
      <c r="D447" s="462"/>
      <c r="E447" s="463"/>
      <c r="F447" s="493"/>
      <c r="G447" s="493"/>
      <c r="H447" s="493"/>
      <c r="I447" s="493"/>
      <c r="J447" s="493"/>
      <c r="K447" s="493"/>
      <c r="L447" s="68"/>
      <c r="M447" s="458"/>
      <c r="N447" s="458"/>
      <c r="O447" s="458"/>
      <c r="P447" s="68"/>
      <c r="Q447" s="462"/>
      <c r="R447" s="463"/>
      <c r="S447" s="462"/>
      <c r="T447" s="463"/>
      <c r="U447" s="492"/>
      <c r="V447" s="460"/>
      <c r="W447" s="458"/>
    </row>
    <row r="448" spans="1:23" x14ac:dyDescent="0.25">
      <c r="A448" s="458"/>
      <c r="B448" s="463"/>
      <c r="C448" s="460"/>
      <c r="D448" s="462"/>
      <c r="E448" s="463"/>
      <c r="F448" s="493"/>
      <c r="G448" s="493"/>
      <c r="H448" s="493"/>
      <c r="I448" s="493"/>
      <c r="J448" s="493"/>
      <c r="K448" s="493"/>
      <c r="L448" s="68"/>
      <c r="M448" s="458"/>
      <c r="N448" s="458"/>
      <c r="O448" s="458"/>
      <c r="P448" s="68"/>
      <c r="Q448" s="462"/>
      <c r="R448" s="463"/>
      <c r="S448" s="462"/>
      <c r="T448" s="463"/>
      <c r="U448" s="492"/>
      <c r="V448" s="460"/>
      <c r="W448" s="458"/>
    </row>
    <row r="449" spans="1:23" x14ac:dyDescent="0.25">
      <c r="A449" s="458"/>
      <c r="B449" s="463"/>
      <c r="C449" s="460"/>
      <c r="D449" s="462"/>
      <c r="E449" s="463"/>
      <c r="F449" s="493"/>
      <c r="G449" s="493"/>
      <c r="H449" s="493"/>
      <c r="I449" s="493"/>
      <c r="J449" s="493"/>
      <c r="K449" s="493"/>
      <c r="L449" s="68"/>
      <c r="M449" s="458"/>
      <c r="N449" s="458"/>
      <c r="O449" s="458"/>
      <c r="P449" s="68"/>
      <c r="Q449" s="462"/>
      <c r="R449" s="463"/>
      <c r="S449" s="462"/>
      <c r="T449" s="463"/>
      <c r="U449" s="492"/>
      <c r="V449" s="460"/>
      <c r="W449" s="458"/>
    </row>
    <row r="450" spans="1:23" x14ac:dyDescent="0.25">
      <c r="A450" s="458"/>
      <c r="B450" s="463"/>
      <c r="C450" s="460"/>
      <c r="D450" s="462"/>
      <c r="E450" s="463"/>
      <c r="F450" s="493"/>
      <c r="G450" s="493"/>
      <c r="H450" s="493"/>
      <c r="I450" s="493"/>
      <c r="J450" s="493"/>
      <c r="K450" s="493"/>
      <c r="L450" s="68"/>
      <c r="M450" s="458"/>
      <c r="N450" s="458"/>
      <c r="O450" s="458"/>
      <c r="P450" s="68"/>
      <c r="Q450" s="462"/>
      <c r="R450" s="463"/>
      <c r="S450" s="462"/>
      <c r="T450" s="463"/>
      <c r="U450" s="492"/>
      <c r="V450" s="460"/>
      <c r="W450" s="458"/>
    </row>
    <row r="451" spans="1:23" x14ac:dyDescent="0.25">
      <c r="A451" s="458"/>
      <c r="B451" s="463"/>
      <c r="C451" s="460"/>
      <c r="D451" s="462"/>
      <c r="E451" s="463"/>
      <c r="F451" s="493"/>
      <c r="G451" s="493"/>
      <c r="H451" s="493"/>
      <c r="I451" s="493"/>
      <c r="J451" s="493"/>
      <c r="K451" s="493"/>
      <c r="L451" s="68"/>
      <c r="M451" s="458"/>
      <c r="N451" s="458"/>
      <c r="O451" s="458"/>
      <c r="P451" s="68"/>
      <c r="Q451" s="462"/>
      <c r="R451" s="463"/>
      <c r="S451" s="462"/>
      <c r="T451" s="463"/>
      <c r="U451" s="492"/>
      <c r="V451" s="460"/>
      <c r="W451" s="458"/>
    </row>
    <row r="452" spans="1:23" x14ac:dyDescent="0.25">
      <c r="A452" s="458"/>
      <c r="B452" s="463"/>
      <c r="C452" s="460"/>
      <c r="D452" s="462"/>
      <c r="E452" s="463"/>
      <c r="F452" s="493"/>
      <c r="G452" s="493"/>
      <c r="H452" s="493"/>
      <c r="I452" s="493"/>
      <c r="J452" s="493"/>
      <c r="K452" s="493"/>
      <c r="L452" s="68"/>
      <c r="M452" s="458"/>
      <c r="N452" s="458"/>
      <c r="O452" s="458"/>
      <c r="P452" s="68"/>
      <c r="Q452" s="462"/>
      <c r="R452" s="463"/>
      <c r="S452" s="462"/>
      <c r="T452" s="463"/>
      <c r="U452" s="492"/>
      <c r="V452" s="460"/>
      <c r="W452" s="458"/>
    </row>
    <row r="453" spans="1:23" x14ac:dyDescent="0.25">
      <c r="A453" s="458"/>
      <c r="B453" s="463"/>
      <c r="C453" s="460"/>
      <c r="D453" s="462"/>
      <c r="E453" s="463"/>
      <c r="F453" s="493"/>
      <c r="G453" s="493"/>
      <c r="H453" s="493"/>
      <c r="I453" s="493"/>
      <c r="J453" s="493"/>
      <c r="K453" s="493"/>
      <c r="L453" s="68"/>
      <c r="M453" s="458"/>
      <c r="N453" s="458"/>
      <c r="O453" s="458"/>
      <c r="P453" s="68"/>
      <c r="Q453" s="462"/>
      <c r="R453" s="463"/>
      <c r="S453" s="462"/>
      <c r="T453" s="463"/>
      <c r="U453" s="492"/>
      <c r="V453" s="460"/>
      <c r="W453" s="458"/>
    </row>
    <row r="454" spans="1:23" x14ac:dyDescent="0.25">
      <c r="A454" s="458"/>
      <c r="B454" s="463"/>
      <c r="C454" s="460"/>
      <c r="D454" s="462"/>
      <c r="E454" s="463"/>
      <c r="F454" s="493"/>
      <c r="G454" s="493"/>
      <c r="H454" s="493"/>
      <c r="I454" s="493"/>
      <c r="J454" s="493"/>
      <c r="K454" s="493"/>
      <c r="L454" s="68"/>
      <c r="M454" s="458"/>
      <c r="N454" s="458"/>
      <c r="O454" s="458"/>
      <c r="P454" s="68"/>
      <c r="Q454" s="462"/>
      <c r="R454" s="463"/>
      <c r="S454" s="462"/>
      <c r="T454" s="463"/>
      <c r="U454" s="492"/>
      <c r="V454" s="460"/>
      <c r="W454" s="458"/>
    </row>
    <row r="455" spans="1:23" x14ac:dyDescent="0.25">
      <c r="A455" s="458"/>
      <c r="B455" s="463"/>
      <c r="C455" s="460"/>
      <c r="D455" s="462"/>
      <c r="E455" s="463"/>
      <c r="F455" s="493"/>
      <c r="G455" s="493"/>
      <c r="H455" s="493"/>
      <c r="I455" s="493"/>
      <c r="J455" s="493"/>
      <c r="K455" s="493"/>
      <c r="L455" s="68"/>
      <c r="M455" s="458"/>
      <c r="N455" s="458"/>
      <c r="O455" s="458"/>
      <c r="P455" s="68"/>
      <c r="Q455" s="462"/>
      <c r="R455" s="463"/>
      <c r="S455" s="462"/>
      <c r="T455" s="463"/>
      <c r="U455" s="492"/>
      <c r="V455" s="460"/>
      <c r="W455" s="458"/>
    </row>
    <row r="456" spans="1:23" x14ac:dyDescent="0.25">
      <c r="A456" s="458"/>
      <c r="B456" s="463"/>
      <c r="C456" s="460"/>
      <c r="D456" s="462"/>
      <c r="E456" s="463"/>
      <c r="F456" s="493"/>
      <c r="G456" s="493"/>
      <c r="H456" s="493"/>
      <c r="I456" s="493"/>
      <c r="J456" s="493"/>
      <c r="K456" s="493"/>
      <c r="L456" s="68"/>
      <c r="M456" s="458"/>
      <c r="N456" s="458"/>
      <c r="O456" s="458"/>
      <c r="P456" s="68"/>
      <c r="Q456" s="462"/>
      <c r="R456" s="463"/>
      <c r="S456" s="462"/>
      <c r="T456" s="463"/>
      <c r="U456" s="492"/>
      <c r="V456" s="460"/>
      <c r="W456" s="458"/>
    </row>
    <row r="457" spans="1:23" x14ac:dyDescent="0.25">
      <c r="A457" s="458"/>
      <c r="B457" s="463"/>
      <c r="C457" s="460"/>
      <c r="D457" s="462"/>
      <c r="E457" s="463"/>
      <c r="F457" s="493"/>
      <c r="G457" s="493"/>
      <c r="H457" s="493"/>
      <c r="I457" s="493"/>
      <c r="J457" s="493"/>
      <c r="K457" s="493"/>
      <c r="L457" s="68"/>
      <c r="M457" s="458"/>
      <c r="N457" s="458"/>
      <c r="O457" s="458"/>
      <c r="P457" s="68"/>
      <c r="Q457" s="462"/>
      <c r="R457" s="463"/>
      <c r="S457" s="462"/>
      <c r="T457" s="463"/>
      <c r="U457" s="492"/>
      <c r="V457" s="460"/>
      <c r="W457" s="458"/>
    </row>
    <row r="458" spans="1:23" x14ac:dyDescent="0.25">
      <c r="A458" s="458"/>
      <c r="B458" s="463"/>
      <c r="C458" s="460"/>
      <c r="D458" s="462"/>
      <c r="E458" s="463"/>
      <c r="F458" s="493"/>
      <c r="G458" s="493"/>
      <c r="H458" s="493"/>
      <c r="I458" s="493"/>
      <c r="J458" s="493"/>
      <c r="K458" s="493"/>
      <c r="L458" s="68"/>
      <c r="M458" s="458"/>
      <c r="N458" s="458"/>
      <c r="O458" s="458"/>
      <c r="P458" s="68"/>
      <c r="Q458" s="462"/>
      <c r="R458" s="463"/>
      <c r="S458" s="462"/>
      <c r="T458" s="463"/>
      <c r="U458" s="492"/>
      <c r="V458" s="460"/>
      <c r="W458" s="458"/>
    </row>
    <row r="459" spans="1:23" x14ac:dyDescent="0.25">
      <c r="A459" s="458"/>
      <c r="B459" s="463"/>
      <c r="C459" s="460"/>
      <c r="D459" s="462"/>
      <c r="E459" s="463"/>
      <c r="F459" s="493"/>
      <c r="G459" s="493"/>
      <c r="H459" s="493"/>
      <c r="I459" s="493"/>
      <c r="J459" s="493"/>
      <c r="K459" s="493"/>
      <c r="L459" s="68"/>
      <c r="M459" s="458"/>
      <c r="N459" s="458"/>
      <c r="O459" s="458"/>
      <c r="P459" s="68"/>
      <c r="Q459" s="462"/>
      <c r="R459" s="463"/>
      <c r="S459" s="462"/>
      <c r="T459" s="463"/>
      <c r="U459" s="492"/>
      <c r="V459" s="460"/>
      <c r="W459" s="458"/>
    </row>
    <row r="460" spans="1:23" x14ac:dyDescent="0.25">
      <c r="A460" s="458"/>
      <c r="B460" s="463"/>
      <c r="C460" s="460"/>
      <c r="D460" s="462"/>
      <c r="E460" s="463"/>
      <c r="F460" s="493"/>
      <c r="G460" s="493"/>
      <c r="H460" s="493"/>
      <c r="I460" s="493"/>
      <c r="J460" s="493"/>
      <c r="K460" s="493"/>
      <c r="L460" s="68"/>
      <c r="M460" s="458"/>
      <c r="N460" s="458"/>
      <c r="O460" s="458"/>
      <c r="P460" s="68"/>
      <c r="Q460" s="462"/>
      <c r="R460" s="463"/>
      <c r="S460" s="462"/>
      <c r="T460" s="463"/>
      <c r="U460" s="492"/>
      <c r="V460" s="460"/>
      <c r="W460" s="458"/>
    </row>
    <row r="461" spans="1:23" x14ac:dyDescent="0.25">
      <c r="A461" s="458"/>
      <c r="B461" s="463"/>
      <c r="C461" s="460"/>
      <c r="D461" s="462"/>
      <c r="E461" s="463"/>
      <c r="F461" s="493"/>
      <c r="G461" s="493"/>
      <c r="H461" s="493"/>
      <c r="I461" s="493"/>
      <c r="J461" s="493"/>
      <c r="K461" s="493"/>
      <c r="L461" s="68"/>
      <c r="M461" s="458"/>
      <c r="N461" s="458"/>
      <c r="O461" s="458"/>
      <c r="P461" s="68"/>
      <c r="Q461" s="462"/>
      <c r="R461" s="463"/>
      <c r="S461" s="462"/>
      <c r="T461" s="463"/>
      <c r="U461" s="492"/>
      <c r="V461" s="460"/>
      <c r="W461" s="458"/>
    </row>
    <row r="462" spans="1:23" x14ac:dyDescent="0.25">
      <c r="A462" s="458"/>
      <c r="B462" s="463"/>
      <c r="C462" s="460"/>
      <c r="D462" s="462"/>
      <c r="E462" s="463"/>
      <c r="F462" s="493"/>
      <c r="G462" s="493"/>
      <c r="H462" s="493"/>
      <c r="I462" s="493"/>
      <c r="J462" s="493"/>
      <c r="K462" s="493"/>
      <c r="L462" s="68"/>
      <c r="M462" s="458"/>
      <c r="N462" s="458"/>
      <c r="O462" s="458"/>
      <c r="P462" s="68"/>
      <c r="Q462" s="462"/>
      <c r="R462" s="463"/>
      <c r="S462" s="462"/>
      <c r="T462" s="463"/>
      <c r="U462" s="492"/>
      <c r="V462" s="460"/>
      <c r="W462" s="458"/>
    </row>
    <row r="463" spans="1:23" x14ac:dyDescent="0.25">
      <c r="A463" s="458"/>
      <c r="B463" s="463"/>
      <c r="C463" s="460"/>
      <c r="D463" s="462"/>
      <c r="E463" s="463"/>
      <c r="F463" s="493"/>
      <c r="G463" s="493"/>
      <c r="H463" s="493"/>
      <c r="I463" s="493"/>
      <c r="J463" s="493"/>
      <c r="K463" s="493"/>
      <c r="L463" s="68"/>
      <c r="M463" s="458"/>
      <c r="N463" s="458"/>
      <c r="O463" s="458"/>
      <c r="P463" s="68"/>
      <c r="Q463" s="462"/>
      <c r="R463" s="463"/>
      <c r="S463" s="462"/>
      <c r="T463" s="463"/>
      <c r="U463" s="492"/>
      <c r="V463" s="460"/>
      <c r="W463" s="458"/>
    </row>
    <row r="464" spans="1:23" x14ac:dyDescent="0.25">
      <c r="A464" s="458"/>
      <c r="B464" s="463"/>
      <c r="C464" s="460"/>
      <c r="D464" s="462"/>
      <c r="E464" s="463"/>
      <c r="F464" s="493"/>
      <c r="G464" s="493"/>
      <c r="H464" s="493"/>
      <c r="I464" s="493"/>
      <c r="J464" s="493"/>
      <c r="K464" s="493"/>
      <c r="M464" s="458"/>
      <c r="N464" s="458"/>
      <c r="O464" s="458"/>
      <c r="Q464" s="462"/>
      <c r="R464" s="463"/>
      <c r="S464" s="462"/>
      <c r="T464" s="463"/>
      <c r="U464" s="492"/>
      <c r="V464" s="460"/>
      <c r="W464" s="458"/>
    </row>
    <row r="465" spans="1:23" x14ac:dyDescent="0.25">
      <c r="A465" s="458"/>
      <c r="B465" s="463"/>
      <c r="C465" s="460"/>
      <c r="D465" s="462"/>
      <c r="E465" s="463"/>
      <c r="F465" s="493"/>
      <c r="G465" s="493"/>
      <c r="H465" s="493"/>
      <c r="I465" s="493"/>
      <c r="J465" s="493"/>
      <c r="K465" s="493"/>
      <c r="M465" s="458"/>
      <c r="N465" s="458"/>
      <c r="O465" s="458"/>
      <c r="Q465" s="462"/>
      <c r="R465" s="463"/>
      <c r="S465" s="462"/>
      <c r="T465" s="463"/>
      <c r="U465" s="492"/>
      <c r="V465" s="460"/>
      <c r="W465" s="458"/>
    </row>
    <row r="466" spans="1:23" x14ac:dyDescent="0.25">
      <c r="A466" s="458"/>
      <c r="B466" s="463"/>
      <c r="C466" s="460"/>
      <c r="D466" s="462"/>
      <c r="E466" s="463"/>
      <c r="F466" s="493"/>
      <c r="G466" s="493"/>
      <c r="H466" s="493"/>
      <c r="I466" s="493"/>
      <c r="J466" s="493"/>
      <c r="K466" s="493"/>
      <c r="M466" s="458"/>
      <c r="N466" s="458"/>
      <c r="O466" s="458"/>
      <c r="Q466" s="462"/>
      <c r="R466" s="463"/>
      <c r="S466" s="462"/>
      <c r="T466" s="463"/>
      <c r="U466" s="492"/>
      <c r="V466" s="460"/>
      <c r="W466" s="458"/>
    </row>
    <row r="467" spans="1:23" x14ac:dyDescent="0.25">
      <c r="A467" s="458"/>
      <c r="B467" s="463"/>
      <c r="C467" s="460"/>
      <c r="D467" s="462"/>
      <c r="E467" s="463"/>
      <c r="F467" s="493"/>
      <c r="G467" s="493"/>
      <c r="H467" s="493"/>
      <c r="I467" s="493"/>
      <c r="J467" s="493"/>
      <c r="K467" s="493"/>
      <c r="M467" s="458"/>
      <c r="N467" s="458"/>
      <c r="O467" s="458"/>
      <c r="Q467" s="462"/>
      <c r="R467" s="463"/>
      <c r="S467" s="462"/>
      <c r="T467" s="463"/>
      <c r="U467" s="492"/>
      <c r="V467" s="460"/>
      <c r="W467" s="458"/>
    </row>
    <row r="468" spans="1:23" x14ac:dyDescent="0.25">
      <c r="A468" s="458"/>
      <c r="B468" s="463"/>
      <c r="C468" s="460"/>
      <c r="D468" s="462"/>
      <c r="E468" s="463"/>
      <c r="F468" s="493"/>
      <c r="G468" s="493"/>
      <c r="H468" s="493"/>
      <c r="I468" s="493"/>
      <c r="J468" s="493"/>
      <c r="K468" s="493"/>
      <c r="M468" s="458"/>
      <c r="N468" s="458"/>
      <c r="O468" s="458"/>
      <c r="Q468" s="462"/>
      <c r="R468" s="463"/>
      <c r="S468" s="462"/>
      <c r="T468" s="463"/>
      <c r="U468" s="492"/>
      <c r="V468" s="460"/>
      <c r="W468" s="458"/>
    </row>
    <row r="469" spans="1:23" x14ac:dyDescent="0.25">
      <c r="A469" s="458"/>
      <c r="B469" s="463"/>
      <c r="C469" s="460"/>
      <c r="D469" s="462"/>
      <c r="E469" s="463"/>
      <c r="F469" s="493"/>
      <c r="G469" s="493"/>
      <c r="H469" s="493"/>
      <c r="I469" s="493"/>
      <c r="J469" s="493"/>
      <c r="K469" s="493"/>
      <c r="M469" s="458"/>
      <c r="N469" s="458"/>
      <c r="O469" s="458"/>
      <c r="Q469" s="462"/>
      <c r="R469" s="463"/>
      <c r="S469" s="462"/>
      <c r="T469" s="463"/>
      <c r="U469" s="492"/>
      <c r="V469" s="460"/>
      <c r="W469" s="458"/>
    </row>
    <row r="470" spans="1:23" x14ac:dyDescent="0.25">
      <c r="A470" s="458"/>
      <c r="B470" s="463"/>
      <c r="C470" s="460"/>
      <c r="D470" s="462"/>
      <c r="E470" s="463"/>
      <c r="F470" s="493"/>
      <c r="G470" s="493"/>
      <c r="H470" s="493"/>
      <c r="I470" s="493"/>
      <c r="J470" s="493"/>
      <c r="K470" s="493"/>
      <c r="M470" s="458"/>
      <c r="N470" s="458"/>
      <c r="O470" s="458"/>
      <c r="Q470" s="462"/>
      <c r="R470" s="463"/>
      <c r="S470" s="462"/>
      <c r="T470" s="463"/>
      <c r="U470" s="492"/>
      <c r="V470" s="460"/>
      <c r="W470" s="458"/>
    </row>
    <row r="471" spans="1:23" x14ac:dyDescent="0.25">
      <c r="A471" s="458"/>
      <c r="B471" s="463"/>
      <c r="C471" s="460"/>
      <c r="D471" s="462"/>
      <c r="E471" s="463"/>
      <c r="F471" s="493"/>
      <c r="G471" s="493"/>
      <c r="H471" s="493"/>
      <c r="I471" s="493"/>
      <c r="J471" s="493"/>
      <c r="K471" s="493"/>
      <c r="M471" s="458"/>
      <c r="N471" s="458"/>
      <c r="O471" s="458"/>
      <c r="Q471" s="462"/>
      <c r="R471" s="463"/>
      <c r="S471" s="462"/>
      <c r="T471" s="463"/>
      <c r="U471" s="492"/>
      <c r="V471" s="460"/>
      <c r="W471" s="458"/>
    </row>
    <row r="472" spans="1:23" x14ac:dyDescent="0.25">
      <c r="A472" s="458"/>
      <c r="B472" s="463"/>
      <c r="C472" s="460"/>
      <c r="D472" s="462"/>
      <c r="E472" s="463"/>
      <c r="F472" s="493"/>
      <c r="G472" s="493"/>
      <c r="H472" s="493"/>
      <c r="I472" s="493"/>
      <c r="J472" s="493"/>
      <c r="K472" s="493"/>
      <c r="M472" s="458"/>
      <c r="N472" s="458"/>
      <c r="O472" s="458"/>
      <c r="Q472" s="462"/>
      <c r="R472" s="463"/>
      <c r="S472" s="462"/>
      <c r="T472" s="463"/>
      <c r="U472" s="492"/>
      <c r="V472" s="460"/>
      <c r="W472" s="458"/>
    </row>
    <row r="473" spans="1:23" x14ac:dyDescent="0.25">
      <c r="A473" s="458"/>
      <c r="B473" s="463"/>
      <c r="C473" s="460"/>
      <c r="D473" s="462"/>
      <c r="E473" s="463"/>
      <c r="F473" s="493"/>
      <c r="G473" s="493"/>
      <c r="H473" s="493"/>
      <c r="I473" s="493"/>
      <c r="J473" s="493"/>
      <c r="K473" s="493"/>
      <c r="M473" s="458"/>
      <c r="N473" s="458"/>
      <c r="O473" s="458"/>
      <c r="Q473" s="462"/>
      <c r="R473" s="463"/>
      <c r="S473" s="462"/>
      <c r="T473" s="463"/>
      <c r="U473" s="492"/>
      <c r="V473" s="460"/>
      <c r="W473" s="458"/>
    </row>
    <row r="474" spans="1:23" x14ac:dyDescent="0.25">
      <c r="A474" s="458"/>
      <c r="B474" s="463"/>
      <c r="C474" s="460"/>
      <c r="D474" s="462"/>
      <c r="E474" s="463"/>
      <c r="F474" s="493"/>
      <c r="G474" s="493"/>
      <c r="H474" s="493"/>
      <c r="I474" s="493"/>
      <c r="J474" s="493"/>
      <c r="K474" s="493"/>
      <c r="M474" s="458"/>
      <c r="N474" s="458"/>
      <c r="O474" s="458"/>
      <c r="Q474" s="462"/>
      <c r="R474" s="463"/>
      <c r="S474" s="462"/>
      <c r="T474" s="463"/>
      <c r="U474" s="492"/>
      <c r="V474" s="460"/>
      <c r="W474" s="458"/>
    </row>
    <row r="475" spans="1:23" x14ac:dyDescent="0.25">
      <c r="A475" s="458"/>
      <c r="B475" s="463"/>
      <c r="C475" s="460"/>
      <c r="D475" s="462"/>
      <c r="E475" s="463"/>
      <c r="F475" s="493"/>
      <c r="G475" s="493"/>
      <c r="H475" s="493"/>
      <c r="I475" s="493"/>
      <c r="J475" s="493"/>
      <c r="K475" s="493"/>
      <c r="M475" s="458"/>
      <c r="N475" s="458"/>
      <c r="O475" s="458"/>
      <c r="Q475" s="462"/>
      <c r="R475" s="463"/>
      <c r="S475" s="462"/>
      <c r="T475" s="463"/>
      <c r="U475" s="492"/>
      <c r="V475" s="460"/>
      <c r="W475" s="458"/>
    </row>
    <row r="476" spans="1:23" x14ac:dyDescent="0.25">
      <c r="A476" s="458"/>
      <c r="B476" s="463"/>
      <c r="C476" s="460"/>
      <c r="D476" s="462"/>
      <c r="E476" s="463"/>
      <c r="F476" s="493"/>
      <c r="G476" s="493"/>
      <c r="H476" s="493"/>
      <c r="I476" s="493"/>
      <c r="J476" s="493"/>
      <c r="K476" s="493"/>
      <c r="M476" s="458"/>
      <c r="N476" s="458"/>
      <c r="O476" s="458"/>
      <c r="Q476" s="462"/>
      <c r="R476" s="463"/>
      <c r="S476" s="462"/>
      <c r="T476" s="463"/>
      <c r="U476" s="492"/>
      <c r="V476" s="460"/>
      <c r="W476" s="458"/>
    </row>
    <row r="477" spans="1:23" x14ac:dyDescent="0.25">
      <c r="A477" s="458"/>
      <c r="B477" s="463"/>
      <c r="C477" s="460"/>
      <c r="D477" s="462"/>
      <c r="E477" s="463"/>
      <c r="F477" s="493"/>
      <c r="G477" s="493"/>
      <c r="H477" s="493"/>
      <c r="I477" s="493"/>
      <c r="J477" s="493"/>
      <c r="K477" s="493"/>
      <c r="M477" s="458"/>
      <c r="N477" s="458"/>
      <c r="O477" s="458"/>
      <c r="Q477" s="462"/>
      <c r="R477" s="463"/>
      <c r="S477" s="462"/>
      <c r="T477" s="463"/>
      <c r="U477" s="492"/>
      <c r="V477" s="460"/>
      <c r="W477" s="458"/>
    </row>
    <row r="478" spans="1:23" x14ac:dyDescent="0.25">
      <c r="A478" s="458"/>
      <c r="B478" s="463"/>
      <c r="C478" s="460"/>
      <c r="D478" s="462"/>
      <c r="E478" s="463"/>
      <c r="F478" s="493"/>
      <c r="G478" s="493"/>
      <c r="H478" s="493"/>
      <c r="I478" s="493"/>
      <c r="J478" s="493"/>
      <c r="K478" s="493"/>
      <c r="M478" s="458"/>
      <c r="N478" s="458"/>
      <c r="O478" s="458"/>
      <c r="Q478" s="462"/>
      <c r="R478" s="463"/>
      <c r="S478" s="462"/>
      <c r="T478" s="463"/>
      <c r="U478" s="492"/>
      <c r="V478" s="460"/>
      <c r="W478" s="458"/>
    </row>
    <row r="479" spans="1:23" x14ac:dyDescent="0.25">
      <c r="A479" s="458"/>
      <c r="B479" s="463"/>
      <c r="C479" s="460"/>
      <c r="D479" s="462"/>
      <c r="E479" s="463"/>
      <c r="F479" s="493"/>
      <c r="G479" s="493"/>
      <c r="H479" s="493"/>
      <c r="I479" s="493"/>
      <c r="J479" s="493"/>
      <c r="K479" s="493"/>
      <c r="M479" s="458"/>
      <c r="N479" s="458"/>
      <c r="O479" s="458"/>
      <c r="Q479" s="462"/>
      <c r="R479" s="463"/>
      <c r="S479" s="462"/>
      <c r="T479" s="463"/>
      <c r="U479" s="492"/>
      <c r="V479" s="460"/>
      <c r="W479" s="458"/>
    </row>
    <row r="480" spans="1:23" x14ac:dyDescent="0.25">
      <c r="A480" s="458"/>
      <c r="B480" s="463"/>
      <c r="C480" s="460"/>
      <c r="D480" s="462"/>
      <c r="E480" s="463"/>
      <c r="F480" s="493"/>
      <c r="G480" s="493"/>
      <c r="H480" s="493"/>
      <c r="I480" s="493"/>
      <c r="J480" s="493"/>
      <c r="K480" s="493"/>
      <c r="M480" s="458"/>
      <c r="N480" s="458"/>
      <c r="O480" s="458"/>
      <c r="Q480" s="462"/>
      <c r="R480" s="463"/>
      <c r="S480" s="462"/>
      <c r="T480" s="463"/>
      <c r="U480" s="492"/>
      <c r="V480" s="460"/>
      <c r="W480" s="458"/>
    </row>
    <row r="481" spans="1:23" x14ac:dyDescent="0.25">
      <c r="A481" s="458"/>
      <c r="B481" s="463"/>
      <c r="C481" s="460"/>
      <c r="D481" s="462"/>
      <c r="E481" s="463"/>
      <c r="F481" s="493"/>
      <c r="G481" s="493"/>
      <c r="H481" s="493"/>
      <c r="I481" s="493"/>
      <c r="J481" s="493"/>
      <c r="K481" s="493"/>
      <c r="M481" s="458"/>
      <c r="N481" s="458"/>
      <c r="O481" s="458"/>
      <c r="Q481" s="462"/>
      <c r="R481" s="463"/>
      <c r="S481" s="462"/>
      <c r="T481" s="463"/>
      <c r="U481" s="492"/>
      <c r="V481" s="460"/>
      <c r="W481" s="458"/>
    </row>
    <row r="482" spans="1:23" x14ac:dyDescent="0.25">
      <c r="A482" s="458"/>
      <c r="B482" s="463"/>
      <c r="C482" s="460"/>
      <c r="D482" s="462"/>
      <c r="E482" s="463"/>
      <c r="F482" s="493"/>
      <c r="G482" s="493"/>
      <c r="H482" s="493"/>
      <c r="I482" s="493"/>
      <c r="J482" s="493"/>
      <c r="K482" s="493"/>
      <c r="M482" s="458"/>
      <c r="N482" s="458"/>
      <c r="O482" s="458"/>
      <c r="Q482" s="462"/>
      <c r="R482" s="463"/>
      <c r="S482" s="462"/>
      <c r="T482" s="463"/>
      <c r="U482" s="492"/>
      <c r="V482" s="460"/>
      <c r="W482" s="458"/>
    </row>
    <row r="483" spans="1:23" x14ac:dyDescent="0.25">
      <c r="A483" s="458"/>
      <c r="B483" s="463"/>
      <c r="C483" s="460"/>
      <c r="D483" s="462"/>
      <c r="E483" s="463"/>
      <c r="F483" s="493"/>
      <c r="G483" s="493"/>
      <c r="H483" s="493"/>
      <c r="I483" s="493"/>
      <c r="J483" s="493"/>
      <c r="K483" s="493"/>
      <c r="M483" s="458"/>
      <c r="N483" s="458"/>
      <c r="O483" s="458"/>
      <c r="Q483" s="462"/>
      <c r="R483" s="463"/>
      <c r="S483" s="462"/>
      <c r="T483" s="463"/>
      <c r="U483" s="492"/>
      <c r="V483" s="460"/>
      <c r="W483" s="458"/>
    </row>
    <row r="484" spans="1:23" x14ac:dyDescent="0.25">
      <c r="A484" s="458"/>
      <c r="B484" s="463"/>
      <c r="C484" s="460"/>
      <c r="D484" s="462"/>
      <c r="E484" s="463"/>
      <c r="F484" s="493"/>
      <c r="G484" s="493"/>
      <c r="H484" s="493"/>
      <c r="I484" s="493"/>
      <c r="J484" s="493"/>
      <c r="K484" s="493"/>
      <c r="M484" s="458"/>
      <c r="N484" s="458"/>
      <c r="O484" s="458"/>
      <c r="Q484" s="462"/>
      <c r="R484" s="463"/>
      <c r="S484" s="462"/>
      <c r="T484" s="463"/>
      <c r="U484" s="492"/>
      <c r="V484" s="460"/>
      <c r="W484" s="458"/>
    </row>
    <row r="485" spans="1:23" x14ac:dyDescent="0.25">
      <c r="A485" s="458"/>
      <c r="B485" s="463"/>
      <c r="C485" s="460"/>
      <c r="D485" s="462"/>
      <c r="E485" s="463"/>
      <c r="F485" s="493"/>
      <c r="G485" s="493"/>
      <c r="H485" s="493"/>
      <c r="I485" s="493"/>
      <c r="J485" s="493"/>
      <c r="K485" s="493"/>
      <c r="M485" s="458"/>
      <c r="N485" s="458"/>
      <c r="O485" s="458"/>
      <c r="Q485" s="462"/>
      <c r="R485" s="463"/>
      <c r="S485" s="462"/>
      <c r="T485" s="463"/>
      <c r="U485" s="492"/>
      <c r="V485" s="460"/>
      <c r="W485" s="458"/>
    </row>
    <row r="486" spans="1:23" x14ac:dyDescent="0.25">
      <c r="A486" s="458"/>
      <c r="B486" s="463"/>
      <c r="C486" s="460"/>
      <c r="D486" s="462"/>
      <c r="E486" s="463"/>
      <c r="F486" s="493"/>
      <c r="G486" s="493"/>
      <c r="H486" s="493"/>
      <c r="I486" s="493"/>
      <c r="J486" s="493"/>
      <c r="K486" s="493"/>
      <c r="M486" s="458"/>
      <c r="N486" s="458"/>
      <c r="O486" s="458"/>
      <c r="Q486" s="462"/>
      <c r="R486" s="463"/>
      <c r="S486" s="462"/>
      <c r="T486" s="463"/>
      <c r="U486" s="492"/>
      <c r="V486" s="460"/>
      <c r="W486" s="458"/>
    </row>
    <row r="487" spans="1:23" x14ac:dyDescent="0.25">
      <c r="A487" s="458"/>
      <c r="B487" s="463"/>
      <c r="C487" s="460"/>
      <c r="D487" s="462"/>
      <c r="E487" s="463"/>
      <c r="F487" s="493"/>
      <c r="G487" s="493"/>
      <c r="H487" s="493"/>
      <c r="I487" s="493"/>
      <c r="J487" s="493"/>
      <c r="K487" s="493"/>
      <c r="M487" s="458"/>
      <c r="N487" s="458"/>
      <c r="O487" s="458"/>
      <c r="Q487" s="462"/>
      <c r="R487" s="463"/>
      <c r="S487" s="462"/>
      <c r="T487" s="463"/>
      <c r="U487" s="492"/>
      <c r="V487" s="460"/>
      <c r="W487" s="458"/>
    </row>
    <row r="488" spans="1:23" x14ac:dyDescent="0.25">
      <c r="A488" s="458"/>
      <c r="B488" s="463"/>
      <c r="C488" s="460"/>
      <c r="D488" s="462"/>
      <c r="E488" s="463"/>
      <c r="F488" s="493"/>
      <c r="G488" s="493"/>
      <c r="H488" s="493"/>
      <c r="I488" s="493"/>
      <c r="J488" s="493"/>
      <c r="K488" s="493"/>
      <c r="M488" s="458"/>
      <c r="N488" s="458"/>
      <c r="O488" s="458"/>
      <c r="Q488" s="462"/>
      <c r="R488" s="463"/>
      <c r="S488" s="462"/>
      <c r="T488" s="463"/>
      <c r="U488" s="492"/>
      <c r="V488" s="460"/>
      <c r="W488" s="458"/>
    </row>
    <row r="489" spans="1:23" x14ac:dyDescent="0.25">
      <c r="A489" s="458"/>
      <c r="B489" s="463"/>
      <c r="C489" s="460"/>
      <c r="D489" s="462"/>
      <c r="E489" s="463"/>
      <c r="F489" s="493"/>
      <c r="G489" s="493"/>
      <c r="H489" s="493"/>
      <c r="I489" s="493"/>
      <c r="J489" s="493"/>
      <c r="K489" s="493"/>
      <c r="M489" s="458"/>
      <c r="N489" s="458"/>
      <c r="O489" s="458"/>
      <c r="Q489" s="462"/>
      <c r="R489" s="463"/>
      <c r="S489" s="462"/>
      <c r="T489" s="463"/>
      <c r="U489" s="492"/>
      <c r="V489" s="460"/>
      <c r="W489" s="458"/>
    </row>
    <row r="490" spans="1:23" x14ac:dyDescent="0.25">
      <c r="A490" s="458"/>
      <c r="B490" s="463"/>
      <c r="C490" s="460"/>
      <c r="D490" s="462"/>
      <c r="E490" s="463"/>
      <c r="F490" s="493"/>
      <c r="G490" s="493"/>
      <c r="H490" s="493"/>
      <c r="I490" s="493"/>
      <c r="J490" s="493"/>
      <c r="K490" s="493"/>
      <c r="M490" s="458"/>
      <c r="N490" s="458"/>
      <c r="O490" s="458"/>
      <c r="Q490" s="462"/>
      <c r="R490" s="463"/>
      <c r="S490" s="462"/>
      <c r="T490" s="463"/>
      <c r="U490" s="492"/>
      <c r="V490" s="460"/>
      <c r="W490" s="458"/>
    </row>
    <row r="491" spans="1:23" x14ac:dyDescent="0.25">
      <c r="A491" s="458"/>
      <c r="B491" s="463"/>
      <c r="C491" s="460"/>
      <c r="D491" s="462"/>
      <c r="E491" s="463"/>
      <c r="F491" s="493"/>
      <c r="G491" s="493"/>
      <c r="H491" s="493"/>
      <c r="I491" s="493"/>
      <c r="J491" s="493"/>
      <c r="K491" s="493"/>
      <c r="M491" s="458"/>
      <c r="N491" s="458"/>
      <c r="O491" s="458"/>
      <c r="Q491" s="462"/>
      <c r="R491" s="463"/>
      <c r="S491" s="462"/>
      <c r="T491" s="463"/>
      <c r="U491" s="492"/>
      <c r="V491" s="460"/>
      <c r="W491" s="458"/>
    </row>
    <row r="492" spans="1:23" x14ac:dyDescent="0.25">
      <c r="A492" s="458"/>
      <c r="B492" s="463"/>
      <c r="C492" s="460"/>
      <c r="D492" s="462"/>
      <c r="E492" s="463"/>
      <c r="F492" s="493"/>
      <c r="G492" s="493"/>
      <c r="H492" s="493"/>
      <c r="I492" s="493"/>
      <c r="J492" s="493"/>
      <c r="K492" s="493"/>
      <c r="M492" s="458"/>
      <c r="N492" s="458"/>
      <c r="O492" s="458"/>
      <c r="Q492" s="462"/>
      <c r="R492" s="463"/>
      <c r="S492" s="462"/>
      <c r="T492" s="463"/>
      <c r="U492" s="492"/>
      <c r="V492" s="460"/>
      <c r="W492" s="458"/>
    </row>
    <row r="493" spans="1:23" x14ac:dyDescent="0.25">
      <c r="A493" s="458"/>
      <c r="B493" s="463"/>
      <c r="C493" s="460"/>
      <c r="D493" s="462"/>
      <c r="E493" s="463"/>
      <c r="F493" s="493"/>
      <c r="G493" s="493"/>
      <c r="H493" s="493"/>
      <c r="I493" s="493"/>
      <c r="J493" s="493"/>
      <c r="K493" s="493"/>
      <c r="M493" s="458"/>
      <c r="N493" s="458"/>
      <c r="O493" s="458"/>
      <c r="Q493" s="462"/>
      <c r="R493" s="463"/>
      <c r="S493" s="462"/>
      <c r="T493" s="463"/>
      <c r="U493" s="492"/>
      <c r="V493" s="460"/>
      <c r="W493" s="458"/>
    </row>
    <row r="494" spans="1:23" x14ac:dyDescent="0.25">
      <c r="A494" s="458"/>
      <c r="B494" s="463"/>
      <c r="C494" s="460"/>
      <c r="D494" s="462"/>
      <c r="E494" s="463"/>
      <c r="F494" s="493"/>
      <c r="G494" s="493"/>
      <c r="H494" s="493"/>
      <c r="I494" s="493"/>
      <c r="J494" s="493"/>
      <c r="K494" s="493"/>
      <c r="M494" s="458"/>
      <c r="N494" s="458"/>
      <c r="O494" s="458"/>
      <c r="Q494" s="462"/>
      <c r="R494" s="463"/>
      <c r="S494" s="462"/>
      <c r="T494" s="463"/>
      <c r="U494" s="492"/>
      <c r="V494" s="460"/>
      <c r="W494" s="458"/>
    </row>
    <row r="495" spans="1:23" x14ac:dyDescent="0.25">
      <c r="A495" s="458"/>
      <c r="B495" s="463"/>
      <c r="C495" s="460"/>
      <c r="D495" s="462"/>
      <c r="E495" s="463"/>
      <c r="F495" s="493"/>
      <c r="G495" s="493"/>
      <c r="H495" s="493"/>
      <c r="I495" s="493"/>
      <c r="J495" s="493"/>
      <c r="K495" s="493"/>
      <c r="M495" s="458"/>
      <c r="N495" s="458"/>
      <c r="O495" s="458"/>
      <c r="Q495" s="462"/>
      <c r="R495" s="463"/>
      <c r="S495" s="462"/>
      <c r="T495" s="463"/>
      <c r="U495" s="492"/>
      <c r="V495" s="460"/>
      <c r="W495" s="458"/>
    </row>
    <row r="496" spans="1:23" x14ac:dyDescent="0.25">
      <c r="A496" s="458"/>
      <c r="B496" s="463"/>
      <c r="C496" s="460"/>
      <c r="D496" s="462"/>
      <c r="E496" s="463"/>
      <c r="F496" s="493"/>
      <c r="G496" s="493"/>
      <c r="H496" s="493"/>
      <c r="I496" s="493"/>
      <c r="J496" s="493"/>
      <c r="K496" s="493"/>
      <c r="M496" s="458"/>
      <c r="N496" s="458"/>
      <c r="O496" s="458"/>
      <c r="Q496" s="462"/>
      <c r="R496" s="463"/>
      <c r="S496" s="462"/>
      <c r="T496" s="463"/>
      <c r="U496" s="492"/>
      <c r="V496" s="460"/>
      <c r="W496" s="458"/>
    </row>
    <row r="497" spans="1:23" x14ac:dyDescent="0.25">
      <c r="A497" s="458"/>
      <c r="B497" s="463"/>
      <c r="C497" s="460"/>
      <c r="D497" s="462"/>
      <c r="E497" s="463"/>
      <c r="F497" s="493"/>
      <c r="G497" s="493"/>
      <c r="H497" s="493"/>
      <c r="I497" s="493"/>
      <c r="J497" s="493"/>
      <c r="K497" s="493"/>
      <c r="M497" s="458"/>
      <c r="N497" s="458"/>
      <c r="O497" s="458"/>
      <c r="Q497" s="462"/>
      <c r="R497" s="463"/>
      <c r="S497" s="462"/>
      <c r="T497" s="463"/>
      <c r="U497" s="492"/>
      <c r="V497" s="460"/>
      <c r="W497" s="458"/>
    </row>
    <row r="498" spans="1:23" x14ac:dyDescent="0.25">
      <c r="A498" s="458"/>
      <c r="B498" s="463"/>
      <c r="C498" s="460"/>
      <c r="D498" s="462"/>
      <c r="E498" s="463"/>
      <c r="F498" s="493"/>
      <c r="G498" s="493"/>
      <c r="H498" s="493"/>
      <c r="I498" s="493"/>
      <c r="J498" s="493"/>
      <c r="K498" s="493"/>
      <c r="M498" s="458"/>
      <c r="N498" s="458"/>
      <c r="O498" s="458"/>
      <c r="Q498" s="462"/>
      <c r="R498" s="463"/>
      <c r="S498" s="462"/>
      <c r="T498" s="463"/>
      <c r="U498" s="492"/>
      <c r="V498" s="460"/>
      <c r="W498" s="458"/>
    </row>
    <row r="499" spans="1:23" x14ac:dyDescent="0.25">
      <c r="A499" s="458"/>
      <c r="B499" s="463"/>
      <c r="C499" s="460"/>
      <c r="D499" s="462"/>
      <c r="E499" s="463"/>
      <c r="F499" s="493"/>
      <c r="G499" s="493"/>
      <c r="H499" s="493"/>
      <c r="I499" s="493"/>
      <c r="J499" s="493"/>
      <c r="K499" s="493"/>
      <c r="M499" s="458"/>
      <c r="N499" s="458"/>
      <c r="O499" s="458"/>
      <c r="Q499" s="462"/>
      <c r="R499" s="463"/>
      <c r="S499" s="462"/>
      <c r="T499" s="463"/>
      <c r="U499" s="492"/>
      <c r="V499" s="460"/>
      <c r="W499" s="458"/>
    </row>
    <row r="500" spans="1:23" x14ac:dyDescent="0.25">
      <c r="A500" s="458"/>
      <c r="B500" s="463"/>
      <c r="C500" s="460"/>
      <c r="D500" s="462"/>
      <c r="E500" s="463"/>
      <c r="F500" s="493"/>
      <c r="G500" s="493"/>
      <c r="H500" s="493"/>
      <c r="I500" s="493"/>
      <c r="J500" s="493"/>
      <c r="K500" s="493"/>
      <c r="M500" s="458"/>
      <c r="N500" s="458"/>
      <c r="O500" s="458"/>
      <c r="Q500" s="462"/>
      <c r="R500" s="463"/>
      <c r="S500" s="462"/>
      <c r="T500" s="463"/>
      <c r="U500" s="492"/>
      <c r="V500" s="460"/>
      <c r="W500" s="458"/>
    </row>
    <row r="501" spans="1:23" x14ac:dyDescent="0.25">
      <c r="A501" s="458"/>
      <c r="B501" s="463"/>
      <c r="C501" s="460"/>
      <c r="D501" s="462"/>
      <c r="E501" s="463"/>
      <c r="F501" s="493"/>
      <c r="G501" s="493"/>
      <c r="H501" s="493"/>
      <c r="I501" s="493"/>
      <c r="J501" s="493"/>
      <c r="K501" s="493"/>
      <c r="M501" s="458"/>
      <c r="N501" s="458"/>
      <c r="O501" s="458"/>
      <c r="Q501" s="462"/>
      <c r="R501" s="463"/>
      <c r="S501" s="462"/>
      <c r="T501" s="463"/>
      <c r="U501" s="492"/>
      <c r="V501" s="460"/>
      <c r="W501" s="458"/>
    </row>
    <row r="502" spans="1:23" x14ac:dyDescent="0.25">
      <c r="A502" s="458"/>
      <c r="B502" s="463"/>
      <c r="C502" s="460"/>
      <c r="D502" s="462"/>
      <c r="E502" s="463"/>
      <c r="F502" s="493"/>
      <c r="G502" s="493"/>
      <c r="H502" s="493"/>
      <c r="I502" s="493"/>
      <c r="J502" s="493"/>
      <c r="K502" s="493"/>
      <c r="M502" s="458"/>
      <c r="N502" s="458"/>
      <c r="O502" s="458"/>
      <c r="Q502" s="462"/>
      <c r="R502" s="463"/>
      <c r="S502" s="462"/>
      <c r="T502" s="463"/>
      <c r="U502" s="492"/>
      <c r="V502" s="460"/>
      <c r="W502" s="458"/>
    </row>
    <row r="503" spans="1:23" x14ac:dyDescent="0.25">
      <c r="A503" s="458"/>
      <c r="B503" s="463"/>
      <c r="C503" s="460"/>
      <c r="D503" s="462"/>
      <c r="E503" s="463"/>
      <c r="F503" s="493"/>
      <c r="G503" s="493"/>
      <c r="H503" s="493"/>
      <c r="I503" s="493"/>
      <c r="J503" s="493"/>
      <c r="K503" s="493"/>
      <c r="M503" s="458"/>
      <c r="N503" s="458"/>
      <c r="O503" s="458"/>
      <c r="Q503" s="462"/>
      <c r="R503" s="463"/>
      <c r="S503" s="462"/>
      <c r="T503" s="463"/>
      <c r="U503" s="492"/>
      <c r="V503" s="460"/>
      <c r="W503" s="458"/>
    </row>
    <row r="504" spans="1:23" x14ac:dyDescent="0.25">
      <c r="A504" s="458"/>
      <c r="B504" s="463"/>
      <c r="C504" s="460"/>
      <c r="D504" s="462"/>
      <c r="E504" s="463"/>
      <c r="F504" s="493"/>
      <c r="G504" s="493"/>
      <c r="H504" s="493"/>
      <c r="I504" s="493"/>
      <c r="J504" s="493"/>
      <c r="K504" s="493"/>
      <c r="M504" s="458"/>
      <c r="N504" s="458"/>
      <c r="O504" s="458"/>
      <c r="Q504" s="462"/>
      <c r="R504" s="463"/>
      <c r="S504" s="462"/>
      <c r="T504" s="463"/>
      <c r="U504" s="492"/>
      <c r="V504" s="460"/>
      <c r="W504" s="458"/>
    </row>
    <row r="505" spans="1:23" x14ac:dyDescent="0.25">
      <c r="A505" s="458"/>
      <c r="B505" s="463"/>
      <c r="C505" s="460"/>
      <c r="D505" s="462"/>
      <c r="E505" s="463"/>
      <c r="F505" s="493"/>
      <c r="G505" s="493"/>
      <c r="H505" s="493"/>
      <c r="I505" s="493"/>
      <c r="J505" s="493"/>
      <c r="K505" s="493"/>
      <c r="M505" s="458"/>
      <c r="N505" s="458"/>
      <c r="O505" s="458"/>
      <c r="Q505" s="462"/>
      <c r="R505" s="463"/>
      <c r="S505" s="462"/>
      <c r="T505" s="463"/>
      <c r="U505" s="492"/>
      <c r="V505" s="460"/>
      <c r="W505" s="458"/>
    </row>
    <row r="506" spans="1:23" x14ac:dyDescent="0.25">
      <c r="A506" s="458"/>
      <c r="B506" s="463"/>
      <c r="C506" s="460"/>
      <c r="D506" s="462"/>
      <c r="E506" s="463"/>
      <c r="F506" s="493"/>
      <c r="G506" s="493"/>
      <c r="H506" s="493"/>
      <c r="I506" s="493"/>
      <c r="J506" s="493"/>
      <c r="K506" s="493"/>
      <c r="M506" s="458"/>
      <c r="N506" s="458"/>
      <c r="O506" s="458"/>
      <c r="Q506" s="462"/>
      <c r="R506" s="463"/>
      <c r="S506" s="462"/>
      <c r="T506" s="463"/>
      <c r="U506" s="492"/>
      <c r="V506" s="460"/>
      <c r="W506" s="458"/>
    </row>
    <row r="507" spans="1:23" x14ac:dyDescent="0.25">
      <c r="A507" s="458"/>
      <c r="B507" s="463"/>
      <c r="C507" s="460"/>
      <c r="D507" s="462"/>
      <c r="E507" s="463"/>
      <c r="F507" s="493"/>
      <c r="G507" s="493"/>
      <c r="H507" s="493"/>
      <c r="I507" s="493"/>
      <c r="J507" s="493"/>
      <c r="K507" s="493"/>
      <c r="M507" s="458"/>
      <c r="N507" s="458"/>
      <c r="O507" s="458"/>
      <c r="Q507" s="462"/>
      <c r="R507" s="463"/>
      <c r="S507" s="462"/>
      <c r="T507" s="463"/>
      <c r="U507" s="492"/>
      <c r="V507" s="460"/>
      <c r="W507" s="458"/>
    </row>
    <row r="508" spans="1:23" x14ac:dyDescent="0.25">
      <c r="A508" s="458"/>
      <c r="B508" s="463"/>
      <c r="C508" s="460"/>
      <c r="D508" s="462"/>
      <c r="E508" s="463"/>
      <c r="F508" s="493"/>
      <c r="G508" s="493"/>
      <c r="H508" s="493"/>
      <c r="I508" s="493"/>
      <c r="J508" s="493"/>
      <c r="K508" s="493"/>
      <c r="M508" s="458"/>
      <c r="N508" s="458"/>
      <c r="O508" s="458"/>
      <c r="Q508" s="462"/>
      <c r="R508" s="463"/>
      <c r="S508" s="462"/>
      <c r="T508" s="463"/>
      <c r="U508" s="492"/>
      <c r="V508" s="460"/>
      <c r="W508" s="458"/>
    </row>
    <row r="509" spans="1:23" x14ac:dyDescent="0.25">
      <c r="A509" s="458"/>
      <c r="B509" s="463"/>
      <c r="C509" s="460"/>
      <c r="D509" s="462"/>
      <c r="E509" s="463"/>
      <c r="F509" s="493"/>
      <c r="G509" s="493"/>
      <c r="H509" s="493"/>
      <c r="I509" s="493"/>
      <c r="J509" s="493"/>
      <c r="K509" s="493"/>
      <c r="M509" s="458"/>
      <c r="N509" s="458"/>
      <c r="O509" s="458"/>
      <c r="Q509" s="462"/>
      <c r="R509" s="463"/>
      <c r="S509" s="462"/>
      <c r="T509" s="463"/>
      <c r="U509" s="492"/>
      <c r="V509" s="460"/>
      <c r="W509" s="458"/>
    </row>
    <row r="510" spans="1:23" x14ac:dyDescent="0.25">
      <c r="A510" s="458"/>
      <c r="B510" s="463"/>
      <c r="C510" s="460"/>
      <c r="D510" s="462"/>
      <c r="E510" s="463"/>
      <c r="F510" s="493"/>
      <c r="G510" s="493"/>
      <c r="H510" s="493"/>
      <c r="I510" s="493"/>
      <c r="J510" s="493"/>
      <c r="K510" s="493"/>
      <c r="M510" s="458"/>
      <c r="N510" s="458"/>
      <c r="O510" s="458"/>
      <c r="Q510" s="462"/>
      <c r="R510" s="463"/>
      <c r="S510" s="462"/>
      <c r="T510" s="463"/>
      <c r="U510" s="492"/>
      <c r="V510" s="460"/>
      <c r="W510" s="458"/>
    </row>
    <row r="511" spans="1:23" x14ac:dyDescent="0.25">
      <c r="A511" s="458"/>
      <c r="B511" s="463"/>
      <c r="C511" s="460"/>
      <c r="D511" s="462"/>
      <c r="E511" s="463"/>
      <c r="F511" s="493"/>
      <c r="G511" s="493"/>
      <c r="H511" s="493"/>
      <c r="I511" s="493"/>
      <c r="J511" s="493"/>
      <c r="K511" s="493"/>
      <c r="M511" s="458"/>
      <c r="N511" s="458"/>
      <c r="O511" s="458"/>
      <c r="Q511" s="462"/>
      <c r="R511" s="463"/>
      <c r="S511" s="462"/>
      <c r="T511" s="463"/>
      <c r="U511" s="492"/>
      <c r="V511" s="460"/>
      <c r="W511" s="458"/>
    </row>
    <row r="512" spans="1:23" x14ac:dyDescent="0.25">
      <c r="A512" s="458"/>
      <c r="B512" s="463"/>
      <c r="C512" s="460"/>
      <c r="D512" s="462"/>
      <c r="E512" s="463"/>
      <c r="F512" s="493"/>
      <c r="G512" s="493"/>
      <c r="H512" s="493"/>
      <c r="I512" s="493"/>
      <c r="J512" s="493"/>
      <c r="K512" s="493"/>
      <c r="M512" s="458"/>
      <c r="N512" s="458"/>
      <c r="O512" s="458"/>
      <c r="Q512" s="462"/>
      <c r="R512" s="463"/>
      <c r="S512" s="462"/>
      <c r="T512" s="463"/>
      <c r="U512" s="492"/>
      <c r="V512" s="460"/>
      <c r="W512" s="458"/>
    </row>
    <row r="513" spans="1:23" x14ac:dyDescent="0.25">
      <c r="A513" s="458"/>
      <c r="B513" s="463"/>
      <c r="C513" s="460"/>
      <c r="D513" s="462"/>
      <c r="E513" s="463"/>
      <c r="F513" s="493"/>
      <c r="G513" s="493"/>
      <c r="H513" s="493"/>
      <c r="I513" s="493"/>
      <c r="J513" s="493"/>
      <c r="K513" s="493"/>
      <c r="M513" s="458"/>
      <c r="N513" s="458"/>
      <c r="O513" s="458"/>
      <c r="Q513" s="462"/>
      <c r="R513" s="463"/>
      <c r="S513" s="462"/>
      <c r="T513" s="463"/>
      <c r="U513" s="492"/>
      <c r="V513" s="460"/>
      <c r="W513" s="458"/>
    </row>
    <row r="514" spans="1:23" x14ac:dyDescent="0.25">
      <c r="A514" s="458"/>
      <c r="B514" s="463"/>
      <c r="C514" s="460"/>
      <c r="D514" s="462"/>
      <c r="E514" s="463"/>
      <c r="F514" s="493"/>
      <c r="G514" s="493"/>
      <c r="H514" s="493"/>
      <c r="I514" s="493"/>
      <c r="J514" s="493"/>
      <c r="K514" s="493"/>
      <c r="M514" s="458"/>
      <c r="N514" s="458"/>
      <c r="O514" s="458"/>
      <c r="Q514" s="462"/>
      <c r="R514" s="463"/>
      <c r="S514" s="462"/>
      <c r="T514" s="463"/>
      <c r="U514" s="492"/>
      <c r="V514" s="460"/>
      <c r="W514" s="458"/>
    </row>
    <row r="515" spans="1:23" x14ac:dyDescent="0.25">
      <c r="A515" s="458"/>
      <c r="B515" s="463"/>
      <c r="C515" s="460"/>
      <c r="D515" s="462"/>
      <c r="E515" s="463"/>
      <c r="F515" s="493"/>
      <c r="G515" s="493"/>
      <c r="H515" s="493"/>
      <c r="I515" s="493"/>
      <c r="J515" s="493"/>
      <c r="K515" s="493"/>
      <c r="M515" s="458"/>
      <c r="N515" s="458"/>
      <c r="O515" s="458"/>
      <c r="Q515" s="462"/>
      <c r="R515" s="463"/>
      <c r="S515" s="462"/>
      <c r="T515" s="463"/>
      <c r="U515" s="492"/>
      <c r="V515" s="460"/>
      <c r="W515" s="458"/>
    </row>
    <row r="516" spans="1:23" x14ac:dyDescent="0.25">
      <c r="A516" s="458"/>
      <c r="B516" s="463"/>
      <c r="C516" s="460"/>
      <c r="D516" s="462"/>
      <c r="E516" s="463"/>
      <c r="F516" s="493"/>
      <c r="G516" s="493"/>
      <c r="H516" s="493"/>
      <c r="I516" s="493"/>
      <c r="J516" s="493"/>
      <c r="K516" s="493"/>
      <c r="M516" s="458"/>
      <c r="N516" s="458"/>
      <c r="O516" s="458"/>
      <c r="Q516" s="462"/>
      <c r="R516" s="463"/>
      <c r="S516" s="462"/>
      <c r="T516" s="463"/>
      <c r="U516" s="492"/>
      <c r="V516" s="460"/>
      <c r="W516" s="458"/>
    </row>
    <row r="517" spans="1:23" x14ac:dyDescent="0.25">
      <c r="A517" s="458"/>
      <c r="B517" s="463"/>
      <c r="C517" s="460"/>
      <c r="D517" s="462"/>
      <c r="E517" s="463"/>
      <c r="F517" s="493"/>
      <c r="G517" s="493"/>
      <c r="H517" s="493"/>
      <c r="I517" s="493"/>
      <c r="J517" s="493"/>
      <c r="K517" s="493"/>
      <c r="M517" s="458"/>
      <c r="N517" s="458"/>
      <c r="O517" s="458"/>
      <c r="Q517" s="462"/>
      <c r="R517" s="463"/>
      <c r="S517" s="462"/>
      <c r="T517" s="463"/>
      <c r="U517" s="492"/>
      <c r="V517" s="460"/>
      <c r="W517" s="458"/>
    </row>
    <row r="518" spans="1:23" x14ac:dyDescent="0.25">
      <c r="A518" s="458"/>
      <c r="B518" s="463"/>
      <c r="C518" s="460"/>
      <c r="D518" s="462"/>
      <c r="E518" s="463"/>
      <c r="F518" s="493"/>
      <c r="G518" s="493"/>
      <c r="H518" s="493"/>
      <c r="I518" s="493"/>
      <c r="J518" s="493"/>
      <c r="K518" s="493"/>
      <c r="M518" s="458"/>
      <c r="N518" s="458"/>
      <c r="O518" s="458"/>
      <c r="Q518" s="462"/>
      <c r="R518" s="463"/>
      <c r="S518" s="462"/>
      <c r="T518" s="463"/>
      <c r="U518" s="492"/>
      <c r="V518" s="460"/>
      <c r="W518" s="458"/>
    </row>
    <row r="519" spans="1:23" x14ac:dyDescent="0.25">
      <c r="A519" s="458"/>
      <c r="B519" s="463"/>
      <c r="C519" s="460"/>
      <c r="D519" s="462"/>
      <c r="E519" s="463"/>
      <c r="F519" s="493"/>
      <c r="G519" s="493"/>
      <c r="H519" s="493"/>
      <c r="I519" s="493"/>
      <c r="J519" s="493"/>
      <c r="K519" s="493"/>
      <c r="M519" s="458"/>
      <c r="N519" s="458"/>
      <c r="O519" s="458"/>
      <c r="Q519" s="462"/>
      <c r="R519" s="463"/>
      <c r="S519" s="462"/>
      <c r="T519" s="463"/>
      <c r="U519" s="492"/>
      <c r="V519" s="460"/>
      <c r="W519" s="458"/>
    </row>
    <row r="520" spans="1:23" x14ac:dyDescent="0.25">
      <c r="A520" s="458"/>
      <c r="B520" s="463"/>
      <c r="C520" s="460"/>
      <c r="D520" s="462"/>
      <c r="E520" s="463"/>
      <c r="F520" s="493"/>
      <c r="G520" s="493"/>
      <c r="H520" s="493"/>
      <c r="I520" s="493"/>
      <c r="J520" s="493"/>
      <c r="K520" s="493"/>
      <c r="M520" s="458"/>
      <c r="N520" s="458"/>
      <c r="O520" s="458"/>
      <c r="Q520" s="462"/>
      <c r="R520" s="463"/>
      <c r="S520" s="462"/>
      <c r="T520" s="463"/>
      <c r="U520" s="492"/>
      <c r="V520" s="460"/>
      <c r="W520" s="458"/>
    </row>
    <row r="521" spans="1:23" x14ac:dyDescent="0.25">
      <c r="A521" s="458"/>
      <c r="B521" s="463"/>
      <c r="C521" s="460"/>
      <c r="D521" s="462"/>
      <c r="E521" s="463"/>
      <c r="F521" s="493"/>
      <c r="G521" s="493"/>
      <c r="H521" s="493"/>
      <c r="I521" s="493"/>
      <c r="J521" s="493"/>
      <c r="K521" s="493"/>
      <c r="M521" s="458"/>
      <c r="N521" s="458"/>
      <c r="O521" s="458"/>
      <c r="Q521" s="462"/>
      <c r="R521" s="463"/>
      <c r="S521" s="462"/>
      <c r="T521" s="463"/>
      <c r="U521" s="492"/>
      <c r="V521" s="460"/>
      <c r="W521" s="458"/>
    </row>
    <row r="522" spans="1:23" x14ac:dyDescent="0.25">
      <c r="A522" s="458"/>
      <c r="B522" s="463"/>
      <c r="C522" s="460"/>
      <c r="D522" s="462"/>
      <c r="E522" s="463"/>
      <c r="F522" s="493"/>
      <c r="G522" s="493"/>
      <c r="H522" s="493"/>
      <c r="I522" s="493"/>
      <c r="J522" s="493"/>
      <c r="K522" s="493"/>
      <c r="M522" s="458"/>
      <c r="N522" s="458"/>
      <c r="O522" s="458"/>
      <c r="Q522" s="462"/>
      <c r="R522" s="463"/>
      <c r="S522" s="462"/>
      <c r="T522" s="463"/>
      <c r="U522" s="492"/>
      <c r="V522" s="460"/>
      <c r="W522" s="458"/>
    </row>
    <row r="523" spans="1:23" x14ac:dyDescent="0.25">
      <c r="A523" s="458"/>
      <c r="B523" s="463"/>
      <c r="C523" s="460"/>
      <c r="D523" s="462"/>
      <c r="E523" s="463"/>
      <c r="F523" s="493"/>
      <c r="G523" s="493"/>
      <c r="H523" s="493"/>
      <c r="I523" s="493"/>
      <c r="J523" s="493"/>
      <c r="K523" s="493"/>
      <c r="M523" s="458"/>
      <c r="N523" s="458"/>
      <c r="O523" s="458"/>
      <c r="Q523" s="462"/>
      <c r="R523" s="463"/>
      <c r="S523" s="462"/>
      <c r="T523" s="463"/>
      <c r="U523" s="492"/>
      <c r="V523" s="460"/>
      <c r="W523" s="458"/>
    </row>
    <row r="524" spans="1:23" x14ac:dyDescent="0.25">
      <c r="A524" s="458"/>
      <c r="B524" s="463"/>
      <c r="C524" s="460"/>
      <c r="D524" s="462"/>
      <c r="E524" s="463"/>
      <c r="F524" s="493"/>
      <c r="G524" s="493"/>
      <c r="H524" s="493"/>
      <c r="I524" s="493"/>
      <c r="J524" s="493"/>
      <c r="K524" s="493"/>
      <c r="M524" s="458"/>
      <c r="N524" s="458"/>
      <c r="O524" s="458"/>
      <c r="Q524" s="462"/>
      <c r="R524" s="463"/>
      <c r="S524" s="462"/>
      <c r="T524" s="463"/>
      <c r="U524" s="492"/>
      <c r="V524" s="460"/>
      <c r="W524" s="458"/>
    </row>
    <row r="525" spans="1:23" x14ac:dyDescent="0.25">
      <c r="A525" s="458"/>
      <c r="B525" s="463"/>
      <c r="C525" s="460"/>
      <c r="D525" s="462"/>
      <c r="E525" s="463"/>
      <c r="F525" s="493"/>
      <c r="G525" s="493"/>
      <c r="H525" s="493"/>
      <c r="I525" s="493"/>
      <c r="J525" s="493"/>
      <c r="K525" s="493"/>
      <c r="M525" s="458"/>
      <c r="N525" s="458"/>
      <c r="O525" s="458"/>
      <c r="Q525" s="462"/>
      <c r="R525" s="463"/>
      <c r="S525" s="462"/>
      <c r="T525" s="463"/>
      <c r="U525" s="492"/>
      <c r="V525" s="460"/>
      <c r="W525" s="458"/>
    </row>
    <row r="526" spans="1:23" x14ac:dyDescent="0.25">
      <c r="A526" s="458"/>
      <c r="B526" s="463"/>
      <c r="C526" s="460"/>
      <c r="D526" s="462"/>
      <c r="E526" s="463"/>
      <c r="F526" s="493"/>
      <c r="G526" s="493"/>
      <c r="H526" s="493"/>
      <c r="I526" s="493"/>
      <c r="J526" s="493"/>
      <c r="K526" s="493"/>
      <c r="M526" s="458"/>
      <c r="N526" s="458"/>
      <c r="O526" s="458"/>
      <c r="Q526" s="462"/>
      <c r="R526" s="463"/>
      <c r="S526" s="462"/>
      <c r="T526" s="463"/>
      <c r="U526" s="492"/>
      <c r="V526" s="460"/>
      <c r="W526" s="458"/>
    </row>
    <row r="527" spans="1:23" x14ac:dyDescent="0.25">
      <c r="A527" s="458"/>
      <c r="B527" s="463"/>
      <c r="C527" s="460"/>
      <c r="D527" s="462"/>
      <c r="E527" s="463"/>
      <c r="F527" s="493"/>
      <c r="G527" s="493"/>
      <c r="H527" s="493"/>
      <c r="I527" s="493"/>
      <c r="J527" s="493"/>
      <c r="K527" s="493"/>
      <c r="M527" s="458"/>
      <c r="N527" s="458"/>
      <c r="O527" s="458"/>
      <c r="Q527" s="462"/>
      <c r="R527" s="463"/>
      <c r="S527" s="462"/>
      <c r="T527" s="463"/>
      <c r="U527" s="492"/>
      <c r="V527" s="460"/>
      <c r="W527" s="458"/>
    </row>
    <row r="528" spans="1:23" x14ac:dyDescent="0.25">
      <c r="A528" s="458"/>
      <c r="B528" s="463"/>
      <c r="C528" s="460"/>
      <c r="D528" s="462"/>
      <c r="E528" s="463"/>
      <c r="F528" s="493"/>
      <c r="G528" s="493"/>
      <c r="H528" s="493"/>
      <c r="I528" s="493"/>
      <c r="J528" s="493"/>
      <c r="K528" s="493"/>
      <c r="M528" s="458"/>
      <c r="N528" s="458"/>
      <c r="O528" s="458"/>
      <c r="Q528" s="462"/>
      <c r="R528" s="463"/>
      <c r="S528" s="462"/>
      <c r="T528" s="463"/>
      <c r="U528" s="492"/>
      <c r="V528" s="460"/>
      <c r="W528" s="458"/>
    </row>
    <row r="529" spans="1:23" x14ac:dyDescent="0.25">
      <c r="A529" s="458"/>
      <c r="B529" s="463"/>
      <c r="C529" s="460"/>
      <c r="D529" s="462"/>
      <c r="E529" s="463"/>
      <c r="F529" s="493"/>
      <c r="G529" s="493"/>
      <c r="H529" s="493"/>
      <c r="I529" s="493"/>
      <c r="J529" s="493"/>
      <c r="K529" s="493"/>
      <c r="M529" s="458"/>
      <c r="N529" s="458"/>
      <c r="O529" s="458"/>
      <c r="Q529" s="462"/>
      <c r="R529" s="463"/>
      <c r="S529" s="462"/>
      <c r="T529" s="463"/>
      <c r="U529" s="492"/>
      <c r="V529" s="460"/>
      <c r="W529" s="458"/>
    </row>
    <row r="530" spans="1:23" x14ac:dyDescent="0.25">
      <c r="A530" s="458"/>
      <c r="B530" s="463"/>
      <c r="C530" s="460"/>
      <c r="D530" s="462"/>
      <c r="E530" s="463"/>
      <c r="F530" s="493"/>
      <c r="G530" s="493"/>
      <c r="H530" s="493"/>
      <c r="I530" s="493"/>
      <c r="J530" s="493"/>
      <c r="K530" s="493"/>
      <c r="M530" s="458"/>
      <c r="N530" s="458"/>
      <c r="O530" s="458"/>
      <c r="Q530" s="462"/>
      <c r="R530" s="463"/>
      <c r="S530" s="462"/>
      <c r="T530" s="463"/>
      <c r="U530" s="492"/>
      <c r="V530" s="460"/>
      <c r="W530" s="458"/>
    </row>
    <row r="531" spans="1:23" x14ac:dyDescent="0.25">
      <c r="A531" s="458"/>
      <c r="B531" s="463"/>
      <c r="C531" s="460"/>
      <c r="D531" s="462"/>
      <c r="E531" s="463"/>
      <c r="F531" s="493"/>
      <c r="G531" s="493"/>
      <c r="H531" s="493"/>
      <c r="I531" s="493"/>
      <c r="J531" s="493"/>
      <c r="K531" s="493"/>
      <c r="M531" s="458"/>
      <c r="N531" s="458"/>
      <c r="O531" s="458"/>
      <c r="Q531" s="462"/>
      <c r="R531" s="463"/>
      <c r="S531" s="462"/>
      <c r="T531" s="463"/>
      <c r="U531" s="492"/>
      <c r="V531" s="460"/>
      <c r="W531" s="458"/>
    </row>
    <row r="532" spans="1:23" x14ac:dyDescent="0.25">
      <c r="A532" s="458"/>
      <c r="B532" s="463"/>
      <c r="C532" s="460"/>
      <c r="D532" s="462"/>
      <c r="E532" s="463"/>
      <c r="F532" s="493"/>
      <c r="G532" s="493"/>
      <c r="H532" s="493"/>
      <c r="I532" s="493"/>
      <c r="J532" s="493"/>
      <c r="K532" s="493"/>
      <c r="M532" s="458"/>
      <c r="N532" s="458"/>
      <c r="O532" s="458"/>
      <c r="Q532" s="462"/>
      <c r="R532" s="463"/>
      <c r="S532" s="462"/>
      <c r="T532" s="463"/>
      <c r="U532" s="492"/>
      <c r="V532" s="460"/>
      <c r="W532" s="458"/>
    </row>
    <row r="533" spans="1:23" x14ac:dyDescent="0.25">
      <c r="A533" s="458"/>
      <c r="B533" s="463"/>
      <c r="C533" s="460"/>
      <c r="D533" s="462"/>
      <c r="E533" s="463"/>
      <c r="F533" s="493"/>
      <c r="G533" s="493"/>
      <c r="H533" s="493"/>
      <c r="I533" s="493"/>
      <c r="J533" s="493"/>
      <c r="K533" s="493"/>
      <c r="M533" s="458"/>
      <c r="N533" s="458"/>
      <c r="O533" s="458"/>
      <c r="Q533" s="462"/>
      <c r="R533" s="463"/>
      <c r="S533" s="462"/>
      <c r="T533" s="463"/>
      <c r="U533" s="492"/>
      <c r="V533" s="460"/>
      <c r="W533" s="458"/>
    </row>
    <row r="534" spans="1:23" x14ac:dyDescent="0.25">
      <c r="A534" s="458"/>
      <c r="B534" s="463"/>
      <c r="C534" s="460"/>
      <c r="D534" s="462"/>
      <c r="E534" s="463"/>
      <c r="F534" s="493"/>
      <c r="G534" s="493"/>
      <c r="H534" s="493"/>
      <c r="I534" s="493"/>
      <c r="J534" s="493"/>
      <c r="K534" s="493"/>
      <c r="M534" s="458"/>
      <c r="N534" s="458"/>
      <c r="O534" s="458"/>
      <c r="Q534" s="462"/>
      <c r="R534" s="463"/>
      <c r="S534" s="462"/>
      <c r="T534" s="463"/>
      <c r="U534" s="492"/>
      <c r="V534" s="460"/>
      <c r="W534" s="458"/>
    </row>
    <row r="535" spans="1:23" x14ac:dyDescent="0.25">
      <c r="A535" s="458"/>
      <c r="B535" s="463"/>
      <c r="C535" s="460"/>
      <c r="D535" s="462"/>
      <c r="E535" s="463"/>
      <c r="F535" s="493"/>
      <c r="G535" s="493"/>
      <c r="H535" s="493"/>
      <c r="I535" s="493"/>
      <c r="J535" s="493"/>
      <c r="K535" s="493"/>
      <c r="M535" s="458"/>
      <c r="N535" s="458"/>
      <c r="O535" s="458"/>
      <c r="Q535" s="462"/>
      <c r="R535" s="463"/>
      <c r="S535" s="462"/>
      <c r="T535" s="463"/>
      <c r="U535" s="492"/>
      <c r="V535" s="460"/>
      <c r="W535" s="458"/>
    </row>
    <row r="536" spans="1:23" x14ac:dyDescent="0.25">
      <c r="A536" s="458"/>
      <c r="B536" s="463"/>
      <c r="C536" s="460"/>
      <c r="D536" s="462"/>
      <c r="E536" s="463"/>
      <c r="F536" s="493"/>
      <c r="G536" s="493"/>
      <c r="H536" s="493"/>
      <c r="I536" s="493"/>
      <c r="J536" s="493"/>
      <c r="K536" s="493"/>
      <c r="M536" s="458"/>
      <c r="N536" s="458"/>
      <c r="O536" s="458"/>
      <c r="Q536" s="462"/>
      <c r="R536" s="463"/>
      <c r="S536" s="462"/>
      <c r="T536" s="463"/>
      <c r="U536" s="492"/>
      <c r="V536" s="460"/>
      <c r="W536" s="458"/>
    </row>
    <row r="537" spans="1:23" x14ac:dyDescent="0.25">
      <c r="A537" s="458"/>
      <c r="B537" s="463"/>
      <c r="C537" s="460"/>
      <c r="D537" s="462"/>
      <c r="E537" s="463"/>
      <c r="F537" s="493"/>
      <c r="G537" s="493"/>
      <c r="H537" s="493"/>
      <c r="I537" s="493"/>
      <c r="J537" s="493"/>
      <c r="K537" s="493"/>
      <c r="M537" s="458"/>
      <c r="N537" s="458"/>
      <c r="O537" s="458"/>
      <c r="Q537" s="462"/>
      <c r="R537" s="463"/>
      <c r="S537" s="462"/>
      <c r="T537" s="463"/>
      <c r="U537" s="492"/>
      <c r="V537" s="460"/>
      <c r="W537" s="458"/>
    </row>
    <row r="538" spans="1:23" x14ac:dyDescent="0.25">
      <c r="A538" s="458"/>
      <c r="B538" s="463"/>
      <c r="C538" s="460"/>
      <c r="D538" s="462"/>
      <c r="E538" s="463"/>
      <c r="F538" s="493"/>
      <c r="G538" s="493"/>
      <c r="H538" s="493"/>
      <c r="I538" s="493"/>
      <c r="J538" s="493"/>
      <c r="K538" s="493"/>
      <c r="M538" s="458"/>
      <c r="N538" s="458"/>
      <c r="O538" s="458"/>
      <c r="Q538" s="462"/>
      <c r="R538" s="463"/>
      <c r="S538" s="462"/>
      <c r="T538" s="463"/>
      <c r="U538" s="492"/>
      <c r="V538" s="460"/>
      <c r="W538" s="458"/>
    </row>
    <row r="539" spans="1:23" x14ac:dyDescent="0.25">
      <c r="A539" s="458"/>
      <c r="B539" s="463"/>
      <c r="C539" s="460"/>
      <c r="D539" s="462"/>
      <c r="E539" s="463"/>
      <c r="F539" s="493"/>
      <c r="G539" s="493"/>
      <c r="H539" s="493"/>
      <c r="I539" s="493"/>
      <c r="J539" s="493"/>
      <c r="K539" s="493"/>
      <c r="M539" s="458"/>
      <c r="N539" s="458"/>
      <c r="O539" s="458"/>
      <c r="Q539" s="462"/>
      <c r="R539" s="463"/>
      <c r="S539" s="462"/>
      <c r="T539" s="463"/>
      <c r="U539" s="492"/>
      <c r="V539" s="460"/>
      <c r="W539" s="458"/>
    </row>
    <row r="540" spans="1:23" x14ac:dyDescent="0.25">
      <c r="A540" s="458"/>
      <c r="B540" s="463"/>
      <c r="C540" s="460"/>
      <c r="D540" s="462"/>
      <c r="E540" s="463"/>
      <c r="F540" s="493"/>
      <c r="G540" s="493"/>
      <c r="H540" s="493"/>
      <c r="I540" s="493"/>
      <c r="J540" s="493"/>
      <c r="K540" s="493"/>
      <c r="M540" s="458"/>
      <c r="N540" s="458"/>
      <c r="O540" s="458"/>
      <c r="Q540" s="462"/>
      <c r="R540" s="463"/>
      <c r="S540" s="462"/>
      <c r="T540" s="463"/>
      <c r="U540" s="492"/>
      <c r="V540" s="460"/>
      <c r="W540" s="458"/>
    </row>
    <row r="541" spans="1:23" x14ac:dyDescent="0.25">
      <c r="A541" s="458"/>
      <c r="B541" s="463"/>
      <c r="C541" s="460"/>
      <c r="D541" s="462"/>
      <c r="E541" s="463"/>
      <c r="F541" s="493"/>
      <c r="G541" s="493"/>
      <c r="H541" s="493"/>
      <c r="I541" s="493"/>
      <c r="J541" s="493"/>
      <c r="K541" s="493"/>
      <c r="M541" s="458"/>
      <c r="N541" s="458"/>
      <c r="O541" s="458"/>
      <c r="Q541" s="462"/>
      <c r="R541" s="463"/>
      <c r="S541" s="462"/>
      <c r="T541" s="463"/>
      <c r="U541" s="492"/>
      <c r="V541" s="460"/>
      <c r="W541" s="458"/>
    </row>
    <row r="542" spans="1:23" x14ac:dyDescent="0.25">
      <c r="A542" s="458"/>
      <c r="B542" s="463"/>
      <c r="C542" s="460"/>
      <c r="D542" s="462"/>
      <c r="E542" s="463"/>
      <c r="F542" s="493"/>
      <c r="G542" s="493"/>
      <c r="H542" s="493"/>
      <c r="I542" s="493"/>
      <c r="J542" s="493"/>
      <c r="K542" s="493"/>
      <c r="M542" s="458"/>
      <c r="N542" s="458"/>
      <c r="O542" s="458"/>
      <c r="Q542" s="462"/>
      <c r="R542" s="463"/>
      <c r="S542" s="462"/>
      <c r="T542" s="463"/>
      <c r="U542" s="492"/>
      <c r="V542" s="460"/>
      <c r="W542" s="458"/>
    </row>
    <row r="543" spans="1:23" x14ac:dyDescent="0.25">
      <c r="A543" s="458"/>
      <c r="B543" s="463"/>
      <c r="C543" s="460"/>
      <c r="D543" s="462"/>
      <c r="E543" s="463"/>
      <c r="F543" s="493"/>
      <c r="G543" s="493"/>
      <c r="H543" s="493"/>
      <c r="I543" s="493"/>
      <c r="J543" s="493"/>
      <c r="K543" s="493"/>
      <c r="M543" s="458"/>
      <c r="N543" s="458"/>
      <c r="O543" s="458"/>
      <c r="Q543" s="462"/>
      <c r="R543" s="463"/>
      <c r="S543" s="462"/>
      <c r="T543" s="463"/>
      <c r="U543" s="492"/>
      <c r="V543" s="460"/>
      <c r="W543" s="458"/>
    </row>
    <row r="544" spans="1:23" x14ac:dyDescent="0.25">
      <c r="A544" s="458"/>
      <c r="B544" s="463"/>
      <c r="C544" s="460"/>
      <c r="D544" s="462"/>
      <c r="E544" s="463"/>
      <c r="F544" s="493"/>
      <c r="G544" s="493"/>
      <c r="H544" s="493"/>
      <c r="I544" s="493"/>
      <c r="J544" s="493"/>
      <c r="K544" s="493"/>
      <c r="M544" s="458"/>
      <c r="N544" s="458"/>
      <c r="O544" s="458"/>
      <c r="Q544" s="462"/>
      <c r="R544" s="463"/>
      <c r="S544" s="462"/>
      <c r="T544" s="463"/>
      <c r="U544" s="492"/>
      <c r="V544" s="460"/>
      <c r="W544" s="458"/>
    </row>
    <row r="545" spans="1:23" x14ac:dyDescent="0.25">
      <c r="A545" s="458"/>
      <c r="B545" s="463"/>
      <c r="C545" s="460"/>
      <c r="D545" s="462"/>
      <c r="E545" s="463"/>
      <c r="F545" s="493"/>
      <c r="G545" s="493"/>
      <c r="H545" s="493"/>
      <c r="I545" s="493"/>
      <c r="J545" s="493"/>
      <c r="K545" s="493"/>
      <c r="M545" s="458"/>
      <c r="N545" s="458"/>
      <c r="O545" s="458"/>
      <c r="Q545" s="462"/>
      <c r="R545" s="463"/>
      <c r="S545" s="462"/>
      <c r="T545" s="463"/>
      <c r="U545" s="492"/>
      <c r="V545" s="460"/>
      <c r="W545" s="458"/>
    </row>
    <row r="546" spans="1:23" x14ac:dyDescent="0.25">
      <c r="A546" s="458"/>
      <c r="B546" s="463"/>
      <c r="C546" s="460"/>
      <c r="D546" s="462"/>
      <c r="E546" s="463"/>
      <c r="F546" s="493"/>
      <c r="G546" s="493"/>
      <c r="H546" s="493"/>
      <c r="I546" s="493"/>
      <c r="J546" s="493"/>
      <c r="K546" s="493"/>
      <c r="M546" s="458"/>
      <c r="N546" s="458"/>
      <c r="O546" s="458"/>
      <c r="Q546" s="462"/>
      <c r="R546" s="463"/>
      <c r="S546" s="462"/>
      <c r="T546" s="463"/>
      <c r="U546" s="492"/>
      <c r="V546" s="460"/>
      <c r="W546" s="458"/>
    </row>
    <row r="547" spans="1:23" x14ac:dyDescent="0.25">
      <c r="A547" s="458"/>
      <c r="B547" s="463"/>
      <c r="C547" s="460"/>
      <c r="D547" s="462"/>
      <c r="E547" s="463"/>
      <c r="F547" s="493"/>
      <c r="G547" s="493"/>
      <c r="H547" s="493"/>
      <c r="I547" s="493"/>
      <c r="J547" s="493"/>
      <c r="K547" s="493"/>
      <c r="M547" s="458"/>
      <c r="N547" s="458"/>
      <c r="O547" s="458"/>
      <c r="Q547" s="462"/>
      <c r="R547" s="463"/>
      <c r="S547" s="462"/>
      <c r="T547" s="463"/>
      <c r="U547" s="492"/>
      <c r="V547" s="460"/>
      <c r="W547" s="458"/>
    </row>
    <row r="548" spans="1:23" x14ac:dyDescent="0.25">
      <c r="A548" s="458"/>
      <c r="B548" s="463"/>
      <c r="C548" s="460"/>
      <c r="D548" s="462"/>
      <c r="E548" s="463"/>
      <c r="F548" s="493"/>
      <c r="G548" s="493"/>
      <c r="H548" s="493"/>
      <c r="I548" s="493"/>
      <c r="J548" s="493"/>
      <c r="K548" s="493"/>
      <c r="M548" s="458"/>
      <c r="N548" s="458"/>
      <c r="O548" s="458"/>
      <c r="Q548" s="462"/>
      <c r="R548" s="463"/>
      <c r="S548" s="462"/>
      <c r="T548" s="463"/>
      <c r="U548" s="492"/>
      <c r="V548" s="460"/>
      <c r="W548" s="458"/>
    </row>
    <row r="549" spans="1:23" x14ac:dyDescent="0.25">
      <c r="A549" s="458"/>
      <c r="B549" s="463"/>
      <c r="C549" s="460"/>
      <c r="D549" s="462"/>
      <c r="E549" s="463"/>
      <c r="F549" s="493"/>
      <c r="G549" s="493"/>
      <c r="H549" s="493"/>
      <c r="I549" s="493"/>
      <c r="J549" s="493"/>
      <c r="K549" s="493"/>
      <c r="M549" s="458"/>
      <c r="N549" s="458"/>
      <c r="O549" s="458"/>
      <c r="Q549" s="462"/>
      <c r="R549" s="463"/>
      <c r="S549" s="462"/>
      <c r="T549" s="463"/>
      <c r="U549" s="492"/>
      <c r="V549" s="460"/>
      <c r="W549" s="458"/>
    </row>
    <row r="550" spans="1:23" x14ac:dyDescent="0.25">
      <c r="A550" s="458"/>
      <c r="B550" s="463"/>
      <c r="C550" s="460"/>
      <c r="D550" s="462"/>
      <c r="E550" s="463"/>
      <c r="F550" s="493"/>
      <c r="G550" s="493"/>
      <c r="H550" s="493"/>
      <c r="I550" s="493"/>
      <c r="J550" s="493"/>
      <c r="K550" s="493"/>
      <c r="M550" s="458"/>
      <c r="N550" s="458"/>
      <c r="O550" s="458"/>
      <c r="Q550" s="462"/>
      <c r="R550" s="463"/>
      <c r="S550" s="462"/>
      <c r="T550" s="463"/>
      <c r="U550" s="492"/>
      <c r="V550" s="460"/>
      <c r="W550" s="458"/>
    </row>
    <row r="551" spans="1:23" x14ac:dyDescent="0.25">
      <c r="A551" s="458"/>
      <c r="B551" s="463"/>
      <c r="C551" s="460"/>
      <c r="D551" s="462"/>
      <c r="E551" s="463"/>
      <c r="F551" s="493"/>
      <c r="G551" s="493"/>
      <c r="H551" s="493"/>
      <c r="I551" s="493"/>
      <c r="J551" s="493"/>
      <c r="K551" s="493"/>
      <c r="M551" s="458"/>
      <c r="N551" s="458"/>
      <c r="O551" s="458"/>
      <c r="Q551" s="462"/>
      <c r="R551" s="463"/>
      <c r="S551" s="462"/>
      <c r="T551" s="463"/>
      <c r="U551" s="492"/>
      <c r="V551" s="460"/>
      <c r="W551" s="458"/>
    </row>
    <row r="552" spans="1:23" x14ac:dyDescent="0.25">
      <c r="A552" s="458"/>
      <c r="B552" s="463"/>
      <c r="C552" s="460"/>
      <c r="D552" s="462"/>
      <c r="E552" s="463"/>
      <c r="F552" s="493"/>
      <c r="G552" s="493"/>
      <c r="H552" s="493"/>
      <c r="I552" s="493"/>
      <c r="J552" s="493"/>
      <c r="K552" s="493"/>
      <c r="M552" s="458"/>
      <c r="N552" s="458"/>
      <c r="O552" s="458"/>
      <c r="Q552" s="462"/>
      <c r="R552" s="463"/>
      <c r="S552" s="462"/>
      <c r="T552" s="463"/>
      <c r="U552" s="492"/>
      <c r="V552" s="460"/>
      <c r="W552" s="458"/>
    </row>
    <row r="553" spans="1:23" x14ac:dyDescent="0.25">
      <c r="A553" s="458"/>
      <c r="B553" s="463"/>
      <c r="C553" s="460"/>
      <c r="D553" s="462"/>
      <c r="E553" s="463"/>
      <c r="F553" s="493"/>
      <c r="G553" s="493"/>
      <c r="H553" s="493"/>
      <c r="I553" s="493"/>
      <c r="J553" s="493"/>
      <c r="K553" s="493"/>
      <c r="M553" s="458"/>
      <c r="N553" s="458"/>
      <c r="O553" s="458"/>
      <c r="Q553" s="462"/>
      <c r="R553" s="463"/>
      <c r="S553" s="462"/>
      <c r="T553" s="463"/>
      <c r="U553" s="492"/>
      <c r="V553" s="460"/>
      <c r="W553" s="458"/>
    </row>
    <row r="554" spans="1:23" x14ac:dyDescent="0.25">
      <c r="A554" s="458"/>
      <c r="B554" s="463"/>
      <c r="C554" s="460"/>
      <c r="D554" s="462"/>
      <c r="E554" s="463"/>
      <c r="F554" s="493"/>
      <c r="G554" s="493"/>
      <c r="H554" s="493"/>
      <c r="I554" s="493"/>
      <c r="J554" s="493"/>
      <c r="K554" s="493"/>
      <c r="M554" s="458"/>
      <c r="N554" s="458"/>
      <c r="O554" s="458"/>
      <c r="Q554" s="462"/>
      <c r="R554" s="463"/>
      <c r="S554" s="462"/>
      <c r="T554" s="463"/>
      <c r="U554" s="492"/>
      <c r="V554" s="460"/>
      <c r="W554" s="458"/>
    </row>
    <row r="555" spans="1:23" x14ac:dyDescent="0.25">
      <c r="A555" s="458"/>
      <c r="B555" s="463"/>
      <c r="C555" s="460"/>
      <c r="D555" s="462"/>
      <c r="E555" s="463"/>
      <c r="F555" s="493"/>
      <c r="G555" s="493"/>
      <c r="H555" s="493"/>
      <c r="I555" s="493"/>
      <c r="J555" s="493"/>
      <c r="K555" s="493"/>
      <c r="M555" s="458"/>
      <c r="N555" s="458"/>
      <c r="O555" s="458"/>
      <c r="Q555" s="462"/>
      <c r="R555" s="463"/>
      <c r="S555" s="462"/>
      <c r="T555" s="463"/>
      <c r="U555" s="492"/>
      <c r="V555" s="460"/>
      <c r="W555" s="458"/>
    </row>
    <row r="556" spans="1:23" x14ac:dyDescent="0.25">
      <c r="A556" s="458"/>
      <c r="B556" s="463"/>
      <c r="C556" s="460"/>
      <c r="D556" s="462"/>
      <c r="E556" s="463"/>
      <c r="F556" s="493"/>
      <c r="G556" s="493"/>
      <c r="H556" s="493"/>
      <c r="I556" s="493"/>
      <c r="J556" s="493"/>
      <c r="K556" s="493"/>
      <c r="M556" s="458"/>
      <c r="N556" s="458"/>
      <c r="O556" s="458"/>
      <c r="Q556" s="462"/>
      <c r="R556" s="463"/>
      <c r="S556" s="462"/>
      <c r="T556" s="463"/>
      <c r="U556" s="492"/>
      <c r="V556" s="460"/>
      <c r="W556" s="458"/>
    </row>
    <row r="557" spans="1:23" x14ac:dyDescent="0.25">
      <c r="A557" s="458"/>
      <c r="B557" s="463"/>
      <c r="C557" s="460"/>
      <c r="D557" s="462"/>
      <c r="E557" s="463"/>
      <c r="F557" s="493"/>
      <c r="G557" s="493"/>
      <c r="H557" s="493"/>
      <c r="I557" s="493"/>
      <c r="J557" s="493"/>
      <c r="K557" s="493"/>
      <c r="M557" s="458"/>
      <c r="N557" s="458"/>
      <c r="O557" s="458"/>
      <c r="Q557" s="462"/>
      <c r="R557" s="463"/>
      <c r="S557" s="462"/>
      <c r="T557" s="463"/>
      <c r="U557" s="492"/>
      <c r="V557" s="460"/>
      <c r="W557" s="458"/>
    </row>
    <row r="558" spans="1:23" x14ac:dyDescent="0.25">
      <c r="A558" s="458"/>
      <c r="B558" s="463"/>
      <c r="C558" s="460"/>
      <c r="D558" s="462"/>
      <c r="E558" s="463"/>
      <c r="F558" s="493"/>
      <c r="G558" s="493"/>
      <c r="H558" s="493"/>
      <c r="I558" s="493"/>
      <c r="J558" s="493"/>
      <c r="K558" s="493"/>
      <c r="M558" s="458"/>
      <c r="N558" s="458"/>
      <c r="O558" s="458"/>
      <c r="Q558" s="462"/>
      <c r="R558" s="463"/>
      <c r="S558" s="462"/>
      <c r="T558" s="463"/>
      <c r="U558" s="492"/>
      <c r="V558" s="460"/>
      <c r="W558" s="458"/>
    </row>
    <row r="559" spans="1:23" x14ac:dyDescent="0.25">
      <c r="A559" s="458"/>
      <c r="B559" s="463"/>
      <c r="C559" s="460"/>
      <c r="D559" s="462"/>
      <c r="E559" s="463"/>
      <c r="F559" s="493"/>
      <c r="G559" s="493"/>
      <c r="H559" s="493"/>
      <c r="I559" s="493"/>
      <c r="J559" s="493"/>
      <c r="K559" s="493"/>
      <c r="M559" s="458"/>
      <c r="N559" s="458"/>
      <c r="O559" s="458"/>
      <c r="Q559" s="462"/>
      <c r="R559" s="463"/>
      <c r="S559" s="462"/>
      <c r="T559" s="463"/>
      <c r="U559" s="492"/>
      <c r="V559" s="460"/>
      <c r="W559" s="458"/>
    </row>
    <row r="560" spans="1:23" x14ac:dyDescent="0.25">
      <c r="A560" s="458"/>
      <c r="B560" s="463"/>
      <c r="C560" s="460"/>
      <c r="D560" s="462"/>
      <c r="E560" s="463"/>
      <c r="F560" s="493"/>
      <c r="G560" s="493"/>
      <c r="H560" s="493"/>
      <c r="I560" s="493"/>
      <c r="J560" s="493"/>
      <c r="K560" s="493"/>
      <c r="M560" s="458"/>
      <c r="N560" s="458"/>
      <c r="O560" s="458"/>
      <c r="Q560" s="462"/>
      <c r="R560" s="463"/>
      <c r="S560" s="462"/>
      <c r="T560" s="463"/>
      <c r="U560" s="492"/>
      <c r="V560" s="460"/>
      <c r="W560" s="458"/>
    </row>
    <row r="561" spans="1:23" x14ac:dyDescent="0.25">
      <c r="A561" s="458"/>
      <c r="B561" s="463"/>
      <c r="C561" s="460"/>
      <c r="D561" s="462"/>
      <c r="E561" s="463"/>
      <c r="F561" s="493"/>
      <c r="G561" s="493"/>
      <c r="H561" s="493"/>
      <c r="I561" s="493"/>
      <c r="J561" s="493"/>
      <c r="K561" s="493"/>
      <c r="M561" s="458"/>
      <c r="N561" s="458"/>
      <c r="O561" s="458"/>
      <c r="Q561" s="462"/>
      <c r="R561" s="463"/>
      <c r="S561" s="462"/>
      <c r="T561" s="463"/>
      <c r="U561" s="492"/>
      <c r="V561" s="460"/>
      <c r="W561" s="458"/>
    </row>
    <row r="562" spans="1:23" x14ac:dyDescent="0.25">
      <c r="A562" s="458"/>
      <c r="B562" s="463"/>
      <c r="C562" s="460"/>
      <c r="D562" s="462"/>
      <c r="E562" s="463"/>
      <c r="F562" s="493"/>
      <c r="G562" s="493"/>
      <c r="H562" s="493"/>
      <c r="I562" s="493"/>
      <c r="J562" s="493"/>
      <c r="K562" s="493"/>
      <c r="M562" s="458"/>
      <c r="N562" s="458"/>
      <c r="O562" s="458"/>
      <c r="Q562" s="462"/>
      <c r="R562" s="463"/>
      <c r="S562" s="462"/>
      <c r="T562" s="463"/>
      <c r="U562" s="492"/>
      <c r="V562" s="460"/>
      <c r="W562" s="458"/>
    </row>
    <row r="563" spans="1:23" x14ac:dyDescent="0.25">
      <c r="A563" s="458"/>
      <c r="B563" s="463"/>
      <c r="C563" s="460"/>
      <c r="D563" s="462"/>
      <c r="E563" s="463"/>
      <c r="F563" s="493"/>
      <c r="G563" s="493"/>
      <c r="H563" s="493"/>
      <c r="I563" s="493"/>
      <c r="J563" s="493"/>
      <c r="K563" s="493"/>
      <c r="M563" s="458"/>
      <c r="N563" s="458"/>
      <c r="O563" s="458"/>
      <c r="Q563" s="462"/>
      <c r="R563" s="463"/>
      <c r="S563" s="462"/>
      <c r="T563" s="463"/>
      <c r="U563" s="492"/>
      <c r="V563" s="460"/>
      <c r="W563" s="458"/>
    </row>
    <row r="564" spans="1:23" x14ac:dyDescent="0.25">
      <c r="A564" s="458"/>
      <c r="B564" s="463"/>
      <c r="C564" s="460"/>
      <c r="D564" s="462"/>
      <c r="E564" s="463"/>
      <c r="F564" s="493"/>
      <c r="G564" s="493"/>
      <c r="H564" s="493"/>
      <c r="I564" s="493"/>
      <c r="J564" s="493"/>
      <c r="K564" s="493"/>
      <c r="M564" s="458"/>
      <c r="N564" s="458"/>
      <c r="O564" s="458"/>
      <c r="Q564" s="462"/>
      <c r="R564" s="463"/>
      <c r="S564" s="462"/>
      <c r="T564" s="463"/>
      <c r="U564" s="492"/>
      <c r="V564" s="460"/>
      <c r="W564" s="458"/>
    </row>
    <row r="565" spans="1:23" x14ac:dyDescent="0.25">
      <c r="A565" s="458"/>
      <c r="B565" s="463"/>
      <c r="C565" s="460"/>
      <c r="D565" s="462"/>
      <c r="E565" s="463"/>
      <c r="F565" s="493"/>
      <c r="G565" s="493"/>
      <c r="H565" s="493"/>
      <c r="I565" s="493"/>
      <c r="J565" s="493"/>
      <c r="K565" s="493"/>
      <c r="M565" s="458"/>
      <c r="N565" s="458"/>
      <c r="O565" s="458"/>
      <c r="Q565" s="462"/>
      <c r="R565" s="463"/>
      <c r="S565" s="462"/>
      <c r="T565" s="463"/>
      <c r="U565" s="492"/>
      <c r="V565" s="460"/>
      <c r="W565" s="458"/>
    </row>
    <row r="566" spans="1:23" x14ac:dyDescent="0.25">
      <c r="A566" s="458"/>
      <c r="B566" s="463"/>
      <c r="C566" s="460"/>
      <c r="D566" s="462"/>
      <c r="E566" s="463"/>
      <c r="F566" s="493"/>
      <c r="G566" s="493"/>
      <c r="H566" s="493"/>
      <c r="I566" s="493"/>
      <c r="J566" s="493"/>
      <c r="K566" s="493"/>
      <c r="M566" s="458"/>
      <c r="N566" s="458"/>
      <c r="O566" s="458"/>
      <c r="Q566" s="462"/>
      <c r="R566" s="463"/>
      <c r="S566" s="462"/>
      <c r="T566" s="463"/>
      <c r="U566" s="492"/>
      <c r="V566" s="460"/>
      <c r="W566" s="458"/>
    </row>
    <row r="567" spans="1:23" x14ac:dyDescent="0.25">
      <c r="A567" s="458"/>
      <c r="B567" s="463"/>
      <c r="C567" s="460"/>
      <c r="D567" s="462"/>
      <c r="E567" s="463"/>
      <c r="F567" s="493"/>
      <c r="G567" s="493"/>
      <c r="H567" s="493"/>
      <c r="I567" s="493"/>
      <c r="J567" s="493"/>
      <c r="K567" s="493"/>
      <c r="M567" s="458"/>
      <c r="N567" s="458"/>
      <c r="O567" s="458"/>
      <c r="Q567" s="462"/>
      <c r="R567" s="463"/>
      <c r="S567" s="462"/>
      <c r="T567" s="463"/>
      <c r="U567" s="492"/>
      <c r="V567" s="460"/>
      <c r="W567" s="458"/>
    </row>
    <row r="568" spans="1:23" x14ac:dyDescent="0.25">
      <c r="A568" s="458"/>
      <c r="B568" s="463"/>
      <c r="C568" s="460"/>
      <c r="D568" s="462"/>
      <c r="E568" s="463"/>
      <c r="F568" s="493"/>
      <c r="G568" s="493"/>
      <c r="H568" s="493"/>
      <c r="I568" s="493"/>
      <c r="J568" s="493"/>
      <c r="K568" s="493"/>
      <c r="M568" s="458"/>
      <c r="N568" s="458"/>
      <c r="O568" s="458"/>
      <c r="Q568" s="462"/>
      <c r="R568" s="463"/>
      <c r="S568" s="462"/>
      <c r="T568" s="463"/>
      <c r="U568" s="492"/>
      <c r="V568" s="460"/>
      <c r="W568" s="458"/>
    </row>
    <row r="569" spans="1:23" x14ac:dyDescent="0.25">
      <c r="A569" s="458"/>
      <c r="B569" s="463"/>
      <c r="C569" s="460"/>
      <c r="D569" s="462"/>
      <c r="E569" s="463"/>
      <c r="F569" s="493"/>
      <c r="G569" s="493"/>
      <c r="H569" s="493"/>
      <c r="I569" s="493"/>
      <c r="J569" s="493"/>
      <c r="K569" s="493"/>
      <c r="M569" s="458"/>
      <c r="N569" s="458"/>
      <c r="O569" s="458"/>
      <c r="Q569" s="462"/>
      <c r="R569" s="463"/>
      <c r="S569" s="462"/>
      <c r="T569" s="463"/>
      <c r="U569" s="492"/>
      <c r="V569" s="460"/>
      <c r="W569" s="458"/>
    </row>
    <row r="570" spans="1:23" x14ac:dyDescent="0.25">
      <c r="A570" s="458"/>
      <c r="B570" s="463"/>
      <c r="C570" s="460"/>
      <c r="D570" s="462"/>
      <c r="E570" s="463"/>
      <c r="F570" s="493"/>
      <c r="G570" s="493"/>
      <c r="H570" s="493"/>
      <c r="I570" s="493"/>
      <c r="J570" s="493"/>
      <c r="K570" s="493"/>
      <c r="M570" s="458"/>
      <c r="N570" s="458"/>
      <c r="O570" s="458"/>
      <c r="Q570" s="462"/>
      <c r="R570" s="463"/>
      <c r="S570" s="462"/>
      <c r="T570" s="463"/>
      <c r="U570" s="492"/>
      <c r="V570" s="460"/>
      <c r="W570" s="458"/>
    </row>
    <row r="571" spans="1:23" x14ac:dyDescent="0.25">
      <c r="A571" s="458"/>
      <c r="B571" s="463"/>
      <c r="C571" s="460"/>
      <c r="D571" s="462"/>
      <c r="E571" s="463"/>
      <c r="F571" s="493"/>
      <c r="G571" s="493"/>
      <c r="H571" s="493"/>
      <c r="I571" s="493"/>
      <c r="J571" s="493"/>
      <c r="K571" s="493"/>
      <c r="M571" s="458"/>
      <c r="N571" s="458"/>
      <c r="O571" s="458"/>
      <c r="Q571" s="462"/>
      <c r="R571" s="463"/>
      <c r="S571" s="462"/>
      <c r="T571" s="463"/>
      <c r="U571" s="492"/>
      <c r="V571" s="460"/>
      <c r="W571" s="458"/>
    </row>
    <row r="572" spans="1:23" x14ac:dyDescent="0.25">
      <c r="A572" s="458"/>
      <c r="B572" s="463"/>
      <c r="C572" s="460"/>
      <c r="D572" s="462"/>
      <c r="E572" s="463"/>
      <c r="F572" s="493"/>
      <c r="G572" s="493"/>
      <c r="H572" s="493"/>
      <c r="I572" s="493"/>
      <c r="J572" s="493"/>
      <c r="K572" s="493"/>
      <c r="M572" s="458"/>
      <c r="N572" s="458"/>
      <c r="O572" s="458"/>
      <c r="Q572" s="462"/>
      <c r="R572" s="463"/>
      <c r="S572" s="462"/>
      <c r="T572" s="463"/>
      <c r="U572" s="492"/>
      <c r="V572" s="460"/>
      <c r="W572" s="458"/>
    </row>
    <row r="573" spans="1:23" x14ac:dyDescent="0.25">
      <c r="A573" s="458"/>
      <c r="B573" s="463"/>
      <c r="C573" s="460"/>
      <c r="D573" s="462"/>
      <c r="E573" s="463"/>
      <c r="F573" s="493"/>
      <c r="G573" s="493"/>
      <c r="H573" s="493"/>
      <c r="I573" s="493"/>
      <c r="J573" s="493"/>
      <c r="K573" s="493"/>
      <c r="M573" s="458"/>
      <c r="N573" s="458"/>
      <c r="O573" s="458"/>
      <c r="Q573" s="462"/>
      <c r="R573" s="463"/>
      <c r="S573" s="462"/>
      <c r="T573" s="463"/>
      <c r="U573" s="492"/>
      <c r="V573" s="460"/>
      <c r="W573" s="458"/>
    </row>
    <row r="574" spans="1:23" x14ac:dyDescent="0.25">
      <c r="A574" s="458"/>
      <c r="B574" s="463"/>
      <c r="C574" s="460"/>
      <c r="D574" s="462"/>
      <c r="E574" s="463"/>
      <c r="F574" s="493"/>
      <c r="G574" s="493"/>
      <c r="H574" s="493"/>
      <c r="I574" s="493"/>
      <c r="J574" s="493"/>
      <c r="K574" s="493"/>
      <c r="M574" s="458"/>
      <c r="N574" s="458"/>
      <c r="O574" s="458"/>
      <c r="Q574" s="462"/>
      <c r="R574" s="463"/>
      <c r="S574" s="462"/>
      <c r="T574" s="463"/>
      <c r="U574" s="492"/>
      <c r="V574" s="460"/>
      <c r="W574" s="458"/>
    </row>
    <row r="575" spans="1:23" x14ac:dyDescent="0.25">
      <c r="A575" s="458"/>
      <c r="B575" s="463"/>
      <c r="C575" s="460"/>
      <c r="D575" s="462"/>
      <c r="E575" s="463"/>
      <c r="F575" s="493"/>
      <c r="G575" s="493"/>
      <c r="H575" s="493"/>
      <c r="I575" s="493"/>
      <c r="J575" s="493"/>
      <c r="K575" s="493"/>
      <c r="M575" s="458"/>
      <c r="N575" s="458"/>
      <c r="O575" s="458"/>
      <c r="Q575" s="462"/>
      <c r="R575" s="463"/>
      <c r="S575" s="462"/>
      <c r="T575" s="463"/>
      <c r="U575" s="492"/>
      <c r="V575" s="460"/>
      <c r="W575" s="458"/>
    </row>
    <row r="576" spans="1:23" x14ac:dyDescent="0.25">
      <c r="A576" s="458"/>
      <c r="B576" s="463"/>
      <c r="C576" s="460"/>
      <c r="D576" s="462"/>
      <c r="E576" s="463"/>
      <c r="F576" s="493"/>
      <c r="G576" s="493"/>
      <c r="H576" s="493"/>
      <c r="I576" s="493"/>
      <c r="J576" s="493"/>
      <c r="K576" s="493"/>
      <c r="M576" s="458"/>
      <c r="N576" s="458"/>
      <c r="O576" s="458"/>
      <c r="Q576" s="462"/>
      <c r="R576" s="463"/>
      <c r="S576" s="462"/>
      <c r="T576" s="463"/>
      <c r="U576" s="492"/>
      <c r="V576" s="460"/>
      <c r="W576" s="458"/>
    </row>
    <row r="577" spans="1:23" x14ac:dyDescent="0.25">
      <c r="A577" s="458"/>
      <c r="B577" s="463"/>
      <c r="C577" s="460"/>
      <c r="D577" s="462"/>
      <c r="E577" s="463"/>
      <c r="F577" s="493"/>
      <c r="G577" s="493"/>
      <c r="H577" s="493"/>
      <c r="I577" s="493"/>
      <c r="J577" s="493"/>
      <c r="K577" s="493"/>
      <c r="M577" s="458"/>
      <c r="N577" s="458"/>
      <c r="O577" s="458"/>
      <c r="Q577" s="462"/>
      <c r="R577" s="463"/>
      <c r="S577" s="462"/>
      <c r="T577" s="463"/>
      <c r="U577" s="492"/>
      <c r="V577" s="460"/>
      <c r="W577" s="458"/>
    </row>
    <row r="578" spans="1:23" x14ac:dyDescent="0.25">
      <c r="A578" s="458"/>
      <c r="B578" s="463"/>
      <c r="C578" s="460"/>
      <c r="D578" s="462"/>
      <c r="E578" s="463"/>
      <c r="F578" s="493"/>
      <c r="G578" s="493"/>
      <c r="H578" s="493"/>
      <c r="I578" s="493"/>
      <c r="J578" s="493"/>
      <c r="K578" s="493"/>
      <c r="M578" s="458"/>
      <c r="N578" s="458"/>
      <c r="O578" s="458"/>
      <c r="Q578" s="462"/>
      <c r="R578" s="463"/>
      <c r="S578" s="462"/>
      <c r="T578" s="463"/>
      <c r="U578" s="492"/>
      <c r="V578" s="460"/>
      <c r="W578" s="458"/>
    </row>
    <row r="579" spans="1:23" x14ac:dyDescent="0.25">
      <c r="A579" s="458"/>
      <c r="B579" s="463"/>
      <c r="C579" s="460"/>
      <c r="D579" s="462"/>
      <c r="E579" s="463"/>
      <c r="F579" s="493"/>
      <c r="G579" s="493"/>
      <c r="H579" s="493"/>
      <c r="I579" s="493"/>
      <c r="J579" s="493"/>
      <c r="K579" s="493"/>
      <c r="M579" s="458"/>
      <c r="N579" s="458"/>
      <c r="O579" s="458"/>
      <c r="Q579" s="462"/>
      <c r="R579" s="463"/>
      <c r="S579" s="462"/>
      <c r="T579" s="463"/>
      <c r="U579" s="492"/>
      <c r="V579" s="460"/>
      <c r="W579" s="458"/>
    </row>
    <row r="580" spans="1:23" x14ac:dyDescent="0.25">
      <c r="A580" s="458"/>
      <c r="B580" s="463"/>
      <c r="C580" s="460"/>
      <c r="D580" s="462"/>
      <c r="E580" s="463"/>
      <c r="F580" s="493"/>
      <c r="G580" s="493"/>
      <c r="H580" s="493"/>
      <c r="I580" s="493"/>
      <c r="J580" s="493"/>
      <c r="K580" s="493"/>
      <c r="M580" s="458"/>
      <c r="N580" s="458"/>
      <c r="O580" s="458"/>
      <c r="Q580" s="462"/>
      <c r="R580" s="463"/>
      <c r="S580" s="462"/>
      <c r="T580" s="463"/>
      <c r="U580" s="492"/>
      <c r="V580" s="460"/>
      <c r="W580" s="458"/>
    </row>
    <row r="581" spans="1:23" x14ac:dyDescent="0.25">
      <c r="A581" s="458"/>
      <c r="B581" s="463"/>
      <c r="C581" s="460"/>
      <c r="D581" s="462"/>
      <c r="E581" s="463"/>
      <c r="F581" s="493"/>
      <c r="G581" s="493"/>
      <c r="H581" s="493"/>
      <c r="I581" s="493"/>
      <c r="J581" s="493"/>
      <c r="K581" s="493"/>
      <c r="M581" s="458"/>
      <c r="N581" s="458"/>
      <c r="O581" s="458"/>
      <c r="Q581" s="462"/>
      <c r="R581" s="463"/>
      <c r="S581" s="462"/>
      <c r="T581" s="463"/>
      <c r="U581" s="492"/>
      <c r="V581" s="460"/>
      <c r="W581" s="458"/>
    </row>
    <row r="582" spans="1:23" x14ac:dyDescent="0.25">
      <c r="A582" s="458"/>
      <c r="B582" s="463"/>
      <c r="C582" s="460"/>
      <c r="D582" s="462"/>
      <c r="E582" s="463"/>
      <c r="F582" s="493"/>
      <c r="G582" s="493"/>
      <c r="H582" s="493"/>
      <c r="I582" s="493"/>
      <c r="J582" s="493"/>
      <c r="K582" s="493"/>
      <c r="M582" s="458"/>
      <c r="N582" s="458"/>
      <c r="O582" s="458"/>
      <c r="Q582" s="462"/>
      <c r="R582" s="463"/>
      <c r="S582" s="462"/>
      <c r="T582" s="463"/>
      <c r="U582" s="492"/>
      <c r="V582" s="460"/>
      <c r="W582" s="458"/>
    </row>
    <row r="583" spans="1:23" x14ac:dyDescent="0.25">
      <c r="A583" s="458"/>
      <c r="B583" s="463"/>
      <c r="C583" s="460"/>
      <c r="D583" s="462"/>
      <c r="E583" s="463"/>
      <c r="F583" s="493"/>
      <c r="G583" s="493"/>
      <c r="H583" s="493"/>
      <c r="I583" s="493"/>
      <c r="J583" s="493"/>
      <c r="K583" s="493"/>
      <c r="M583" s="458"/>
      <c r="N583" s="458"/>
      <c r="O583" s="458"/>
      <c r="Q583" s="462"/>
      <c r="R583" s="463"/>
      <c r="S583" s="462"/>
      <c r="T583" s="463"/>
      <c r="U583" s="492"/>
      <c r="V583" s="460"/>
      <c r="W583" s="458"/>
    </row>
    <row r="584" spans="1:23" x14ac:dyDescent="0.25">
      <c r="A584" s="458"/>
      <c r="B584" s="463"/>
      <c r="C584" s="460"/>
      <c r="D584" s="462"/>
      <c r="E584" s="463"/>
      <c r="F584" s="493"/>
      <c r="G584" s="493"/>
      <c r="H584" s="493"/>
      <c r="I584" s="493"/>
      <c r="J584" s="493"/>
      <c r="K584" s="493"/>
      <c r="M584" s="458"/>
      <c r="N584" s="458"/>
      <c r="O584" s="458"/>
      <c r="Q584" s="462"/>
      <c r="R584" s="463"/>
      <c r="S584" s="462"/>
      <c r="T584" s="463"/>
      <c r="U584" s="492"/>
      <c r="V584" s="460"/>
      <c r="W584" s="458"/>
    </row>
    <row r="585" spans="1:23" x14ac:dyDescent="0.25">
      <c r="A585" s="458"/>
      <c r="B585" s="463"/>
      <c r="C585" s="460"/>
      <c r="D585" s="462"/>
      <c r="E585" s="463"/>
      <c r="F585" s="493"/>
      <c r="G585" s="493"/>
      <c r="H585" s="493"/>
      <c r="I585" s="493"/>
      <c r="J585" s="493"/>
      <c r="K585" s="493"/>
      <c r="M585" s="458"/>
      <c r="N585" s="458"/>
      <c r="O585" s="458"/>
      <c r="Q585" s="462"/>
      <c r="R585" s="463"/>
      <c r="S585" s="462"/>
      <c r="T585" s="463"/>
      <c r="U585" s="492"/>
      <c r="V585" s="460"/>
      <c r="W585" s="458"/>
    </row>
    <row r="586" spans="1:23" x14ac:dyDescent="0.25">
      <c r="A586" s="458"/>
      <c r="B586" s="463"/>
      <c r="C586" s="460"/>
      <c r="D586" s="462"/>
      <c r="E586" s="463"/>
      <c r="F586" s="493"/>
      <c r="G586" s="493"/>
      <c r="H586" s="493"/>
      <c r="I586" s="493"/>
      <c r="J586" s="493"/>
      <c r="K586" s="493"/>
      <c r="M586" s="458"/>
      <c r="N586" s="458"/>
      <c r="O586" s="458"/>
      <c r="Q586" s="462"/>
      <c r="R586" s="463"/>
      <c r="S586" s="462"/>
      <c r="T586" s="463"/>
      <c r="U586" s="492"/>
      <c r="V586" s="460"/>
      <c r="W586" s="458"/>
    </row>
    <row r="587" spans="1:23" x14ac:dyDescent="0.25">
      <c r="A587" s="458"/>
      <c r="B587" s="463"/>
      <c r="C587" s="460"/>
      <c r="D587" s="462"/>
      <c r="E587" s="463"/>
      <c r="F587" s="493"/>
      <c r="G587" s="493"/>
      <c r="H587" s="493"/>
      <c r="I587" s="493"/>
      <c r="J587" s="493"/>
      <c r="K587" s="493"/>
      <c r="M587" s="458"/>
      <c r="N587" s="458"/>
      <c r="O587" s="458"/>
      <c r="Q587" s="462"/>
      <c r="R587" s="463"/>
      <c r="S587" s="462"/>
      <c r="T587" s="463"/>
      <c r="U587" s="492"/>
      <c r="V587" s="460"/>
      <c r="W587" s="458"/>
    </row>
    <row r="588" spans="1:23" x14ac:dyDescent="0.25">
      <c r="A588" s="458"/>
      <c r="B588" s="463"/>
      <c r="C588" s="460"/>
      <c r="D588" s="462"/>
      <c r="E588" s="463"/>
      <c r="F588" s="493"/>
      <c r="G588" s="493"/>
      <c r="H588" s="493"/>
      <c r="I588" s="493"/>
      <c r="J588" s="493"/>
      <c r="K588" s="493"/>
      <c r="M588" s="458"/>
      <c r="N588" s="458"/>
      <c r="O588" s="458"/>
      <c r="Q588" s="462"/>
      <c r="R588" s="463"/>
      <c r="S588" s="462"/>
      <c r="T588" s="463"/>
      <c r="U588" s="492"/>
      <c r="V588" s="460"/>
      <c r="W588" s="458"/>
    </row>
    <row r="589" spans="1:23" x14ac:dyDescent="0.25">
      <c r="A589" s="458"/>
      <c r="B589" s="463"/>
      <c r="C589" s="460"/>
      <c r="D589" s="462"/>
      <c r="E589" s="463"/>
      <c r="F589" s="493"/>
      <c r="G589" s="493"/>
      <c r="H589" s="493"/>
      <c r="I589" s="493"/>
      <c r="J589" s="493"/>
      <c r="K589" s="493"/>
      <c r="M589" s="458"/>
      <c r="N589" s="458"/>
      <c r="O589" s="458"/>
      <c r="Q589" s="462"/>
      <c r="R589" s="463"/>
      <c r="S589" s="462"/>
      <c r="T589" s="463"/>
      <c r="U589" s="492"/>
      <c r="V589" s="460"/>
      <c r="W589" s="458"/>
    </row>
    <row r="590" spans="1:23" x14ac:dyDescent="0.25">
      <c r="A590" s="458"/>
      <c r="B590" s="463"/>
      <c r="C590" s="460"/>
      <c r="D590" s="462"/>
      <c r="E590" s="463"/>
      <c r="F590" s="493"/>
      <c r="G590" s="493"/>
      <c r="H590" s="493"/>
      <c r="I590" s="493"/>
      <c r="J590" s="493"/>
      <c r="K590" s="493"/>
      <c r="M590" s="458"/>
      <c r="N590" s="458"/>
      <c r="O590" s="458"/>
      <c r="Q590" s="462"/>
      <c r="R590" s="463"/>
      <c r="S590" s="462"/>
      <c r="T590" s="463"/>
      <c r="U590" s="492"/>
      <c r="V590" s="460"/>
      <c r="W590" s="458"/>
    </row>
    <row r="591" spans="1:23" x14ac:dyDescent="0.25">
      <c r="A591" s="458"/>
      <c r="B591" s="463"/>
      <c r="C591" s="460"/>
      <c r="D591" s="462"/>
      <c r="E591" s="463"/>
      <c r="F591" s="493"/>
      <c r="G591" s="493"/>
      <c r="H591" s="493"/>
      <c r="I591" s="493"/>
      <c r="J591" s="493"/>
      <c r="K591" s="493"/>
      <c r="M591" s="458"/>
      <c r="N591" s="458"/>
      <c r="O591" s="458"/>
      <c r="Q591" s="462"/>
      <c r="R591" s="463"/>
      <c r="S591" s="462"/>
      <c r="T591" s="463"/>
      <c r="U591" s="492"/>
      <c r="V591" s="460"/>
      <c r="W591" s="458"/>
    </row>
    <row r="592" spans="1:23" x14ac:dyDescent="0.25">
      <c r="A592" s="458"/>
      <c r="B592" s="463"/>
      <c r="C592" s="460"/>
      <c r="D592" s="462"/>
      <c r="E592" s="463"/>
      <c r="F592" s="493"/>
      <c r="G592" s="493"/>
      <c r="H592" s="493"/>
      <c r="I592" s="493"/>
      <c r="J592" s="493"/>
      <c r="K592" s="493"/>
      <c r="M592" s="458"/>
      <c r="N592" s="458"/>
      <c r="O592" s="458"/>
      <c r="Q592" s="462"/>
      <c r="R592" s="463"/>
      <c r="S592" s="462"/>
      <c r="T592" s="463"/>
      <c r="U592" s="492"/>
      <c r="V592" s="460"/>
      <c r="W592" s="458"/>
    </row>
    <row r="593" spans="1:23" x14ac:dyDescent="0.25">
      <c r="A593" s="458"/>
      <c r="B593" s="463"/>
      <c r="C593" s="460"/>
      <c r="D593" s="462"/>
      <c r="E593" s="463"/>
      <c r="F593" s="493"/>
      <c r="G593" s="493"/>
      <c r="H593" s="493"/>
      <c r="I593" s="493"/>
      <c r="J593" s="493"/>
      <c r="K593" s="493"/>
      <c r="M593" s="458"/>
      <c r="N593" s="458"/>
      <c r="O593" s="458"/>
      <c r="Q593" s="462"/>
      <c r="R593" s="463"/>
      <c r="S593" s="462"/>
      <c r="T593" s="463"/>
      <c r="U593" s="492"/>
      <c r="V593" s="460"/>
      <c r="W593" s="458"/>
    </row>
    <row r="594" spans="1:23" x14ac:dyDescent="0.25">
      <c r="A594" s="458"/>
      <c r="B594" s="463"/>
      <c r="C594" s="460"/>
      <c r="D594" s="462"/>
      <c r="E594" s="463"/>
      <c r="F594" s="493"/>
      <c r="G594" s="493"/>
      <c r="H594" s="493"/>
      <c r="I594" s="493"/>
      <c r="J594" s="493"/>
      <c r="K594" s="493"/>
      <c r="M594" s="458"/>
      <c r="N594" s="458"/>
      <c r="O594" s="458"/>
      <c r="Q594" s="462"/>
      <c r="R594" s="463"/>
      <c r="S594" s="462"/>
      <c r="T594" s="463"/>
      <c r="U594" s="492"/>
      <c r="V594" s="460"/>
      <c r="W594" s="458"/>
    </row>
    <row r="595" spans="1:23" x14ac:dyDescent="0.25">
      <c r="A595" s="458"/>
      <c r="B595" s="463"/>
      <c r="C595" s="460"/>
      <c r="D595" s="462"/>
      <c r="E595" s="463"/>
      <c r="F595" s="493"/>
      <c r="G595" s="493"/>
      <c r="H595" s="493"/>
      <c r="I595" s="493"/>
      <c r="J595" s="493"/>
      <c r="K595" s="493"/>
      <c r="M595" s="458"/>
      <c r="N595" s="458"/>
      <c r="O595" s="458"/>
      <c r="Q595" s="462"/>
      <c r="R595" s="463"/>
      <c r="S595" s="462"/>
      <c r="T595" s="463"/>
      <c r="U595" s="492"/>
      <c r="V595" s="460"/>
      <c r="W595" s="458"/>
    </row>
    <row r="596" spans="1:23" x14ac:dyDescent="0.25">
      <c r="A596" s="458"/>
      <c r="B596" s="463"/>
      <c r="C596" s="460"/>
      <c r="D596" s="462"/>
      <c r="E596" s="463"/>
      <c r="F596" s="493"/>
      <c r="G596" s="493"/>
      <c r="H596" s="493"/>
      <c r="I596" s="493"/>
      <c r="J596" s="493"/>
      <c r="K596" s="493"/>
      <c r="M596" s="458"/>
      <c r="N596" s="458"/>
      <c r="O596" s="458"/>
      <c r="Q596" s="462"/>
      <c r="R596" s="463"/>
      <c r="S596" s="462"/>
      <c r="T596" s="463"/>
      <c r="U596" s="492"/>
      <c r="V596" s="460"/>
      <c r="W596" s="458"/>
    </row>
    <row r="597" spans="1:23" x14ac:dyDescent="0.25">
      <c r="A597" s="458"/>
      <c r="B597" s="463"/>
      <c r="C597" s="460"/>
      <c r="D597" s="462"/>
      <c r="E597" s="463"/>
      <c r="F597" s="493"/>
      <c r="G597" s="493"/>
      <c r="H597" s="493"/>
      <c r="I597" s="493"/>
      <c r="J597" s="493"/>
      <c r="K597" s="493"/>
      <c r="M597" s="458"/>
      <c r="N597" s="458"/>
      <c r="O597" s="458"/>
      <c r="Q597" s="462"/>
      <c r="R597" s="463"/>
      <c r="S597" s="462"/>
      <c r="T597" s="463"/>
      <c r="U597" s="492"/>
      <c r="V597" s="460"/>
      <c r="W597" s="458"/>
    </row>
    <row r="598" spans="1:23" x14ac:dyDescent="0.25">
      <c r="A598" s="458"/>
      <c r="B598" s="463"/>
      <c r="C598" s="460"/>
      <c r="D598" s="462"/>
      <c r="E598" s="463"/>
      <c r="F598" s="493"/>
      <c r="G598" s="493"/>
      <c r="H598" s="493"/>
      <c r="I598" s="493"/>
      <c r="J598" s="493"/>
      <c r="K598" s="493"/>
      <c r="M598" s="458"/>
      <c r="N598" s="458"/>
      <c r="O598" s="458"/>
      <c r="Q598" s="462"/>
      <c r="R598" s="463"/>
      <c r="S598" s="462"/>
      <c r="T598" s="463"/>
      <c r="U598" s="492"/>
      <c r="V598" s="460"/>
      <c r="W598" s="458"/>
    </row>
    <row r="599" spans="1:23" x14ac:dyDescent="0.25">
      <c r="A599" s="458"/>
      <c r="B599" s="463"/>
      <c r="C599" s="460"/>
      <c r="D599" s="462"/>
      <c r="E599" s="463"/>
      <c r="F599" s="493"/>
      <c r="G599" s="493"/>
      <c r="H599" s="493"/>
      <c r="I599" s="493"/>
      <c r="J599" s="493"/>
      <c r="K599" s="493"/>
      <c r="M599" s="458"/>
      <c r="N599" s="458"/>
      <c r="O599" s="458"/>
      <c r="Q599" s="462"/>
      <c r="R599" s="463"/>
      <c r="S599" s="462"/>
      <c r="T599" s="463"/>
      <c r="U599" s="492"/>
      <c r="V599" s="460"/>
      <c r="W599" s="458"/>
    </row>
    <row r="600" spans="1:23" x14ac:dyDescent="0.25">
      <c r="A600" s="458"/>
      <c r="B600" s="463"/>
      <c r="C600" s="460"/>
      <c r="D600" s="462"/>
      <c r="E600" s="463"/>
      <c r="F600" s="493"/>
      <c r="G600" s="493"/>
      <c r="H600" s="493"/>
      <c r="I600" s="493"/>
      <c r="J600" s="493"/>
      <c r="K600" s="493"/>
      <c r="M600" s="458"/>
      <c r="N600" s="458"/>
      <c r="O600" s="458"/>
      <c r="Q600" s="462"/>
      <c r="R600" s="463"/>
      <c r="S600" s="462"/>
      <c r="T600" s="463"/>
      <c r="U600" s="492"/>
      <c r="V600" s="460"/>
      <c r="W600" s="458"/>
    </row>
    <row r="601" spans="1:23" x14ac:dyDescent="0.25">
      <c r="A601" s="458"/>
      <c r="B601" s="463"/>
      <c r="C601" s="460"/>
      <c r="D601" s="462"/>
      <c r="E601" s="463"/>
      <c r="F601" s="493"/>
      <c r="G601" s="493"/>
      <c r="H601" s="493"/>
      <c r="I601" s="493"/>
      <c r="J601" s="493"/>
      <c r="K601" s="493"/>
      <c r="M601" s="458"/>
      <c r="N601" s="458"/>
      <c r="O601" s="458"/>
      <c r="Q601" s="462"/>
      <c r="R601" s="463"/>
      <c r="S601" s="462"/>
      <c r="T601" s="463"/>
      <c r="U601" s="492"/>
      <c r="V601" s="460"/>
      <c r="W601" s="458"/>
    </row>
    <row r="602" spans="1:23" x14ac:dyDescent="0.25">
      <c r="A602" s="458"/>
      <c r="B602" s="463"/>
      <c r="C602" s="460"/>
      <c r="D602" s="462"/>
      <c r="E602" s="463"/>
      <c r="F602" s="493"/>
      <c r="G602" s="493"/>
      <c r="H602" s="493"/>
      <c r="I602" s="493"/>
      <c r="J602" s="493"/>
      <c r="K602" s="493"/>
      <c r="M602" s="458"/>
      <c r="N602" s="458"/>
      <c r="O602" s="458"/>
      <c r="Q602" s="462"/>
      <c r="R602" s="463"/>
      <c r="S602" s="462"/>
      <c r="T602" s="463"/>
      <c r="U602" s="492"/>
      <c r="V602" s="460"/>
      <c r="W602" s="458"/>
    </row>
    <row r="603" spans="1:23" x14ac:dyDescent="0.25">
      <c r="A603" s="458"/>
      <c r="B603" s="463"/>
      <c r="C603" s="460"/>
      <c r="D603" s="462"/>
      <c r="E603" s="463"/>
      <c r="F603" s="493"/>
      <c r="G603" s="493"/>
      <c r="H603" s="493"/>
      <c r="I603" s="493"/>
      <c r="J603" s="493"/>
      <c r="K603" s="493"/>
      <c r="M603" s="458"/>
      <c r="N603" s="458"/>
      <c r="O603" s="458"/>
      <c r="Q603" s="462"/>
      <c r="R603" s="463"/>
      <c r="S603" s="462"/>
      <c r="T603" s="463"/>
      <c r="U603" s="492"/>
      <c r="V603" s="460"/>
      <c r="W603" s="458"/>
    </row>
    <row r="604" spans="1:23" x14ac:dyDescent="0.25">
      <c r="A604" s="458"/>
      <c r="B604" s="463"/>
      <c r="C604" s="460"/>
      <c r="D604" s="462"/>
      <c r="E604" s="463"/>
      <c r="F604" s="493"/>
      <c r="G604" s="493"/>
      <c r="H604" s="493"/>
      <c r="I604" s="493"/>
      <c r="J604" s="493"/>
      <c r="K604" s="493"/>
      <c r="M604" s="458"/>
      <c r="N604" s="458"/>
      <c r="O604" s="458"/>
      <c r="Q604" s="462"/>
      <c r="R604" s="463"/>
      <c r="S604" s="462"/>
      <c r="T604" s="463"/>
      <c r="U604" s="492"/>
      <c r="V604" s="460"/>
      <c r="W604" s="458"/>
    </row>
    <row r="605" spans="1:23" x14ac:dyDescent="0.25">
      <c r="A605" s="458"/>
      <c r="B605" s="463"/>
      <c r="C605" s="460"/>
      <c r="D605" s="462"/>
      <c r="E605" s="463"/>
      <c r="F605" s="493"/>
      <c r="G605" s="493"/>
      <c r="H605" s="493"/>
      <c r="I605" s="493"/>
      <c r="J605" s="493"/>
      <c r="K605" s="493"/>
      <c r="M605" s="458"/>
      <c r="N605" s="458"/>
      <c r="O605" s="458"/>
      <c r="Q605" s="462"/>
      <c r="R605" s="463"/>
      <c r="S605" s="462"/>
      <c r="T605" s="463"/>
      <c r="U605" s="492"/>
      <c r="V605" s="460"/>
      <c r="W605" s="458"/>
    </row>
    <row r="606" spans="1:23" x14ac:dyDescent="0.25">
      <c r="A606" s="458"/>
      <c r="B606" s="463"/>
      <c r="C606" s="460"/>
      <c r="D606" s="462"/>
      <c r="E606" s="463"/>
      <c r="F606" s="493"/>
      <c r="G606" s="493"/>
      <c r="H606" s="493"/>
      <c r="I606" s="493"/>
      <c r="J606" s="493"/>
      <c r="K606" s="493"/>
      <c r="M606" s="458"/>
      <c r="N606" s="458"/>
      <c r="O606" s="458"/>
      <c r="Q606" s="462"/>
      <c r="R606" s="463"/>
      <c r="S606" s="462"/>
      <c r="T606" s="463"/>
      <c r="U606" s="492"/>
      <c r="V606" s="460"/>
      <c r="W606" s="458"/>
    </row>
    <row r="607" spans="1:23" x14ac:dyDescent="0.25">
      <c r="A607" s="458"/>
      <c r="B607" s="463"/>
      <c r="C607" s="460"/>
      <c r="D607" s="462"/>
      <c r="E607" s="463"/>
      <c r="F607" s="493"/>
      <c r="G607" s="493"/>
      <c r="H607" s="493"/>
      <c r="I607" s="493"/>
      <c r="J607" s="493"/>
      <c r="K607" s="493"/>
      <c r="M607" s="458"/>
      <c r="N607" s="458"/>
      <c r="O607" s="458"/>
      <c r="Q607" s="462"/>
      <c r="R607" s="463"/>
      <c r="S607" s="462"/>
      <c r="T607" s="463"/>
      <c r="U607" s="492"/>
      <c r="V607" s="460"/>
      <c r="W607" s="458"/>
    </row>
    <row r="608" spans="1:23" x14ac:dyDescent="0.25">
      <c r="A608" s="458"/>
      <c r="B608" s="463"/>
      <c r="C608" s="460"/>
      <c r="D608" s="462"/>
      <c r="E608" s="463"/>
      <c r="F608" s="493"/>
      <c r="G608" s="493"/>
      <c r="H608" s="493"/>
      <c r="I608" s="493"/>
      <c r="J608" s="493"/>
      <c r="K608" s="493"/>
      <c r="M608" s="458"/>
      <c r="N608" s="458"/>
      <c r="O608" s="458"/>
      <c r="Q608" s="462"/>
      <c r="R608" s="463"/>
      <c r="S608" s="462"/>
      <c r="T608" s="463"/>
      <c r="U608" s="492"/>
      <c r="V608" s="460"/>
      <c r="W608" s="458"/>
    </row>
    <row r="609" spans="1:23" x14ac:dyDescent="0.25">
      <c r="A609" s="458"/>
      <c r="B609" s="463"/>
      <c r="C609" s="460"/>
      <c r="D609" s="462"/>
      <c r="E609" s="463"/>
      <c r="F609" s="493"/>
      <c r="G609" s="493"/>
      <c r="H609" s="493"/>
      <c r="I609" s="493"/>
      <c r="J609" s="493"/>
      <c r="K609" s="493"/>
      <c r="M609" s="458"/>
      <c r="N609" s="458"/>
      <c r="O609" s="458"/>
      <c r="Q609" s="462"/>
      <c r="R609" s="463"/>
      <c r="S609" s="462"/>
      <c r="T609" s="463"/>
      <c r="U609" s="492"/>
      <c r="V609" s="460"/>
      <c r="W609" s="458"/>
    </row>
    <row r="610" spans="1:23" x14ac:dyDescent="0.25">
      <c r="A610" s="458"/>
      <c r="B610" s="463"/>
      <c r="C610" s="460"/>
      <c r="D610" s="462"/>
      <c r="E610" s="463"/>
      <c r="F610" s="493"/>
      <c r="G610" s="493"/>
      <c r="H610" s="493"/>
      <c r="I610" s="493"/>
      <c r="J610" s="493"/>
      <c r="K610" s="493"/>
      <c r="M610" s="458"/>
      <c r="N610" s="458"/>
      <c r="O610" s="458"/>
      <c r="Q610" s="462"/>
      <c r="R610" s="463"/>
      <c r="S610" s="462"/>
      <c r="T610" s="463"/>
      <c r="U610" s="492"/>
      <c r="V610" s="460"/>
      <c r="W610" s="458"/>
    </row>
    <row r="611" spans="1:23" x14ac:dyDescent="0.25">
      <c r="A611" s="458"/>
      <c r="B611" s="463"/>
      <c r="C611" s="460"/>
      <c r="D611" s="462"/>
      <c r="E611" s="463"/>
      <c r="F611" s="493"/>
      <c r="G611" s="493"/>
      <c r="H611" s="493"/>
      <c r="I611" s="493"/>
      <c r="J611" s="493"/>
      <c r="K611" s="493"/>
      <c r="M611" s="458"/>
      <c r="N611" s="458"/>
      <c r="O611" s="458"/>
      <c r="Q611" s="462"/>
      <c r="R611" s="463"/>
      <c r="S611" s="462"/>
      <c r="T611" s="463"/>
      <c r="U611" s="492"/>
      <c r="V611" s="460"/>
      <c r="W611" s="458"/>
    </row>
    <row r="612" spans="1:23" x14ac:dyDescent="0.25">
      <c r="A612" s="458"/>
      <c r="B612" s="463"/>
      <c r="C612" s="460"/>
      <c r="D612" s="462"/>
      <c r="E612" s="463"/>
      <c r="F612" s="493"/>
      <c r="G612" s="493"/>
      <c r="H612" s="493"/>
      <c r="I612" s="493"/>
      <c r="J612" s="493"/>
      <c r="K612" s="493"/>
      <c r="M612" s="458"/>
      <c r="N612" s="458"/>
      <c r="O612" s="458"/>
      <c r="Q612" s="462"/>
      <c r="R612" s="463"/>
      <c r="S612" s="462"/>
      <c r="T612" s="463"/>
      <c r="U612" s="492"/>
      <c r="V612" s="460"/>
      <c r="W612" s="458"/>
    </row>
    <row r="613" spans="1:23" x14ac:dyDescent="0.25">
      <c r="A613" s="458"/>
      <c r="B613" s="463"/>
      <c r="C613" s="460"/>
      <c r="D613" s="462"/>
      <c r="E613" s="463"/>
      <c r="F613" s="493"/>
      <c r="G613" s="493"/>
      <c r="H613" s="493"/>
      <c r="I613" s="493"/>
      <c r="J613" s="493"/>
      <c r="K613" s="493"/>
      <c r="M613" s="458"/>
      <c r="N613" s="458"/>
      <c r="O613" s="458"/>
      <c r="Q613" s="462"/>
      <c r="R613" s="463"/>
      <c r="S613" s="462"/>
      <c r="T613" s="463"/>
      <c r="U613" s="492"/>
      <c r="V613" s="460"/>
      <c r="W613" s="458"/>
    </row>
    <row r="614" spans="1:23" x14ac:dyDescent="0.25">
      <c r="A614" s="458"/>
      <c r="B614" s="463"/>
      <c r="C614" s="460"/>
      <c r="D614" s="462"/>
      <c r="E614" s="463"/>
      <c r="F614" s="493"/>
      <c r="G614" s="493"/>
      <c r="H614" s="493"/>
      <c r="I614" s="493"/>
      <c r="J614" s="493"/>
      <c r="K614" s="493"/>
      <c r="M614" s="458"/>
      <c r="N614" s="458"/>
      <c r="O614" s="458"/>
      <c r="Q614" s="462"/>
      <c r="R614" s="463"/>
      <c r="S614" s="462"/>
      <c r="T614" s="463"/>
      <c r="U614" s="492"/>
      <c r="V614" s="460"/>
      <c r="W614" s="458"/>
    </row>
    <row r="615" spans="1:23" x14ac:dyDescent="0.25">
      <c r="A615" s="458"/>
      <c r="B615" s="463"/>
      <c r="C615" s="460"/>
      <c r="D615" s="462"/>
      <c r="E615" s="463"/>
      <c r="F615" s="493"/>
      <c r="G615" s="493"/>
      <c r="H615" s="493"/>
      <c r="I615" s="493"/>
      <c r="J615" s="493"/>
      <c r="K615" s="493"/>
      <c r="M615" s="458"/>
      <c r="N615" s="458"/>
      <c r="O615" s="458"/>
      <c r="Q615" s="462"/>
      <c r="R615" s="463"/>
      <c r="S615" s="462"/>
      <c r="T615" s="463"/>
      <c r="U615" s="492"/>
      <c r="V615" s="460"/>
      <c r="W615" s="458"/>
    </row>
    <row r="616" spans="1:23" x14ac:dyDescent="0.25">
      <c r="A616" s="458"/>
      <c r="B616" s="463"/>
      <c r="C616" s="460"/>
      <c r="D616" s="462"/>
      <c r="E616" s="463"/>
      <c r="F616" s="493"/>
      <c r="G616" s="493"/>
      <c r="H616" s="493"/>
      <c r="I616" s="493"/>
      <c r="J616" s="493"/>
      <c r="K616" s="493"/>
      <c r="M616" s="458"/>
      <c r="N616" s="458"/>
      <c r="O616" s="458"/>
      <c r="Q616" s="462"/>
      <c r="R616" s="463"/>
      <c r="S616" s="462"/>
      <c r="T616" s="463"/>
      <c r="U616" s="492"/>
      <c r="V616" s="460"/>
      <c r="W616" s="458"/>
    </row>
    <row r="617" spans="1:23" x14ac:dyDescent="0.25">
      <c r="A617" s="458"/>
      <c r="B617" s="463"/>
      <c r="C617" s="460"/>
      <c r="D617" s="462"/>
      <c r="E617" s="463"/>
      <c r="F617" s="493"/>
      <c r="G617" s="493"/>
      <c r="H617" s="493"/>
      <c r="I617" s="493"/>
      <c r="J617" s="493"/>
      <c r="K617" s="493"/>
      <c r="M617" s="458"/>
      <c r="N617" s="458"/>
      <c r="O617" s="458"/>
      <c r="Q617" s="462"/>
      <c r="R617" s="463"/>
      <c r="S617" s="462"/>
      <c r="T617" s="463"/>
      <c r="U617" s="492"/>
      <c r="V617" s="460"/>
      <c r="W617" s="458"/>
    </row>
    <row r="618" spans="1:23" x14ac:dyDescent="0.25">
      <c r="A618" s="458"/>
      <c r="B618" s="463"/>
      <c r="C618" s="460"/>
      <c r="D618" s="462"/>
      <c r="E618" s="463"/>
      <c r="F618" s="493"/>
      <c r="G618" s="493"/>
      <c r="H618" s="493"/>
      <c r="I618" s="493"/>
      <c r="J618" s="493"/>
      <c r="K618" s="493"/>
      <c r="M618" s="458"/>
      <c r="N618" s="458"/>
      <c r="O618" s="458"/>
      <c r="Q618" s="462"/>
      <c r="R618" s="463"/>
      <c r="S618" s="462"/>
      <c r="T618" s="463"/>
      <c r="U618" s="492"/>
      <c r="V618" s="460"/>
      <c r="W618" s="458"/>
    </row>
    <row r="619" spans="1:23" x14ac:dyDescent="0.25">
      <c r="A619" s="458"/>
      <c r="B619" s="463"/>
      <c r="C619" s="460"/>
      <c r="D619" s="462"/>
      <c r="E619" s="463"/>
      <c r="F619" s="493"/>
      <c r="G619" s="493"/>
      <c r="H619" s="493"/>
      <c r="I619" s="493"/>
      <c r="J619" s="493"/>
      <c r="K619" s="493"/>
      <c r="M619" s="458"/>
      <c r="N619" s="458"/>
      <c r="O619" s="458"/>
      <c r="Q619" s="462"/>
      <c r="R619" s="463"/>
      <c r="S619" s="462"/>
      <c r="T619" s="463"/>
      <c r="U619" s="492"/>
      <c r="V619" s="460"/>
      <c r="W619" s="458"/>
    </row>
    <row r="620" spans="1:23" x14ac:dyDescent="0.25">
      <c r="A620" s="458"/>
      <c r="B620" s="463"/>
      <c r="C620" s="460"/>
      <c r="D620" s="462"/>
      <c r="E620" s="463"/>
      <c r="F620" s="493"/>
      <c r="G620" s="493"/>
      <c r="H620" s="493"/>
      <c r="I620" s="493"/>
      <c r="J620" s="493"/>
      <c r="K620" s="493"/>
      <c r="M620" s="458"/>
      <c r="N620" s="458"/>
      <c r="O620" s="458"/>
      <c r="Q620" s="462"/>
      <c r="R620" s="463"/>
      <c r="S620" s="462"/>
      <c r="T620" s="463"/>
      <c r="U620" s="492"/>
      <c r="V620" s="460"/>
      <c r="W620" s="458"/>
    </row>
    <row r="621" spans="1:23" x14ac:dyDescent="0.25">
      <c r="A621" s="458"/>
      <c r="B621" s="463"/>
      <c r="C621" s="460"/>
      <c r="D621" s="462"/>
      <c r="E621" s="463"/>
      <c r="F621" s="493"/>
      <c r="G621" s="493"/>
      <c r="H621" s="493"/>
      <c r="I621" s="493"/>
      <c r="J621" s="493"/>
      <c r="K621" s="493"/>
      <c r="M621" s="458"/>
      <c r="N621" s="458"/>
      <c r="O621" s="458"/>
      <c r="Q621" s="462"/>
      <c r="R621" s="463"/>
      <c r="S621" s="462"/>
      <c r="T621" s="463"/>
      <c r="U621" s="492"/>
      <c r="V621" s="460"/>
      <c r="W621" s="458"/>
    </row>
    <row r="622" spans="1:23" x14ac:dyDescent="0.25">
      <c r="A622" s="458"/>
      <c r="B622" s="463"/>
      <c r="C622" s="460"/>
      <c r="D622" s="462"/>
      <c r="E622" s="463"/>
      <c r="F622" s="493"/>
      <c r="G622" s="493"/>
      <c r="H622" s="493"/>
      <c r="I622" s="493"/>
      <c r="J622" s="493"/>
      <c r="K622" s="493"/>
      <c r="M622" s="458"/>
      <c r="N622" s="458"/>
      <c r="O622" s="458"/>
      <c r="Q622" s="462"/>
      <c r="R622" s="463"/>
      <c r="S622" s="462"/>
      <c r="T622" s="463"/>
      <c r="U622" s="492"/>
      <c r="V622" s="460"/>
      <c r="W622" s="458"/>
    </row>
    <row r="623" spans="1:23" x14ac:dyDescent="0.25">
      <c r="A623" s="458"/>
      <c r="B623" s="463"/>
      <c r="C623" s="460"/>
      <c r="D623" s="462"/>
      <c r="E623" s="463"/>
      <c r="F623" s="493"/>
      <c r="G623" s="493"/>
      <c r="H623" s="493"/>
      <c r="I623" s="493"/>
      <c r="J623" s="493"/>
      <c r="K623" s="493"/>
      <c r="M623" s="458"/>
      <c r="N623" s="458"/>
      <c r="O623" s="458"/>
      <c r="Q623" s="462"/>
      <c r="R623" s="463"/>
      <c r="S623" s="462"/>
      <c r="T623" s="463"/>
      <c r="U623" s="492"/>
      <c r="V623" s="460"/>
      <c r="W623" s="458"/>
    </row>
    <row r="624" spans="1:23" x14ac:dyDescent="0.25">
      <c r="A624" s="458"/>
      <c r="B624" s="463"/>
      <c r="C624" s="460"/>
      <c r="D624" s="462"/>
      <c r="E624" s="463"/>
      <c r="F624" s="493"/>
      <c r="G624" s="493"/>
      <c r="H624" s="493"/>
      <c r="I624" s="493"/>
      <c r="J624" s="493"/>
      <c r="K624" s="493"/>
      <c r="M624" s="458"/>
      <c r="N624" s="458"/>
      <c r="O624" s="458"/>
      <c r="Q624" s="462"/>
      <c r="R624" s="463"/>
      <c r="S624" s="462"/>
      <c r="T624" s="463"/>
      <c r="U624" s="492"/>
      <c r="V624" s="460"/>
      <c r="W624" s="458"/>
    </row>
    <row r="625" spans="1:23" x14ac:dyDescent="0.25">
      <c r="A625" s="458"/>
      <c r="B625" s="463"/>
      <c r="C625" s="460"/>
      <c r="D625" s="462"/>
      <c r="E625" s="463"/>
      <c r="F625" s="493"/>
      <c r="G625" s="493"/>
      <c r="H625" s="493"/>
      <c r="I625" s="493"/>
      <c r="J625" s="493"/>
      <c r="K625" s="493"/>
      <c r="M625" s="458"/>
      <c r="N625" s="458"/>
      <c r="O625" s="458"/>
      <c r="Q625" s="462"/>
      <c r="R625" s="463"/>
      <c r="S625" s="462"/>
      <c r="T625" s="463"/>
      <c r="U625" s="492"/>
      <c r="V625" s="460"/>
      <c r="W625" s="458"/>
    </row>
    <row r="626" spans="1:23" x14ac:dyDescent="0.25">
      <c r="A626" s="458"/>
      <c r="B626" s="463"/>
      <c r="C626" s="460"/>
      <c r="D626" s="462"/>
      <c r="E626" s="463"/>
      <c r="F626" s="493"/>
      <c r="G626" s="493"/>
      <c r="H626" s="493"/>
      <c r="I626" s="493"/>
      <c r="J626" s="493"/>
      <c r="K626" s="493"/>
      <c r="M626" s="458"/>
      <c r="N626" s="458"/>
      <c r="O626" s="458"/>
      <c r="Q626" s="462"/>
      <c r="R626" s="463"/>
      <c r="S626" s="462"/>
      <c r="T626" s="463"/>
      <c r="U626" s="492"/>
      <c r="V626" s="460"/>
      <c r="W626" s="458"/>
    </row>
    <row r="627" spans="1:23" x14ac:dyDescent="0.25">
      <c r="A627" s="458"/>
      <c r="B627" s="463"/>
      <c r="C627" s="460"/>
      <c r="D627" s="462"/>
      <c r="E627" s="463"/>
      <c r="F627" s="493"/>
      <c r="G627" s="493"/>
      <c r="H627" s="493"/>
      <c r="I627" s="493"/>
      <c r="J627" s="493"/>
      <c r="K627" s="493"/>
      <c r="M627" s="458"/>
      <c r="N627" s="458"/>
      <c r="O627" s="458"/>
      <c r="Q627" s="462"/>
      <c r="R627" s="463"/>
      <c r="S627" s="462"/>
      <c r="T627" s="463"/>
      <c r="U627" s="492"/>
      <c r="V627" s="460"/>
      <c r="W627" s="458"/>
    </row>
    <row r="628" spans="1:23" x14ac:dyDescent="0.25">
      <c r="A628" s="458"/>
      <c r="B628" s="463"/>
      <c r="C628" s="460"/>
      <c r="D628" s="462"/>
      <c r="E628" s="463"/>
      <c r="F628" s="493"/>
      <c r="G628" s="493"/>
      <c r="H628" s="493"/>
      <c r="I628" s="493"/>
      <c r="J628" s="493"/>
      <c r="K628" s="493"/>
      <c r="M628" s="458"/>
      <c r="N628" s="458"/>
      <c r="O628" s="458"/>
      <c r="Q628" s="462"/>
      <c r="R628" s="463"/>
      <c r="S628" s="462"/>
      <c r="T628" s="463"/>
      <c r="U628" s="492"/>
      <c r="V628" s="460"/>
      <c r="W628" s="458"/>
    </row>
    <row r="629" spans="1:23" x14ac:dyDescent="0.25">
      <c r="A629" s="458"/>
      <c r="B629" s="463"/>
      <c r="C629" s="460"/>
      <c r="D629" s="462"/>
      <c r="E629" s="463"/>
      <c r="F629" s="493"/>
      <c r="G629" s="493"/>
      <c r="H629" s="493"/>
      <c r="I629" s="493"/>
      <c r="J629" s="493"/>
      <c r="K629" s="493"/>
      <c r="M629" s="458"/>
      <c r="N629" s="458"/>
      <c r="O629" s="458"/>
      <c r="Q629" s="462"/>
      <c r="R629" s="463"/>
      <c r="S629" s="462"/>
      <c r="T629" s="463"/>
      <c r="U629" s="492"/>
      <c r="V629" s="460"/>
      <c r="W629" s="458"/>
    </row>
    <row r="630" spans="1:23" x14ac:dyDescent="0.25">
      <c r="A630" s="458"/>
      <c r="B630" s="463"/>
      <c r="C630" s="460"/>
      <c r="D630" s="462"/>
      <c r="E630" s="463"/>
      <c r="F630" s="493"/>
      <c r="G630" s="493"/>
      <c r="H630" s="493"/>
      <c r="I630" s="493"/>
      <c r="J630" s="493"/>
      <c r="K630" s="493"/>
      <c r="M630" s="458"/>
      <c r="N630" s="458"/>
      <c r="O630" s="458"/>
      <c r="Q630" s="462"/>
      <c r="R630" s="463"/>
      <c r="S630" s="462"/>
      <c r="T630" s="463"/>
      <c r="U630" s="492"/>
      <c r="V630" s="460"/>
      <c r="W630" s="458"/>
    </row>
    <row r="631" spans="1:23" x14ac:dyDescent="0.25">
      <c r="A631" s="458"/>
      <c r="B631" s="463"/>
      <c r="C631" s="460"/>
      <c r="D631" s="462"/>
      <c r="E631" s="463"/>
      <c r="F631" s="493"/>
      <c r="G631" s="493"/>
      <c r="H631" s="493"/>
      <c r="I631" s="493"/>
      <c r="J631" s="493"/>
      <c r="K631" s="493"/>
      <c r="M631" s="458"/>
      <c r="N631" s="458"/>
      <c r="O631" s="458"/>
      <c r="Q631" s="462"/>
      <c r="R631" s="463"/>
      <c r="S631" s="462"/>
      <c r="T631" s="463"/>
      <c r="U631" s="492"/>
      <c r="V631" s="460"/>
      <c r="W631" s="458"/>
    </row>
    <row r="632" spans="1:23" x14ac:dyDescent="0.25">
      <c r="A632" s="458"/>
      <c r="B632" s="463"/>
      <c r="C632" s="460"/>
      <c r="D632" s="462"/>
      <c r="E632" s="463"/>
      <c r="F632" s="493"/>
      <c r="G632" s="493"/>
      <c r="H632" s="493"/>
      <c r="I632" s="493"/>
      <c r="J632" s="493"/>
      <c r="K632" s="493"/>
      <c r="M632" s="458"/>
      <c r="N632" s="458"/>
      <c r="O632" s="458"/>
      <c r="Q632" s="462"/>
      <c r="R632" s="463"/>
      <c r="S632" s="462"/>
      <c r="T632" s="463"/>
      <c r="U632" s="492"/>
      <c r="V632" s="460"/>
      <c r="W632" s="458"/>
    </row>
    <row r="633" spans="1:23" x14ac:dyDescent="0.25">
      <c r="A633" s="458"/>
      <c r="B633" s="463"/>
      <c r="C633" s="460"/>
      <c r="D633" s="462"/>
      <c r="E633" s="463"/>
      <c r="F633" s="493"/>
      <c r="G633" s="493"/>
      <c r="H633" s="493"/>
      <c r="I633" s="493"/>
      <c r="J633" s="493"/>
      <c r="K633" s="493"/>
      <c r="M633" s="458"/>
      <c r="N633" s="458"/>
      <c r="O633" s="458"/>
      <c r="Q633" s="462"/>
      <c r="R633" s="463"/>
      <c r="S633" s="462"/>
      <c r="T633" s="463"/>
      <c r="U633" s="492"/>
      <c r="V633" s="460"/>
      <c r="W633" s="458"/>
    </row>
    <row r="634" spans="1:23" x14ac:dyDescent="0.25">
      <c r="A634" s="458"/>
      <c r="B634" s="463"/>
      <c r="C634" s="460"/>
      <c r="D634" s="462"/>
      <c r="E634" s="463"/>
      <c r="F634" s="493"/>
      <c r="G634" s="493"/>
      <c r="H634" s="493"/>
      <c r="I634" s="493"/>
      <c r="J634" s="493"/>
      <c r="K634" s="493"/>
      <c r="M634" s="458"/>
      <c r="N634" s="458"/>
      <c r="O634" s="458"/>
      <c r="Q634" s="462"/>
      <c r="R634" s="463"/>
      <c r="S634" s="462"/>
      <c r="T634" s="463"/>
      <c r="U634" s="492"/>
      <c r="V634" s="460"/>
      <c r="W634" s="458"/>
    </row>
    <row r="635" spans="1:23" x14ac:dyDescent="0.25">
      <c r="A635" s="458"/>
      <c r="B635" s="463"/>
      <c r="C635" s="460"/>
      <c r="D635" s="462"/>
      <c r="E635" s="463"/>
      <c r="F635" s="493"/>
      <c r="G635" s="493"/>
      <c r="H635" s="493"/>
      <c r="I635" s="493"/>
      <c r="J635" s="493"/>
      <c r="K635" s="493"/>
      <c r="M635" s="458"/>
      <c r="N635" s="458"/>
      <c r="O635" s="458"/>
      <c r="Q635" s="462"/>
      <c r="R635" s="463"/>
      <c r="S635" s="462"/>
      <c r="T635" s="463"/>
      <c r="U635" s="492"/>
      <c r="V635" s="460"/>
      <c r="W635" s="458"/>
    </row>
    <row r="636" spans="1:23" x14ac:dyDescent="0.25">
      <c r="A636" s="458"/>
      <c r="B636" s="463"/>
      <c r="C636" s="460"/>
      <c r="D636" s="462"/>
      <c r="E636" s="463"/>
      <c r="F636" s="493"/>
      <c r="G636" s="493"/>
      <c r="H636" s="493"/>
      <c r="I636" s="493"/>
      <c r="J636" s="493"/>
      <c r="K636" s="493"/>
      <c r="M636" s="458"/>
      <c r="N636" s="458"/>
      <c r="O636" s="458"/>
      <c r="Q636" s="462"/>
      <c r="R636" s="463"/>
      <c r="S636" s="462"/>
      <c r="T636" s="463"/>
      <c r="U636" s="492"/>
      <c r="V636" s="460"/>
      <c r="W636" s="458"/>
    </row>
    <row r="637" spans="1:23" x14ac:dyDescent="0.25">
      <c r="A637" s="458"/>
      <c r="B637" s="463"/>
      <c r="C637" s="460"/>
      <c r="D637" s="462"/>
      <c r="E637" s="463"/>
      <c r="F637" s="493"/>
      <c r="G637" s="493"/>
      <c r="H637" s="493"/>
      <c r="I637" s="493"/>
      <c r="J637" s="493"/>
      <c r="K637" s="493"/>
      <c r="M637" s="458"/>
      <c r="N637" s="458"/>
      <c r="O637" s="458"/>
      <c r="Q637" s="462"/>
      <c r="R637" s="463"/>
      <c r="S637" s="462"/>
      <c r="T637" s="463"/>
      <c r="U637" s="492"/>
      <c r="V637" s="460"/>
      <c r="W637" s="458"/>
    </row>
    <row r="638" spans="1:23" x14ac:dyDescent="0.25">
      <c r="A638" s="458"/>
      <c r="B638" s="463"/>
      <c r="C638" s="460"/>
      <c r="D638" s="462"/>
      <c r="E638" s="463"/>
      <c r="F638" s="493"/>
      <c r="G638" s="493"/>
      <c r="H638" s="493"/>
      <c r="I638" s="493"/>
      <c r="J638" s="493"/>
      <c r="K638" s="493"/>
      <c r="M638" s="458"/>
      <c r="N638" s="458"/>
      <c r="O638" s="458"/>
      <c r="Q638" s="462"/>
      <c r="R638" s="463"/>
      <c r="S638" s="462"/>
      <c r="T638" s="463"/>
      <c r="U638" s="492"/>
      <c r="V638" s="460"/>
      <c r="W638" s="458"/>
    </row>
    <row r="639" spans="1:23" x14ac:dyDescent="0.25">
      <c r="A639" s="458"/>
      <c r="B639" s="463"/>
      <c r="C639" s="460"/>
      <c r="D639" s="462"/>
      <c r="E639" s="463"/>
      <c r="F639" s="493"/>
      <c r="G639" s="493"/>
      <c r="H639" s="493"/>
      <c r="I639" s="493"/>
      <c r="J639" s="493"/>
      <c r="K639" s="493"/>
      <c r="M639" s="458"/>
      <c r="N639" s="458"/>
      <c r="O639" s="458"/>
      <c r="Q639" s="462"/>
      <c r="R639" s="463"/>
      <c r="S639" s="462"/>
      <c r="T639" s="463"/>
      <c r="U639" s="492"/>
      <c r="V639" s="460"/>
      <c r="W639" s="458"/>
    </row>
    <row r="640" spans="1:23" x14ac:dyDescent="0.25">
      <c r="A640" s="458"/>
      <c r="B640" s="463"/>
      <c r="C640" s="460"/>
      <c r="D640" s="462"/>
      <c r="E640" s="463"/>
      <c r="F640" s="493"/>
      <c r="G640" s="493"/>
      <c r="H640" s="493"/>
      <c r="I640" s="493"/>
      <c r="J640" s="493"/>
      <c r="K640" s="493"/>
      <c r="M640" s="458"/>
      <c r="N640" s="458"/>
      <c r="O640" s="458"/>
      <c r="Q640" s="462"/>
      <c r="R640" s="463"/>
      <c r="S640" s="462"/>
      <c r="T640" s="463"/>
      <c r="U640" s="492"/>
      <c r="V640" s="460"/>
      <c r="W640" s="458"/>
    </row>
    <row r="641" spans="1:23" x14ac:dyDescent="0.25">
      <c r="A641" s="458"/>
      <c r="B641" s="463"/>
      <c r="C641" s="460"/>
      <c r="D641" s="462"/>
      <c r="E641" s="463"/>
      <c r="F641" s="493"/>
      <c r="G641" s="493"/>
      <c r="H641" s="493"/>
      <c r="I641" s="493"/>
      <c r="J641" s="493"/>
      <c r="K641" s="493"/>
      <c r="M641" s="458"/>
      <c r="N641" s="458"/>
      <c r="O641" s="458"/>
      <c r="Q641" s="462"/>
      <c r="R641" s="463"/>
      <c r="S641" s="462"/>
      <c r="T641" s="463"/>
      <c r="U641" s="492"/>
      <c r="V641" s="460"/>
      <c r="W641" s="458"/>
    </row>
    <row r="642" spans="1:23" x14ac:dyDescent="0.25">
      <c r="A642" s="458"/>
      <c r="B642" s="463"/>
      <c r="C642" s="460"/>
      <c r="D642" s="462"/>
      <c r="E642" s="463"/>
      <c r="F642" s="493"/>
      <c r="G642" s="493"/>
      <c r="H642" s="493"/>
      <c r="I642" s="493"/>
      <c r="J642" s="493"/>
      <c r="K642" s="493"/>
      <c r="M642" s="458"/>
      <c r="N642" s="458"/>
      <c r="O642" s="458"/>
      <c r="Q642" s="462"/>
      <c r="R642" s="463"/>
      <c r="S642" s="462"/>
      <c r="T642" s="463"/>
      <c r="U642" s="492"/>
      <c r="V642" s="460"/>
      <c r="W642" s="458"/>
    </row>
    <row r="643" spans="1:23" x14ac:dyDescent="0.25">
      <c r="A643" s="458"/>
      <c r="B643" s="463"/>
      <c r="C643" s="460"/>
      <c r="D643" s="462"/>
      <c r="E643" s="463"/>
      <c r="F643" s="493"/>
      <c r="G643" s="493"/>
      <c r="H643" s="493"/>
      <c r="I643" s="493"/>
      <c r="J643" s="493"/>
      <c r="K643" s="493"/>
      <c r="M643" s="458"/>
      <c r="N643" s="458"/>
      <c r="O643" s="458"/>
      <c r="Q643" s="462"/>
      <c r="R643" s="463"/>
      <c r="S643" s="462"/>
      <c r="T643" s="463"/>
      <c r="U643" s="492"/>
      <c r="V643" s="460"/>
      <c r="W643" s="458"/>
    </row>
    <row r="644" spans="1:23" x14ac:dyDescent="0.25">
      <c r="A644" s="458"/>
      <c r="B644" s="463"/>
      <c r="C644" s="460"/>
      <c r="D644" s="462"/>
      <c r="E644" s="463"/>
      <c r="F644" s="493"/>
      <c r="G644" s="493"/>
      <c r="H644" s="493"/>
      <c r="I644" s="493"/>
      <c r="J644" s="493"/>
      <c r="K644" s="493"/>
      <c r="M644" s="458"/>
      <c r="N644" s="458"/>
      <c r="O644" s="458"/>
      <c r="Q644" s="462"/>
      <c r="R644" s="463"/>
      <c r="S644" s="462"/>
      <c r="T644" s="463"/>
      <c r="U644" s="492"/>
      <c r="V644" s="460"/>
      <c r="W644" s="458"/>
    </row>
    <row r="645" spans="1:23" x14ac:dyDescent="0.25">
      <c r="A645" s="458"/>
      <c r="B645" s="463"/>
      <c r="C645" s="460"/>
      <c r="D645" s="462"/>
      <c r="E645" s="463"/>
      <c r="F645" s="493"/>
      <c r="G645" s="493"/>
      <c r="H645" s="493"/>
      <c r="I645" s="493"/>
      <c r="J645" s="493"/>
      <c r="K645" s="493"/>
      <c r="M645" s="458"/>
      <c r="N645" s="458"/>
      <c r="O645" s="458"/>
      <c r="Q645" s="462"/>
      <c r="R645" s="463"/>
      <c r="S645" s="462"/>
      <c r="T645" s="463"/>
      <c r="U645" s="492"/>
      <c r="V645" s="460"/>
      <c r="W645" s="458"/>
    </row>
    <row r="646" spans="1:23" x14ac:dyDescent="0.25">
      <c r="A646" s="458"/>
      <c r="B646" s="463"/>
      <c r="C646" s="460"/>
      <c r="D646" s="462"/>
      <c r="E646" s="463"/>
      <c r="F646" s="493"/>
      <c r="G646" s="493"/>
      <c r="H646" s="493"/>
      <c r="I646" s="493"/>
      <c r="J646" s="493"/>
      <c r="K646" s="493"/>
      <c r="M646" s="458"/>
      <c r="N646" s="458"/>
      <c r="O646" s="458"/>
      <c r="Q646" s="462"/>
      <c r="R646" s="463"/>
      <c r="S646" s="462"/>
      <c r="T646" s="463"/>
      <c r="U646" s="492"/>
      <c r="V646" s="460"/>
      <c r="W646" s="458"/>
    </row>
    <row r="647" spans="1:23" x14ac:dyDescent="0.25">
      <c r="A647" s="458"/>
      <c r="B647" s="463"/>
      <c r="C647" s="460"/>
      <c r="D647" s="462"/>
      <c r="E647" s="463"/>
      <c r="F647" s="493"/>
      <c r="G647" s="493"/>
      <c r="H647" s="493"/>
      <c r="I647" s="493"/>
      <c r="J647" s="493"/>
      <c r="K647" s="493"/>
      <c r="M647" s="458"/>
      <c r="N647" s="458"/>
      <c r="O647" s="458"/>
      <c r="Q647" s="462"/>
      <c r="R647" s="463"/>
      <c r="S647" s="462"/>
      <c r="T647" s="463"/>
      <c r="U647" s="492"/>
      <c r="V647" s="460"/>
      <c r="W647" s="458"/>
    </row>
    <row r="648" spans="1:23" x14ac:dyDescent="0.25">
      <c r="A648" s="458"/>
      <c r="B648" s="463"/>
      <c r="C648" s="460"/>
      <c r="D648" s="462"/>
      <c r="E648" s="463"/>
      <c r="F648" s="493"/>
      <c r="G648" s="493"/>
      <c r="H648" s="493"/>
      <c r="I648" s="493"/>
      <c r="J648" s="493"/>
      <c r="K648" s="493"/>
      <c r="M648" s="458"/>
      <c r="N648" s="458"/>
      <c r="O648" s="458"/>
      <c r="Q648" s="462"/>
      <c r="R648" s="463"/>
      <c r="S648" s="462"/>
      <c r="T648" s="463"/>
      <c r="U648" s="492"/>
      <c r="V648" s="460"/>
      <c r="W648" s="458"/>
    </row>
    <row r="649" spans="1:23" x14ac:dyDescent="0.25">
      <c r="A649" s="458"/>
      <c r="B649" s="463"/>
      <c r="C649" s="460"/>
      <c r="D649" s="462"/>
      <c r="E649" s="463"/>
      <c r="F649" s="493"/>
      <c r="G649" s="493"/>
      <c r="H649" s="493"/>
      <c r="I649" s="493"/>
      <c r="J649" s="493"/>
      <c r="K649" s="493"/>
      <c r="M649" s="458"/>
      <c r="N649" s="458"/>
      <c r="O649" s="458"/>
      <c r="Q649" s="462"/>
      <c r="R649" s="463"/>
      <c r="S649" s="462"/>
      <c r="T649" s="463"/>
      <c r="U649" s="492"/>
      <c r="V649" s="460"/>
      <c r="W649" s="458"/>
    </row>
    <row r="650" spans="1:23" x14ac:dyDescent="0.25">
      <c r="A650" s="458"/>
      <c r="B650" s="463"/>
      <c r="C650" s="460"/>
      <c r="D650" s="462"/>
      <c r="E650" s="463"/>
      <c r="F650" s="493"/>
      <c r="G650" s="493"/>
      <c r="H650" s="493"/>
      <c r="I650" s="493"/>
      <c r="J650" s="493"/>
      <c r="K650" s="493"/>
      <c r="M650" s="458"/>
      <c r="N650" s="458"/>
      <c r="O650" s="458"/>
      <c r="Q650" s="462"/>
      <c r="R650" s="463"/>
      <c r="S650" s="462"/>
      <c r="T650" s="463"/>
      <c r="U650" s="492"/>
      <c r="V650" s="460"/>
      <c r="W650" s="458"/>
    </row>
    <row r="651" spans="1:23" x14ac:dyDescent="0.25">
      <c r="A651" s="458"/>
      <c r="B651" s="463"/>
      <c r="C651" s="460"/>
      <c r="D651" s="462"/>
      <c r="E651" s="463"/>
      <c r="F651" s="493"/>
      <c r="G651" s="493"/>
      <c r="H651" s="493"/>
      <c r="I651" s="493"/>
      <c r="J651" s="493"/>
      <c r="K651" s="493"/>
      <c r="M651" s="458"/>
      <c r="N651" s="458"/>
      <c r="O651" s="458"/>
      <c r="Q651" s="462"/>
      <c r="R651" s="463"/>
      <c r="S651" s="462"/>
      <c r="T651" s="463"/>
      <c r="U651" s="492"/>
      <c r="V651" s="460"/>
      <c r="W651" s="458"/>
    </row>
    <row r="652" spans="1:23" x14ac:dyDescent="0.25">
      <c r="A652" s="458"/>
      <c r="B652" s="463"/>
      <c r="C652" s="460"/>
      <c r="D652" s="462"/>
      <c r="E652" s="463"/>
      <c r="F652" s="493"/>
      <c r="G652" s="493"/>
      <c r="H652" s="493"/>
      <c r="I652" s="493"/>
      <c r="J652" s="493"/>
      <c r="K652" s="493"/>
      <c r="M652" s="458"/>
      <c r="N652" s="458"/>
      <c r="O652" s="458"/>
      <c r="Q652" s="462"/>
      <c r="R652" s="463"/>
      <c r="S652" s="462"/>
      <c r="T652" s="463"/>
      <c r="U652" s="492"/>
      <c r="V652" s="460"/>
      <c r="W652" s="458"/>
    </row>
    <row r="653" spans="1:23" x14ac:dyDescent="0.25">
      <c r="A653" s="458"/>
      <c r="B653" s="463"/>
      <c r="C653" s="460"/>
      <c r="D653" s="462"/>
      <c r="E653" s="463"/>
      <c r="F653" s="493"/>
      <c r="G653" s="493"/>
      <c r="H653" s="493"/>
      <c r="I653" s="493"/>
      <c r="J653" s="493"/>
      <c r="K653" s="493"/>
      <c r="M653" s="458"/>
      <c r="N653" s="458"/>
      <c r="O653" s="458"/>
      <c r="Q653" s="462"/>
      <c r="R653" s="463"/>
      <c r="S653" s="462"/>
      <c r="T653" s="463"/>
      <c r="U653" s="492"/>
      <c r="V653" s="460"/>
      <c r="W653" s="458"/>
    </row>
    <row r="654" spans="1:23" x14ac:dyDescent="0.25">
      <c r="A654" s="458"/>
      <c r="B654" s="463"/>
      <c r="C654" s="460"/>
      <c r="D654" s="462"/>
      <c r="E654" s="463"/>
      <c r="F654" s="493"/>
      <c r="G654" s="493"/>
      <c r="H654" s="493"/>
      <c r="I654" s="493"/>
      <c r="J654" s="493"/>
      <c r="K654" s="493"/>
      <c r="M654" s="458"/>
      <c r="N654" s="458"/>
      <c r="O654" s="458"/>
      <c r="Q654" s="462"/>
      <c r="R654" s="463"/>
      <c r="S654" s="462"/>
      <c r="T654" s="463"/>
      <c r="U654" s="492"/>
      <c r="V654" s="460"/>
      <c r="W654" s="458"/>
    </row>
    <row r="655" spans="1:23" x14ac:dyDescent="0.25">
      <c r="A655" s="458"/>
      <c r="B655" s="463"/>
      <c r="C655" s="460"/>
      <c r="D655" s="462"/>
      <c r="E655" s="463"/>
      <c r="F655" s="493"/>
      <c r="G655" s="493"/>
      <c r="H655" s="493"/>
      <c r="I655" s="493"/>
      <c r="J655" s="493"/>
      <c r="K655" s="493"/>
      <c r="M655" s="458"/>
      <c r="N655" s="458"/>
      <c r="O655" s="458"/>
      <c r="Q655" s="462"/>
      <c r="R655" s="463"/>
      <c r="S655" s="462"/>
      <c r="T655" s="463"/>
      <c r="U655" s="492"/>
      <c r="V655" s="460"/>
      <c r="W655" s="458"/>
    </row>
    <row r="656" spans="1:23" x14ac:dyDescent="0.25">
      <c r="A656" s="458"/>
      <c r="B656" s="463"/>
      <c r="C656" s="460"/>
      <c r="D656" s="462"/>
      <c r="E656" s="463"/>
      <c r="F656" s="493"/>
      <c r="G656" s="493"/>
      <c r="H656" s="493"/>
      <c r="I656" s="493"/>
      <c r="J656" s="493"/>
      <c r="K656" s="493"/>
      <c r="M656" s="458"/>
      <c r="N656" s="458"/>
      <c r="O656" s="458"/>
      <c r="Q656" s="462"/>
      <c r="R656" s="463"/>
      <c r="S656" s="462"/>
      <c r="T656" s="463"/>
      <c r="U656" s="492"/>
      <c r="V656" s="460"/>
      <c r="W656" s="458"/>
    </row>
    <row r="657" spans="1:23" x14ac:dyDescent="0.25">
      <c r="A657" s="458"/>
      <c r="B657" s="463"/>
      <c r="C657" s="460"/>
      <c r="D657" s="462"/>
      <c r="E657" s="463"/>
      <c r="F657" s="493"/>
      <c r="G657" s="493"/>
      <c r="H657" s="493"/>
      <c r="I657" s="493"/>
      <c r="J657" s="493"/>
      <c r="K657" s="493"/>
      <c r="M657" s="458"/>
      <c r="N657" s="458"/>
      <c r="O657" s="458"/>
      <c r="Q657" s="462"/>
      <c r="R657" s="463"/>
      <c r="S657" s="462"/>
      <c r="T657" s="463"/>
      <c r="U657" s="492"/>
      <c r="V657" s="460"/>
      <c r="W657" s="458"/>
    </row>
    <row r="658" spans="1:23" x14ac:dyDescent="0.25">
      <c r="A658" s="458"/>
      <c r="B658" s="463"/>
      <c r="C658" s="460"/>
      <c r="D658" s="462"/>
      <c r="E658" s="463"/>
      <c r="F658" s="493"/>
      <c r="G658" s="493"/>
      <c r="H658" s="493"/>
      <c r="I658" s="493"/>
      <c r="J658" s="493"/>
      <c r="K658" s="493"/>
      <c r="M658" s="458"/>
      <c r="N658" s="458"/>
      <c r="O658" s="458"/>
      <c r="Q658" s="462"/>
      <c r="R658" s="463"/>
      <c r="S658" s="462"/>
      <c r="T658" s="463"/>
      <c r="U658" s="492"/>
      <c r="V658" s="460"/>
      <c r="W658" s="458"/>
    </row>
    <row r="659" spans="1:23" x14ac:dyDescent="0.25">
      <c r="A659" s="458"/>
      <c r="B659" s="463"/>
      <c r="C659" s="460"/>
      <c r="D659" s="462"/>
      <c r="E659" s="463"/>
      <c r="F659" s="493"/>
      <c r="G659" s="493"/>
      <c r="H659" s="493"/>
      <c r="I659" s="493"/>
      <c r="J659" s="493"/>
      <c r="K659" s="493"/>
      <c r="M659" s="458"/>
      <c r="N659" s="458"/>
      <c r="O659" s="458"/>
      <c r="Q659" s="462"/>
      <c r="R659" s="463"/>
      <c r="S659" s="462"/>
      <c r="T659" s="463"/>
      <c r="U659" s="492"/>
      <c r="V659" s="460"/>
      <c r="W659" s="458"/>
    </row>
    <row r="660" spans="1:23" x14ac:dyDescent="0.25">
      <c r="A660" s="458"/>
      <c r="B660" s="463"/>
      <c r="C660" s="460"/>
      <c r="D660" s="462"/>
      <c r="E660" s="463"/>
      <c r="F660" s="493"/>
      <c r="G660" s="493"/>
      <c r="H660" s="493"/>
      <c r="I660" s="493"/>
      <c r="J660" s="493"/>
      <c r="K660" s="493"/>
      <c r="M660" s="458"/>
      <c r="N660" s="458"/>
      <c r="O660" s="458"/>
      <c r="Q660" s="462"/>
      <c r="R660" s="463"/>
      <c r="S660" s="462"/>
      <c r="T660" s="463"/>
      <c r="U660" s="492"/>
      <c r="V660" s="460"/>
      <c r="W660" s="458"/>
    </row>
    <row r="661" spans="1:23" x14ac:dyDescent="0.25">
      <c r="A661" s="458"/>
      <c r="B661" s="463"/>
      <c r="C661" s="460"/>
      <c r="D661" s="462"/>
      <c r="E661" s="463"/>
      <c r="F661" s="493"/>
      <c r="G661" s="493"/>
      <c r="H661" s="493"/>
      <c r="I661" s="493"/>
      <c r="J661" s="493"/>
      <c r="K661" s="493"/>
      <c r="M661" s="458"/>
      <c r="N661" s="458"/>
      <c r="O661" s="458"/>
      <c r="Q661" s="462"/>
      <c r="R661" s="463"/>
      <c r="S661" s="462"/>
      <c r="T661" s="463"/>
      <c r="U661" s="492"/>
      <c r="V661" s="460"/>
      <c r="W661" s="458"/>
    </row>
    <row r="662" spans="1:23" x14ac:dyDescent="0.25">
      <c r="A662" s="458"/>
      <c r="B662" s="463"/>
      <c r="C662" s="460"/>
      <c r="D662" s="462"/>
      <c r="E662" s="463"/>
      <c r="F662" s="493"/>
      <c r="G662" s="493"/>
      <c r="H662" s="493"/>
      <c r="I662" s="493"/>
      <c r="J662" s="493"/>
      <c r="K662" s="493"/>
      <c r="M662" s="458"/>
      <c r="N662" s="458"/>
      <c r="O662" s="458"/>
      <c r="Q662" s="462"/>
      <c r="R662" s="463"/>
      <c r="S662" s="462"/>
      <c r="T662" s="463"/>
      <c r="U662" s="492"/>
      <c r="V662" s="460"/>
      <c r="W662" s="458"/>
    </row>
    <row r="663" spans="1:23" x14ac:dyDescent="0.25">
      <c r="A663" s="458"/>
      <c r="B663" s="463"/>
      <c r="C663" s="460"/>
      <c r="D663" s="462"/>
      <c r="E663" s="463"/>
      <c r="F663" s="493"/>
      <c r="G663" s="493"/>
      <c r="H663" s="493"/>
      <c r="I663" s="493"/>
      <c r="J663" s="493"/>
      <c r="K663" s="493"/>
      <c r="M663" s="458"/>
      <c r="N663" s="458"/>
      <c r="O663" s="458"/>
      <c r="Q663" s="462"/>
      <c r="R663" s="463"/>
      <c r="S663" s="462"/>
      <c r="T663" s="463"/>
      <c r="U663" s="492"/>
      <c r="V663" s="460"/>
      <c r="W663" s="458"/>
    </row>
    <row r="664" spans="1:23" x14ac:dyDescent="0.25">
      <c r="A664" s="458"/>
      <c r="B664" s="463"/>
      <c r="C664" s="460"/>
      <c r="D664" s="462"/>
      <c r="E664" s="463"/>
      <c r="F664" s="493"/>
      <c r="G664" s="493"/>
      <c r="H664" s="493"/>
      <c r="I664" s="493"/>
      <c r="J664" s="493"/>
      <c r="K664" s="493"/>
      <c r="M664" s="458"/>
      <c r="N664" s="458"/>
      <c r="O664" s="458"/>
      <c r="Q664" s="462"/>
      <c r="R664" s="463"/>
      <c r="S664" s="462"/>
      <c r="T664" s="463"/>
      <c r="U664" s="492"/>
      <c r="V664" s="460"/>
      <c r="W664" s="458"/>
    </row>
    <row r="665" spans="1:23" x14ac:dyDescent="0.25">
      <c r="A665" s="458"/>
      <c r="B665" s="463"/>
      <c r="C665" s="460"/>
      <c r="D665" s="462"/>
      <c r="E665" s="463"/>
      <c r="F665" s="493"/>
      <c r="G665" s="493"/>
      <c r="H665" s="493"/>
      <c r="I665" s="493"/>
      <c r="J665" s="493"/>
      <c r="K665" s="493"/>
      <c r="M665" s="458"/>
      <c r="N665" s="458"/>
      <c r="O665" s="458"/>
      <c r="Q665" s="462"/>
      <c r="R665" s="463"/>
      <c r="S665" s="462"/>
      <c r="T665" s="463"/>
      <c r="U665" s="492"/>
      <c r="V665" s="460"/>
      <c r="W665" s="458"/>
    </row>
    <row r="666" spans="1:23" x14ac:dyDescent="0.25">
      <c r="A666" s="458"/>
      <c r="B666" s="463"/>
      <c r="C666" s="460"/>
      <c r="D666" s="462"/>
      <c r="E666" s="463"/>
      <c r="F666" s="493"/>
      <c r="G666" s="493"/>
      <c r="H666" s="493"/>
      <c r="I666" s="493"/>
      <c r="J666" s="493"/>
      <c r="K666" s="493"/>
      <c r="M666" s="458"/>
      <c r="N666" s="458"/>
      <c r="O666" s="458"/>
      <c r="Q666" s="462"/>
      <c r="R666" s="463"/>
      <c r="S666" s="462"/>
      <c r="T666" s="463"/>
      <c r="U666" s="492"/>
      <c r="V666" s="460"/>
      <c r="W666" s="458"/>
    </row>
    <row r="667" spans="1:23" x14ac:dyDescent="0.25">
      <c r="A667" s="458"/>
      <c r="B667" s="463"/>
      <c r="C667" s="460"/>
      <c r="D667" s="462"/>
      <c r="E667" s="463"/>
      <c r="F667" s="493"/>
      <c r="G667" s="493"/>
      <c r="H667" s="493"/>
      <c r="I667" s="493"/>
      <c r="J667" s="493"/>
      <c r="K667" s="493"/>
      <c r="M667" s="458"/>
      <c r="N667" s="458"/>
      <c r="O667" s="458"/>
      <c r="Q667" s="462"/>
      <c r="R667" s="463"/>
      <c r="S667" s="462"/>
      <c r="T667" s="463"/>
      <c r="U667" s="492"/>
      <c r="V667" s="460"/>
      <c r="W667" s="458"/>
    </row>
    <row r="668" spans="1:23" x14ac:dyDescent="0.25">
      <c r="A668" s="458"/>
      <c r="B668" s="463"/>
      <c r="C668" s="460"/>
      <c r="D668" s="462"/>
      <c r="E668" s="463"/>
      <c r="F668" s="493"/>
      <c r="G668" s="493"/>
      <c r="H668" s="493"/>
      <c r="I668" s="493"/>
      <c r="J668" s="493"/>
      <c r="K668" s="493"/>
      <c r="M668" s="458"/>
      <c r="N668" s="458"/>
      <c r="O668" s="458"/>
      <c r="Q668" s="462"/>
      <c r="R668" s="463"/>
      <c r="S668" s="462"/>
      <c r="T668" s="463"/>
      <c r="U668" s="492"/>
      <c r="V668" s="460"/>
      <c r="W668" s="458"/>
    </row>
    <row r="669" spans="1:23" x14ac:dyDescent="0.25">
      <c r="A669" s="458"/>
      <c r="B669" s="463"/>
      <c r="C669" s="460"/>
      <c r="D669" s="462"/>
      <c r="E669" s="463"/>
      <c r="F669" s="493"/>
      <c r="G669" s="493"/>
      <c r="H669" s="493"/>
      <c r="I669" s="493"/>
      <c r="J669" s="493"/>
      <c r="K669" s="493"/>
      <c r="M669" s="458"/>
      <c r="N669" s="458"/>
      <c r="O669" s="458"/>
      <c r="Q669" s="462"/>
      <c r="R669" s="463"/>
      <c r="S669" s="462"/>
      <c r="T669" s="463"/>
      <c r="U669" s="492"/>
      <c r="V669" s="460"/>
      <c r="W669" s="458"/>
    </row>
    <row r="670" spans="1:23" x14ac:dyDescent="0.25">
      <c r="A670" s="458"/>
      <c r="B670" s="463"/>
      <c r="C670" s="460"/>
      <c r="D670" s="462"/>
      <c r="E670" s="463"/>
      <c r="F670" s="493"/>
      <c r="G670" s="493"/>
      <c r="H670" s="493"/>
      <c r="I670" s="493"/>
      <c r="J670" s="493"/>
      <c r="K670" s="493"/>
      <c r="M670" s="458"/>
      <c r="N670" s="458"/>
      <c r="O670" s="458"/>
      <c r="Q670" s="462"/>
      <c r="R670" s="463"/>
      <c r="S670" s="462"/>
      <c r="T670" s="463"/>
      <c r="U670" s="492"/>
      <c r="V670" s="460"/>
      <c r="W670" s="458"/>
    </row>
    <row r="671" spans="1:23" x14ac:dyDescent="0.25">
      <c r="A671" s="458"/>
      <c r="B671" s="463"/>
      <c r="C671" s="460"/>
      <c r="D671" s="462"/>
      <c r="E671" s="463"/>
      <c r="F671" s="493"/>
      <c r="G671" s="493"/>
      <c r="H671" s="493"/>
      <c r="I671" s="493"/>
      <c r="J671" s="493"/>
      <c r="K671" s="493"/>
      <c r="M671" s="458"/>
      <c r="N671" s="458"/>
      <c r="O671" s="458"/>
      <c r="Q671" s="462"/>
      <c r="R671" s="463"/>
      <c r="S671" s="462"/>
      <c r="T671" s="463"/>
      <c r="U671" s="492"/>
      <c r="V671" s="460"/>
      <c r="W671" s="458"/>
    </row>
    <row r="672" spans="1:23" x14ac:dyDescent="0.25">
      <c r="A672" s="458"/>
      <c r="B672" s="463"/>
      <c r="C672" s="460"/>
      <c r="D672" s="462"/>
      <c r="E672" s="463"/>
      <c r="F672" s="493"/>
      <c r="G672" s="493"/>
      <c r="H672" s="493"/>
      <c r="I672" s="493"/>
      <c r="J672" s="493"/>
      <c r="K672" s="493"/>
      <c r="M672" s="458"/>
      <c r="N672" s="458"/>
      <c r="O672" s="458"/>
      <c r="Q672" s="462"/>
      <c r="R672" s="463"/>
      <c r="S672" s="462"/>
      <c r="T672" s="463"/>
      <c r="U672" s="492"/>
      <c r="V672" s="460"/>
      <c r="W672" s="458"/>
    </row>
    <row r="673" spans="1:23" x14ac:dyDescent="0.25">
      <c r="A673" s="458"/>
      <c r="B673" s="463"/>
      <c r="C673" s="460"/>
      <c r="D673" s="462"/>
      <c r="E673" s="463"/>
      <c r="F673" s="493"/>
      <c r="G673" s="493"/>
      <c r="H673" s="493"/>
      <c r="I673" s="493"/>
      <c r="J673" s="493"/>
      <c r="K673" s="493"/>
      <c r="M673" s="458"/>
      <c r="N673" s="458"/>
      <c r="O673" s="458"/>
      <c r="Q673" s="462"/>
      <c r="R673" s="463"/>
      <c r="S673" s="462"/>
      <c r="T673" s="463"/>
      <c r="U673" s="492"/>
      <c r="V673" s="460"/>
      <c r="W673" s="458"/>
    </row>
    <row r="674" spans="1:23" x14ac:dyDescent="0.25">
      <c r="A674" s="458"/>
      <c r="B674" s="463"/>
      <c r="C674" s="460"/>
      <c r="D674" s="462"/>
      <c r="E674" s="463"/>
      <c r="F674" s="493"/>
      <c r="G674" s="493"/>
      <c r="H674" s="493"/>
      <c r="I674" s="493"/>
      <c r="J674" s="493"/>
      <c r="K674" s="493"/>
      <c r="M674" s="458"/>
      <c r="N674" s="458"/>
      <c r="O674" s="458"/>
      <c r="Q674" s="462"/>
      <c r="R674" s="463"/>
      <c r="S674" s="462"/>
      <c r="T674" s="463"/>
      <c r="U674" s="492"/>
      <c r="V674" s="460"/>
      <c r="W674" s="458"/>
    </row>
    <row r="675" spans="1:23" x14ac:dyDescent="0.25">
      <c r="A675" s="458"/>
      <c r="B675" s="463"/>
      <c r="C675" s="460"/>
      <c r="D675" s="462"/>
      <c r="E675" s="463"/>
      <c r="F675" s="493"/>
      <c r="G675" s="493"/>
      <c r="H675" s="493"/>
      <c r="I675" s="493"/>
      <c r="J675" s="493"/>
      <c r="K675" s="493"/>
      <c r="M675" s="458"/>
      <c r="N675" s="458"/>
      <c r="O675" s="458"/>
      <c r="Q675" s="462"/>
      <c r="R675" s="463"/>
      <c r="S675" s="462"/>
      <c r="T675" s="463"/>
      <c r="U675" s="492"/>
      <c r="V675" s="460"/>
      <c r="W675" s="458"/>
    </row>
    <row r="676" spans="1:23" x14ac:dyDescent="0.25">
      <c r="A676" s="458"/>
      <c r="B676" s="463"/>
      <c r="C676" s="460"/>
      <c r="D676" s="462"/>
      <c r="E676" s="463"/>
      <c r="F676" s="493"/>
      <c r="G676" s="493"/>
      <c r="H676" s="493"/>
      <c r="I676" s="493"/>
      <c r="J676" s="493"/>
      <c r="K676" s="493"/>
      <c r="M676" s="458"/>
      <c r="N676" s="458"/>
      <c r="O676" s="458"/>
      <c r="Q676" s="462"/>
      <c r="R676" s="463"/>
      <c r="S676" s="462"/>
      <c r="T676" s="463"/>
      <c r="U676" s="492"/>
      <c r="V676" s="460"/>
      <c r="W676" s="458"/>
    </row>
    <row r="677" spans="1:23" x14ac:dyDescent="0.25">
      <c r="A677" s="458"/>
      <c r="B677" s="463"/>
      <c r="C677" s="460"/>
      <c r="D677" s="462"/>
      <c r="E677" s="463"/>
      <c r="F677" s="493"/>
      <c r="G677" s="493"/>
      <c r="H677" s="493"/>
      <c r="I677" s="493"/>
      <c r="J677" s="493"/>
      <c r="K677" s="493"/>
      <c r="M677" s="458"/>
      <c r="N677" s="458"/>
      <c r="O677" s="458"/>
      <c r="Q677" s="462"/>
      <c r="R677" s="463"/>
      <c r="S677" s="462"/>
      <c r="T677" s="463"/>
      <c r="U677" s="492"/>
      <c r="V677" s="460"/>
      <c r="W677" s="458"/>
    </row>
    <row r="678" spans="1:23" x14ac:dyDescent="0.25">
      <c r="A678" s="458"/>
      <c r="B678" s="463"/>
      <c r="C678" s="460"/>
      <c r="D678" s="462"/>
      <c r="E678" s="463"/>
      <c r="F678" s="493"/>
      <c r="G678" s="493"/>
      <c r="H678" s="493"/>
      <c r="I678" s="493"/>
      <c r="J678" s="493"/>
      <c r="K678" s="493"/>
      <c r="M678" s="458"/>
      <c r="N678" s="458"/>
      <c r="O678" s="458"/>
      <c r="Q678" s="462"/>
      <c r="R678" s="463"/>
      <c r="S678" s="462"/>
      <c r="T678" s="463"/>
      <c r="U678" s="492"/>
      <c r="V678" s="460"/>
      <c r="W678" s="458"/>
    </row>
    <row r="679" spans="1:23" x14ac:dyDescent="0.25">
      <c r="A679" s="458"/>
      <c r="B679" s="463"/>
      <c r="C679" s="460"/>
      <c r="D679" s="462"/>
      <c r="E679" s="463"/>
      <c r="F679" s="493"/>
      <c r="G679" s="493"/>
      <c r="H679" s="493"/>
      <c r="I679" s="493"/>
      <c r="J679" s="493"/>
      <c r="K679" s="493"/>
      <c r="M679" s="458"/>
      <c r="N679" s="458"/>
      <c r="O679" s="458"/>
      <c r="Q679" s="462"/>
      <c r="R679" s="463"/>
      <c r="S679" s="462"/>
      <c r="T679" s="463"/>
      <c r="U679" s="492"/>
      <c r="V679" s="460"/>
      <c r="W679" s="458"/>
    </row>
    <row r="680" spans="1:23" x14ac:dyDescent="0.25">
      <c r="A680" s="458"/>
      <c r="B680" s="463"/>
      <c r="C680" s="460"/>
      <c r="D680" s="462"/>
      <c r="E680" s="463"/>
      <c r="F680" s="493"/>
      <c r="G680" s="493"/>
      <c r="H680" s="493"/>
      <c r="I680" s="493"/>
      <c r="J680" s="493"/>
      <c r="K680" s="493"/>
      <c r="M680" s="458"/>
      <c r="N680" s="458"/>
      <c r="O680" s="458"/>
      <c r="Q680" s="462"/>
      <c r="R680" s="463"/>
      <c r="S680" s="462"/>
      <c r="T680" s="463"/>
      <c r="U680" s="492"/>
      <c r="V680" s="460"/>
      <c r="W680" s="458"/>
    </row>
    <row r="681" spans="1:23" x14ac:dyDescent="0.25">
      <c r="A681" s="458"/>
      <c r="B681" s="463"/>
      <c r="C681" s="460"/>
      <c r="D681" s="462"/>
      <c r="E681" s="463"/>
      <c r="F681" s="493"/>
      <c r="G681" s="493"/>
      <c r="H681" s="493"/>
      <c r="I681" s="493"/>
      <c r="J681" s="493"/>
      <c r="K681" s="493"/>
      <c r="M681" s="458"/>
      <c r="N681" s="458"/>
      <c r="O681" s="458"/>
      <c r="Q681" s="462"/>
      <c r="R681" s="463"/>
      <c r="S681" s="462"/>
      <c r="T681" s="463"/>
      <c r="U681" s="492"/>
      <c r="V681" s="460"/>
      <c r="W681" s="458"/>
    </row>
    <row r="682" spans="1:23" x14ac:dyDescent="0.25">
      <c r="A682" s="458"/>
      <c r="B682" s="463"/>
      <c r="C682" s="460"/>
      <c r="D682" s="462"/>
      <c r="E682" s="463"/>
      <c r="F682" s="493"/>
      <c r="G682" s="493"/>
      <c r="H682" s="493"/>
      <c r="I682" s="493"/>
      <c r="J682" s="493"/>
      <c r="K682" s="493"/>
      <c r="M682" s="458"/>
      <c r="N682" s="458"/>
      <c r="O682" s="458"/>
      <c r="Q682" s="462"/>
      <c r="R682" s="463"/>
      <c r="S682" s="462"/>
      <c r="T682" s="463"/>
      <c r="U682" s="492"/>
      <c r="V682" s="460"/>
      <c r="W682" s="458"/>
    </row>
    <row r="683" spans="1:23" x14ac:dyDescent="0.25">
      <c r="A683" s="458"/>
      <c r="B683" s="463"/>
      <c r="C683" s="460"/>
      <c r="D683" s="462"/>
      <c r="E683" s="463"/>
      <c r="F683" s="493"/>
      <c r="G683" s="493"/>
      <c r="H683" s="493"/>
      <c r="I683" s="493"/>
      <c r="J683" s="493"/>
      <c r="K683" s="493"/>
      <c r="M683" s="458"/>
      <c r="N683" s="458"/>
      <c r="O683" s="458"/>
      <c r="Q683" s="462"/>
      <c r="R683" s="463"/>
      <c r="S683" s="462"/>
      <c r="T683" s="463"/>
      <c r="U683" s="492"/>
      <c r="V683" s="460"/>
      <c r="W683" s="458"/>
    </row>
    <row r="684" spans="1:23" x14ac:dyDescent="0.25">
      <c r="A684" s="458"/>
      <c r="B684" s="463"/>
      <c r="C684" s="460"/>
      <c r="D684" s="462"/>
      <c r="E684" s="463"/>
      <c r="F684" s="493"/>
      <c r="G684" s="493"/>
      <c r="H684" s="493"/>
      <c r="I684" s="493"/>
      <c r="J684" s="493"/>
      <c r="K684" s="493"/>
      <c r="M684" s="458"/>
      <c r="N684" s="458"/>
      <c r="O684" s="458"/>
      <c r="Q684" s="462"/>
      <c r="R684" s="463"/>
      <c r="S684" s="462"/>
      <c r="T684" s="463"/>
      <c r="U684" s="492"/>
      <c r="V684" s="460"/>
      <c r="W684" s="458"/>
    </row>
    <row r="685" spans="1:23" x14ac:dyDescent="0.25">
      <c r="A685" s="458"/>
      <c r="B685" s="463"/>
      <c r="C685" s="460"/>
      <c r="D685" s="462"/>
      <c r="E685" s="463"/>
      <c r="F685" s="493"/>
      <c r="G685" s="493"/>
      <c r="H685" s="493"/>
      <c r="I685" s="493"/>
      <c r="J685" s="493"/>
      <c r="K685" s="493"/>
      <c r="M685" s="458"/>
      <c r="N685" s="458"/>
      <c r="O685" s="458"/>
      <c r="Q685" s="462"/>
      <c r="R685" s="463"/>
      <c r="S685" s="462"/>
      <c r="T685" s="463"/>
      <c r="U685" s="492"/>
      <c r="V685" s="460"/>
      <c r="W685" s="458"/>
    </row>
    <row r="686" spans="1:23" x14ac:dyDescent="0.25">
      <c r="A686" s="458"/>
      <c r="B686" s="463"/>
      <c r="C686" s="460"/>
      <c r="D686" s="462"/>
      <c r="E686" s="463"/>
      <c r="F686" s="493"/>
      <c r="G686" s="493"/>
      <c r="H686" s="493"/>
      <c r="I686" s="493"/>
      <c r="J686" s="493"/>
      <c r="K686" s="493"/>
      <c r="M686" s="458"/>
      <c r="N686" s="458"/>
      <c r="O686" s="458"/>
      <c r="Q686" s="462"/>
      <c r="R686" s="463"/>
      <c r="S686" s="462"/>
      <c r="T686" s="463"/>
      <c r="U686" s="492"/>
      <c r="V686" s="460"/>
      <c r="W686" s="458"/>
    </row>
    <row r="687" spans="1:23" x14ac:dyDescent="0.25">
      <c r="A687" s="458"/>
      <c r="B687" s="463"/>
      <c r="C687" s="460"/>
      <c r="D687" s="462"/>
      <c r="E687" s="463"/>
      <c r="F687" s="493"/>
      <c r="G687" s="493"/>
      <c r="H687" s="493"/>
      <c r="I687" s="493"/>
      <c r="J687" s="493"/>
      <c r="K687" s="493"/>
      <c r="M687" s="458"/>
      <c r="N687" s="458"/>
      <c r="O687" s="458"/>
      <c r="Q687" s="462"/>
      <c r="R687" s="463"/>
      <c r="S687" s="462"/>
      <c r="T687" s="463"/>
      <c r="U687" s="492"/>
      <c r="V687" s="460"/>
      <c r="W687" s="458"/>
    </row>
    <row r="688" spans="1:23" x14ac:dyDescent="0.25">
      <c r="A688" s="458"/>
      <c r="B688" s="463"/>
      <c r="C688" s="460"/>
      <c r="D688" s="462"/>
      <c r="E688" s="463"/>
      <c r="F688" s="493"/>
      <c r="G688" s="493"/>
      <c r="H688" s="493"/>
      <c r="I688" s="493"/>
      <c r="J688" s="493"/>
      <c r="K688" s="493"/>
      <c r="M688" s="458"/>
      <c r="N688" s="458"/>
      <c r="O688" s="458"/>
      <c r="Q688" s="462"/>
      <c r="R688" s="463"/>
      <c r="S688" s="462"/>
      <c r="T688" s="463"/>
      <c r="U688" s="492"/>
      <c r="V688" s="460"/>
      <c r="W688" s="458"/>
    </row>
    <row r="689" spans="1:23" x14ac:dyDescent="0.25">
      <c r="A689" s="458"/>
      <c r="B689" s="463"/>
      <c r="C689" s="460"/>
      <c r="D689" s="462"/>
      <c r="E689" s="463"/>
      <c r="F689" s="493"/>
      <c r="G689" s="493"/>
      <c r="H689" s="493"/>
      <c r="I689" s="493"/>
      <c r="J689" s="493"/>
      <c r="K689" s="493"/>
      <c r="M689" s="458"/>
      <c r="N689" s="458"/>
      <c r="O689" s="458"/>
      <c r="Q689" s="462"/>
      <c r="R689" s="463"/>
      <c r="S689" s="462"/>
      <c r="T689" s="463"/>
      <c r="U689" s="492"/>
      <c r="V689" s="460"/>
      <c r="W689" s="458"/>
    </row>
    <row r="690" spans="1:23" x14ac:dyDescent="0.25">
      <c r="A690" s="458"/>
      <c r="B690" s="463"/>
      <c r="C690" s="460"/>
      <c r="D690" s="462"/>
      <c r="E690" s="463"/>
      <c r="F690" s="493"/>
      <c r="G690" s="493"/>
      <c r="H690" s="493"/>
      <c r="I690" s="493"/>
      <c r="J690" s="493"/>
      <c r="K690" s="493"/>
      <c r="M690" s="458"/>
      <c r="N690" s="458"/>
      <c r="O690" s="458"/>
      <c r="Q690" s="462"/>
      <c r="R690" s="463"/>
      <c r="S690" s="462"/>
      <c r="T690" s="463"/>
      <c r="U690" s="492"/>
      <c r="V690" s="460"/>
      <c r="W690" s="458"/>
    </row>
    <row r="691" spans="1:23" x14ac:dyDescent="0.25">
      <c r="A691" s="458"/>
      <c r="B691" s="463"/>
      <c r="C691" s="460"/>
      <c r="D691" s="462"/>
      <c r="E691" s="463"/>
      <c r="F691" s="493"/>
      <c r="G691" s="493"/>
      <c r="H691" s="493"/>
      <c r="I691" s="493"/>
      <c r="J691" s="493"/>
      <c r="K691" s="493"/>
      <c r="M691" s="458"/>
      <c r="N691" s="458"/>
      <c r="O691" s="458"/>
      <c r="Q691" s="462"/>
      <c r="R691" s="463"/>
      <c r="S691" s="462"/>
      <c r="T691" s="463"/>
      <c r="U691" s="492"/>
      <c r="V691" s="460"/>
      <c r="W691" s="458"/>
    </row>
    <row r="692" spans="1:23" x14ac:dyDescent="0.25">
      <c r="A692" s="458"/>
      <c r="B692" s="463"/>
      <c r="C692" s="460"/>
      <c r="D692" s="462"/>
      <c r="E692" s="463"/>
      <c r="F692" s="493"/>
      <c r="G692" s="493"/>
      <c r="H692" s="493"/>
      <c r="I692" s="493"/>
      <c r="J692" s="493"/>
      <c r="K692" s="493"/>
      <c r="M692" s="458"/>
      <c r="N692" s="458"/>
      <c r="O692" s="458"/>
      <c r="Q692" s="462"/>
      <c r="R692" s="463"/>
      <c r="S692" s="462"/>
      <c r="T692" s="463"/>
      <c r="U692" s="492"/>
      <c r="V692" s="460"/>
      <c r="W692" s="458"/>
    </row>
    <row r="693" spans="1:23" x14ac:dyDescent="0.25">
      <c r="A693" s="458"/>
      <c r="B693" s="463"/>
      <c r="C693" s="460"/>
      <c r="D693" s="462"/>
      <c r="E693" s="463"/>
      <c r="F693" s="493"/>
      <c r="G693" s="493"/>
      <c r="H693" s="493"/>
      <c r="I693" s="493"/>
      <c r="J693" s="493"/>
      <c r="K693" s="493"/>
      <c r="M693" s="458"/>
      <c r="N693" s="458"/>
      <c r="O693" s="458"/>
      <c r="Q693" s="462"/>
      <c r="R693" s="463"/>
      <c r="S693" s="462"/>
      <c r="T693" s="463"/>
      <c r="U693" s="492"/>
      <c r="V693" s="460"/>
      <c r="W693" s="458"/>
    </row>
    <row r="694" spans="1:23" x14ac:dyDescent="0.25">
      <c r="A694" s="458"/>
      <c r="B694" s="463"/>
      <c r="C694" s="460"/>
      <c r="D694" s="462"/>
      <c r="E694" s="463"/>
      <c r="F694" s="493"/>
      <c r="G694" s="493"/>
      <c r="H694" s="493"/>
      <c r="I694" s="493"/>
      <c r="J694" s="493"/>
      <c r="K694" s="493"/>
      <c r="M694" s="458"/>
      <c r="N694" s="458"/>
      <c r="O694" s="458"/>
      <c r="Q694" s="462"/>
      <c r="R694" s="463"/>
      <c r="S694" s="462"/>
      <c r="T694" s="463"/>
      <c r="U694" s="492"/>
      <c r="V694" s="460"/>
      <c r="W694" s="458"/>
    </row>
    <row r="695" spans="1:23" x14ac:dyDescent="0.25">
      <c r="A695" s="458"/>
      <c r="B695" s="463"/>
      <c r="C695" s="460"/>
      <c r="D695" s="462"/>
      <c r="E695" s="463"/>
      <c r="F695" s="493"/>
      <c r="G695" s="493"/>
      <c r="H695" s="493"/>
      <c r="I695" s="493"/>
      <c r="J695" s="493"/>
      <c r="K695" s="493"/>
      <c r="M695" s="458"/>
      <c r="N695" s="458"/>
      <c r="O695" s="458"/>
      <c r="Q695" s="462"/>
      <c r="R695" s="463"/>
      <c r="S695" s="462"/>
      <c r="T695" s="463"/>
      <c r="U695" s="492"/>
      <c r="V695" s="460"/>
      <c r="W695" s="458"/>
    </row>
    <row r="696" spans="1:23" x14ac:dyDescent="0.25">
      <c r="A696" s="458"/>
      <c r="B696" s="463"/>
      <c r="C696" s="460"/>
      <c r="D696" s="462"/>
      <c r="E696" s="463"/>
      <c r="F696" s="493"/>
      <c r="G696" s="493"/>
      <c r="H696" s="493"/>
      <c r="I696" s="493"/>
      <c r="J696" s="493"/>
      <c r="K696" s="493"/>
      <c r="M696" s="458"/>
      <c r="N696" s="458"/>
      <c r="O696" s="458"/>
      <c r="Q696" s="462"/>
      <c r="R696" s="463"/>
      <c r="S696" s="462"/>
      <c r="T696" s="463"/>
      <c r="U696" s="492"/>
      <c r="V696" s="460"/>
      <c r="W696" s="458"/>
    </row>
    <row r="697" spans="1:23" x14ac:dyDescent="0.25">
      <c r="F697" s="551"/>
      <c r="G697" s="552"/>
      <c r="H697" s="552"/>
      <c r="I697" s="553"/>
      <c r="J697" s="551"/>
      <c r="K697" s="553"/>
    </row>
    <row r="698" spans="1:23" x14ac:dyDescent="0.25">
      <c r="F698" s="554"/>
      <c r="G698" s="555"/>
      <c r="H698" s="555"/>
      <c r="I698" s="556"/>
      <c r="J698" s="554"/>
      <c r="K698" s="556"/>
    </row>
    <row r="699" spans="1:23" x14ac:dyDescent="0.25">
      <c r="F699" s="554"/>
      <c r="G699" s="555"/>
      <c r="H699" s="555"/>
      <c r="I699" s="556"/>
      <c r="J699" s="554"/>
      <c r="K699" s="556"/>
    </row>
    <row r="700" spans="1:23" x14ac:dyDescent="0.25">
      <c r="F700" s="554"/>
      <c r="G700" s="555"/>
      <c r="H700" s="555"/>
      <c r="I700" s="556"/>
      <c r="J700" s="554"/>
      <c r="K700" s="556"/>
    </row>
    <row r="701" spans="1:23" x14ac:dyDescent="0.25">
      <c r="F701" s="554"/>
      <c r="G701" s="555"/>
      <c r="H701" s="555"/>
      <c r="I701" s="556"/>
      <c r="J701" s="554"/>
      <c r="K701" s="556"/>
    </row>
    <row r="702" spans="1:23" x14ac:dyDescent="0.25">
      <c r="F702" s="554"/>
      <c r="G702" s="555"/>
      <c r="H702" s="555"/>
      <c r="I702" s="556"/>
      <c r="J702" s="554"/>
      <c r="K702" s="556"/>
    </row>
    <row r="703" spans="1:23" x14ac:dyDescent="0.25">
      <c r="F703" s="554"/>
      <c r="G703" s="555"/>
      <c r="H703" s="555"/>
      <c r="I703" s="556"/>
      <c r="J703" s="554"/>
      <c r="K703" s="556"/>
    </row>
    <row r="704" spans="1:23" x14ac:dyDescent="0.25">
      <c r="F704" s="554"/>
      <c r="G704" s="555"/>
      <c r="H704" s="555"/>
      <c r="I704" s="556"/>
      <c r="J704" s="554"/>
      <c r="K704" s="556"/>
    </row>
    <row r="705" spans="6:11" x14ac:dyDescent="0.25">
      <c r="F705" s="554"/>
      <c r="G705" s="555"/>
      <c r="H705" s="555"/>
      <c r="I705" s="556"/>
      <c r="J705" s="554"/>
      <c r="K705" s="556"/>
    </row>
    <row r="706" spans="6:11" x14ac:dyDescent="0.25">
      <c r="F706" s="554"/>
      <c r="G706" s="555"/>
      <c r="H706" s="555"/>
      <c r="I706" s="556"/>
      <c r="J706" s="554"/>
      <c r="K706" s="556"/>
    </row>
    <row r="707" spans="6:11" x14ac:dyDescent="0.25">
      <c r="F707" s="554"/>
      <c r="G707" s="555"/>
      <c r="H707" s="555"/>
      <c r="I707" s="556"/>
      <c r="J707" s="554"/>
      <c r="K707" s="556"/>
    </row>
    <row r="708" spans="6:11" x14ac:dyDescent="0.25">
      <c r="F708" s="554"/>
      <c r="G708" s="555"/>
      <c r="H708" s="555"/>
      <c r="I708" s="556"/>
      <c r="J708" s="554"/>
      <c r="K708" s="556"/>
    </row>
    <row r="709" spans="6:11" x14ac:dyDescent="0.25">
      <c r="F709" s="554"/>
      <c r="G709" s="555"/>
      <c r="H709" s="555"/>
      <c r="I709" s="556"/>
      <c r="J709" s="554"/>
      <c r="K709" s="556"/>
    </row>
    <row r="710" spans="6:11" x14ac:dyDescent="0.25">
      <c r="F710" s="554"/>
      <c r="G710" s="555"/>
      <c r="H710" s="555"/>
      <c r="I710" s="556"/>
      <c r="J710" s="554"/>
      <c r="K710" s="556"/>
    </row>
    <row r="711" spans="6:11" x14ac:dyDescent="0.25">
      <c r="F711" s="554"/>
      <c r="G711" s="555"/>
      <c r="H711" s="555"/>
      <c r="I711" s="556"/>
      <c r="J711" s="554"/>
      <c r="K711" s="556"/>
    </row>
    <row r="712" spans="6:11" x14ac:dyDescent="0.25">
      <c r="F712" s="554"/>
      <c r="G712" s="555"/>
      <c r="H712" s="555"/>
      <c r="I712" s="556"/>
      <c r="J712" s="554"/>
      <c r="K712" s="556"/>
    </row>
    <row r="713" spans="6:11" x14ac:dyDescent="0.25">
      <c r="F713" s="554"/>
      <c r="G713" s="555"/>
      <c r="H713" s="555"/>
      <c r="I713" s="556"/>
      <c r="J713" s="554"/>
      <c r="K713" s="556"/>
    </row>
    <row r="714" spans="6:11" x14ac:dyDescent="0.25">
      <c r="F714" s="554"/>
      <c r="G714" s="555"/>
      <c r="H714" s="555"/>
      <c r="I714" s="556"/>
      <c r="J714" s="554"/>
      <c r="K714" s="556"/>
    </row>
    <row r="715" spans="6:11" x14ac:dyDescent="0.25">
      <c r="F715" s="554"/>
      <c r="G715" s="555"/>
      <c r="H715" s="555"/>
      <c r="I715" s="556"/>
      <c r="J715" s="554"/>
      <c r="K715" s="556"/>
    </row>
    <row r="716" spans="6:11" x14ac:dyDescent="0.25">
      <c r="F716" s="554"/>
      <c r="G716" s="555"/>
      <c r="H716" s="555"/>
      <c r="I716" s="556"/>
      <c r="J716" s="554"/>
      <c r="K716" s="556"/>
    </row>
    <row r="717" spans="6:11" x14ac:dyDescent="0.25">
      <c r="F717" s="554"/>
      <c r="G717" s="555"/>
      <c r="H717" s="555"/>
      <c r="I717" s="556"/>
      <c r="J717" s="554"/>
      <c r="K717" s="556"/>
    </row>
    <row r="718" spans="6:11" x14ac:dyDescent="0.25">
      <c r="F718" s="554"/>
      <c r="G718" s="555"/>
      <c r="H718" s="555"/>
      <c r="I718" s="556"/>
      <c r="J718" s="554"/>
      <c r="K718" s="556"/>
    </row>
    <row r="719" spans="6:11" x14ac:dyDescent="0.25">
      <c r="F719" s="554"/>
      <c r="G719" s="555"/>
      <c r="H719" s="555"/>
      <c r="I719" s="556"/>
      <c r="J719" s="554"/>
      <c r="K719" s="556"/>
    </row>
    <row r="720" spans="6:11" x14ac:dyDescent="0.25">
      <c r="F720" s="554"/>
      <c r="G720" s="555"/>
      <c r="H720" s="555"/>
      <c r="I720" s="556"/>
      <c r="J720" s="554"/>
      <c r="K720" s="556"/>
    </row>
    <row r="721" spans="6:11" x14ac:dyDescent="0.25">
      <c r="F721" s="554"/>
      <c r="G721" s="555"/>
      <c r="H721" s="555"/>
      <c r="I721" s="556"/>
      <c r="J721" s="554"/>
      <c r="K721" s="556"/>
    </row>
    <row r="722" spans="6:11" x14ac:dyDescent="0.25">
      <c r="F722" s="554"/>
      <c r="G722" s="555"/>
      <c r="H722" s="555"/>
      <c r="I722" s="556"/>
      <c r="J722" s="554"/>
      <c r="K722" s="556"/>
    </row>
    <row r="723" spans="6:11" x14ac:dyDescent="0.25">
      <c r="F723" s="554"/>
      <c r="G723" s="555"/>
      <c r="H723" s="555"/>
      <c r="I723" s="556"/>
      <c r="J723" s="554"/>
      <c r="K723" s="556"/>
    </row>
    <row r="724" spans="6:11" x14ac:dyDescent="0.25">
      <c r="F724" s="554"/>
      <c r="G724" s="555"/>
      <c r="H724" s="555"/>
      <c r="I724" s="556"/>
      <c r="J724" s="554"/>
      <c r="K724" s="556"/>
    </row>
    <row r="725" spans="6:11" x14ac:dyDescent="0.25">
      <c r="F725" s="554"/>
      <c r="G725" s="555"/>
      <c r="H725" s="555"/>
      <c r="I725" s="556"/>
      <c r="J725" s="554"/>
      <c r="K725" s="556"/>
    </row>
    <row r="726" spans="6:11" x14ac:dyDescent="0.25">
      <c r="F726" s="554"/>
      <c r="G726" s="555"/>
      <c r="H726" s="555"/>
      <c r="I726" s="556"/>
      <c r="J726" s="554"/>
      <c r="K726" s="556"/>
    </row>
    <row r="727" spans="6:11" x14ac:dyDescent="0.25">
      <c r="F727" s="554"/>
      <c r="G727" s="555"/>
      <c r="H727" s="555"/>
      <c r="I727" s="556"/>
      <c r="J727" s="554"/>
      <c r="K727" s="556"/>
    </row>
    <row r="728" spans="6:11" x14ac:dyDescent="0.25">
      <c r="F728" s="554"/>
      <c r="G728" s="555"/>
      <c r="H728" s="555"/>
      <c r="I728" s="556"/>
      <c r="J728" s="554"/>
      <c r="K728" s="556"/>
    </row>
    <row r="729" spans="6:11" x14ac:dyDescent="0.25">
      <c r="F729" s="554"/>
      <c r="G729" s="555"/>
      <c r="H729" s="555"/>
      <c r="I729" s="556"/>
      <c r="J729" s="554"/>
      <c r="K729" s="556"/>
    </row>
    <row r="730" spans="6:11" x14ac:dyDescent="0.25">
      <c r="F730" s="554"/>
      <c r="G730" s="555"/>
      <c r="H730" s="555"/>
      <c r="I730" s="556"/>
      <c r="J730" s="554"/>
      <c r="K730" s="556"/>
    </row>
    <row r="731" spans="6:11" x14ac:dyDescent="0.25">
      <c r="F731" s="554"/>
      <c r="G731" s="555"/>
      <c r="H731" s="555"/>
      <c r="I731" s="556"/>
      <c r="J731" s="554"/>
      <c r="K731" s="556"/>
    </row>
    <row r="732" spans="6:11" x14ac:dyDescent="0.25">
      <c r="F732" s="554"/>
      <c r="G732" s="555"/>
      <c r="H732" s="555"/>
      <c r="I732" s="556"/>
      <c r="J732" s="554"/>
      <c r="K732" s="556"/>
    </row>
    <row r="733" spans="6:11" x14ac:dyDescent="0.25">
      <c r="F733" s="554"/>
      <c r="G733" s="555"/>
      <c r="H733" s="555"/>
      <c r="I733" s="556"/>
      <c r="J733" s="554"/>
      <c r="K733" s="556"/>
    </row>
    <row r="734" spans="6:11" x14ac:dyDescent="0.25">
      <c r="F734" s="554"/>
      <c r="G734" s="555"/>
      <c r="H734" s="555"/>
      <c r="I734" s="556"/>
      <c r="J734" s="554"/>
      <c r="K734" s="556"/>
    </row>
    <row r="735" spans="6:11" x14ac:dyDescent="0.25">
      <c r="F735" s="554"/>
      <c r="G735" s="555"/>
      <c r="H735" s="555"/>
      <c r="I735" s="556"/>
      <c r="J735" s="554"/>
      <c r="K735" s="556"/>
    </row>
    <row r="736" spans="6:11" x14ac:dyDescent="0.25">
      <c r="F736" s="554"/>
      <c r="G736" s="555"/>
      <c r="H736" s="555"/>
      <c r="I736" s="556"/>
      <c r="J736" s="554"/>
      <c r="K736" s="556"/>
    </row>
    <row r="737" spans="6:11" x14ac:dyDescent="0.25">
      <c r="F737" s="554"/>
      <c r="G737" s="555"/>
      <c r="H737" s="555"/>
      <c r="I737" s="556"/>
      <c r="J737" s="554"/>
      <c r="K737" s="556"/>
    </row>
    <row r="738" spans="6:11" x14ac:dyDescent="0.25">
      <c r="F738" s="554"/>
      <c r="G738" s="555"/>
      <c r="H738" s="555"/>
      <c r="I738" s="556"/>
      <c r="J738" s="554"/>
      <c r="K738" s="556"/>
    </row>
    <row r="739" spans="6:11" x14ac:dyDescent="0.25">
      <c r="F739" s="554"/>
      <c r="G739" s="555"/>
      <c r="H739" s="555"/>
      <c r="I739" s="556"/>
      <c r="J739" s="554"/>
      <c r="K739" s="556"/>
    </row>
    <row r="740" spans="6:11" x14ac:dyDescent="0.25">
      <c r="F740" s="554"/>
      <c r="G740" s="555"/>
      <c r="H740" s="555"/>
      <c r="I740" s="556"/>
      <c r="J740" s="554"/>
      <c r="K740" s="556"/>
    </row>
    <row r="741" spans="6:11" x14ac:dyDescent="0.25">
      <c r="F741" s="554"/>
      <c r="G741" s="555"/>
      <c r="H741" s="555"/>
      <c r="I741" s="556"/>
      <c r="J741" s="554"/>
      <c r="K741" s="556"/>
    </row>
    <row r="742" spans="6:11" x14ac:dyDescent="0.25">
      <c r="F742" s="554"/>
      <c r="G742" s="555"/>
      <c r="H742" s="555"/>
      <c r="I742" s="556"/>
      <c r="J742" s="554"/>
      <c r="K742" s="556"/>
    </row>
    <row r="743" spans="6:11" x14ac:dyDescent="0.25">
      <c r="F743" s="554"/>
      <c r="G743" s="555"/>
      <c r="H743" s="555"/>
      <c r="I743" s="556"/>
      <c r="J743" s="554"/>
      <c r="K743" s="556"/>
    </row>
    <row r="744" spans="6:11" x14ac:dyDescent="0.25">
      <c r="F744" s="554"/>
      <c r="G744" s="555"/>
      <c r="H744" s="555"/>
      <c r="I744" s="556"/>
      <c r="J744" s="554"/>
      <c r="K744" s="556"/>
    </row>
    <row r="745" spans="6:11" x14ac:dyDescent="0.25">
      <c r="F745" s="554"/>
      <c r="G745" s="555"/>
      <c r="H745" s="555"/>
      <c r="I745" s="556"/>
      <c r="J745" s="554"/>
      <c r="K745" s="556"/>
    </row>
    <row r="746" spans="6:11" x14ac:dyDescent="0.25">
      <c r="F746" s="554"/>
      <c r="G746" s="555"/>
      <c r="H746" s="555"/>
      <c r="I746" s="556"/>
      <c r="J746" s="554"/>
      <c r="K746" s="556"/>
    </row>
    <row r="747" spans="6:11" x14ac:dyDescent="0.25">
      <c r="F747" s="554"/>
      <c r="G747" s="555"/>
      <c r="H747" s="555"/>
      <c r="I747" s="556"/>
      <c r="J747" s="554"/>
      <c r="K747" s="556"/>
    </row>
    <row r="748" spans="6:11" x14ac:dyDescent="0.25">
      <c r="F748" s="554"/>
      <c r="G748" s="555"/>
      <c r="H748" s="555"/>
      <c r="I748" s="556"/>
      <c r="J748" s="554"/>
      <c r="K748" s="556"/>
    </row>
    <row r="749" spans="6:11" x14ac:dyDescent="0.25">
      <c r="F749" s="554"/>
      <c r="G749" s="555"/>
      <c r="H749" s="555"/>
      <c r="I749" s="556"/>
      <c r="J749" s="554"/>
      <c r="K749" s="556"/>
    </row>
    <row r="750" spans="6:11" x14ac:dyDescent="0.25">
      <c r="F750" s="554"/>
      <c r="G750" s="555"/>
      <c r="H750" s="555"/>
      <c r="I750" s="556"/>
      <c r="J750" s="554"/>
      <c r="K750" s="556"/>
    </row>
    <row r="751" spans="6:11" x14ac:dyDescent="0.25">
      <c r="F751" s="554"/>
      <c r="G751" s="555"/>
      <c r="H751" s="555"/>
      <c r="I751" s="556"/>
      <c r="J751" s="554"/>
      <c r="K751" s="556"/>
    </row>
    <row r="752" spans="6:11" x14ac:dyDescent="0.25">
      <c r="F752" s="554"/>
      <c r="G752" s="555"/>
      <c r="H752" s="555"/>
      <c r="I752" s="556"/>
      <c r="J752" s="554"/>
      <c r="K752" s="556"/>
    </row>
    <row r="753" spans="6:11" x14ac:dyDescent="0.25">
      <c r="F753" s="554"/>
      <c r="G753" s="555"/>
      <c r="H753" s="555"/>
      <c r="I753" s="556"/>
      <c r="J753" s="554"/>
      <c r="K753" s="556"/>
    </row>
    <row r="754" spans="6:11" x14ac:dyDescent="0.25">
      <c r="F754" s="554"/>
      <c r="G754" s="555"/>
      <c r="H754" s="555"/>
      <c r="I754" s="556"/>
      <c r="J754" s="554"/>
      <c r="K754" s="556"/>
    </row>
    <row r="755" spans="6:11" x14ac:dyDescent="0.25">
      <c r="F755" s="554"/>
      <c r="G755" s="555"/>
      <c r="H755" s="555"/>
      <c r="I755" s="556"/>
      <c r="J755" s="554"/>
      <c r="K755" s="556"/>
    </row>
    <row r="756" spans="6:11" x14ac:dyDescent="0.25">
      <c r="F756" s="554"/>
      <c r="G756" s="555"/>
      <c r="H756" s="555"/>
      <c r="I756" s="556"/>
      <c r="J756" s="554"/>
      <c r="K756" s="556"/>
    </row>
    <row r="757" spans="6:11" x14ac:dyDescent="0.25">
      <c r="F757" s="554"/>
      <c r="G757" s="555"/>
      <c r="H757" s="555"/>
      <c r="I757" s="556"/>
      <c r="J757" s="554"/>
      <c r="K757" s="556"/>
    </row>
    <row r="758" spans="6:11" x14ac:dyDescent="0.25">
      <c r="F758" s="554"/>
      <c r="G758" s="555"/>
      <c r="H758" s="555"/>
      <c r="I758" s="556"/>
      <c r="J758" s="554"/>
      <c r="K758" s="556"/>
    </row>
    <row r="759" spans="6:11" x14ac:dyDescent="0.25">
      <c r="F759" s="554"/>
      <c r="G759" s="555"/>
      <c r="H759" s="555"/>
      <c r="I759" s="556"/>
      <c r="J759" s="554"/>
      <c r="K759" s="556"/>
    </row>
    <row r="760" spans="6:11" x14ac:dyDescent="0.25">
      <c r="F760" s="554"/>
      <c r="G760" s="555"/>
      <c r="H760" s="555"/>
      <c r="I760" s="556"/>
      <c r="J760" s="554"/>
      <c r="K760" s="556"/>
    </row>
    <row r="761" spans="6:11" x14ac:dyDescent="0.25">
      <c r="F761" s="554"/>
      <c r="G761" s="555"/>
      <c r="H761" s="555"/>
      <c r="I761" s="556"/>
      <c r="J761" s="554"/>
      <c r="K761" s="556"/>
    </row>
    <row r="762" spans="6:11" x14ac:dyDescent="0.25">
      <c r="F762" s="554"/>
      <c r="G762" s="555"/>
      <c r="H762" s="555"/>
      <c r="I762" s="556"/>
      <c r="J762" s="554"/>
      <c r="K762" s="556"/>
    </row>
    <row r="763" spans="6:11" x14ac:dyDescent="0.25">
      <c r="F763" s="554"/>
      <c r="G763" s="555"/>
      <c r="H763" s="555"/>
      <c r="I763" s="556"/>
      <c r="J763" s="554"/>
      <c r="K763" s="556"/>
    </row>
    <row r="764" spans="6:11" x14ac:dyDescent="0.25">
      <c r="F764" s="554"/>
      <c r="G764" s="555"/>
      <c r="H764" s="555"/>
      <c r="I764" s="556"/>
      <c r="J764" s="554"/>
      <c r="K764" s="556"/>
    </row>
    <row r="765" spans="6:11" x14ac:dyDescent="0.25">
      <c r="F765" s="554"/>
      <c r="G765" s="555"/>
      <c r="H765" s="555"/>
      <c r="I765" s="556"/>
      <c r="J765" s="554"/>
      <c r="K765" s="556"/>
    </row>
    <row r="766" spans="6:11" x14ac:dyDescent="0.25">
      <c r="F766" s="554"/>
      <c r="G766" s="555"/>
      <c r="H766" s="555"/>
      <c r="I766" s="556"/>
      <c r="J766" s="554"/>
      <c r="K766" s="556"/>
    </row>
    <row r="767" spans="6:11" x14ac:dyDescent="0.25">
      <c r="F767" s="554"/>
      <c r="G767" s="555"/>
      <c r="H767" s="555"/>
      <c r="I767" s="556"/>
      <c r="J767" s="554"/>
      <c r="K767" s="556"/>
    </row>
    <row r="768" spans="6:11" x14ac:dyDescent="0.25">
      <c r="F768" s="554"/>
      <c r="G768" s="555"/>
      <c r="H768" s="555"/>
      <c r="I768" s="556"/>
      <c r="J768" s="554"/>
      <c r="K768" s="556"/>
    </row>
    <row r="769" spans="6:11" x14ac:dyDescent="0.25">
      <c r="F769" s="554"/>
      <c r="G769" s="555"/>
      <c r="H769" s="555"/>
      <c r="I769" s="556"/>
      <c r="J769" s="554"/>
      <c r="K769" s="556"/>
    </row>
    <row r="770" spans="6:11" x14ac:dyDescent="0.25">
      <c r="F770" s="554"/>
      <c r="G770" s="555"/>
      <c r="H770" s="555"/>
      <c r="I770" s="556"/>
      <c r="J770" s="554"/>
      <c r="K770" s="556"/>
    </row>
    <row r="771" spans="6:11" x14ac:dyDescent="0.25">
      <c r="F771" s="554"/>
      <c r="G771" s="555"/>
      <c r="H771" s="555"/>
      <c r="I771" s="556"/>
      <c r="J771" s="554"/>
      <c r="K771" s="556"/>
    </row>
    <row r="772" spans="6:11" x14ac:dyDescent="0.25">
      <c r="F772" s="554"/>
      <c r="G772" s="555"/>
      <c r="H772" s="555"/>
      <c r="I772" s="556"/>
      <c r="J772" s="554"/>
      <c r="K772" s="556"/>
    </row>
    <row r="773" spans="6:11" x14ac:dyDescent="0.25">
      <c r="F773" s="554"/>
      <c r="G773" s="555"/>
      <c r="H773" s="555"/>
      <c r="I773" s="556"/>
      <c r="J773" s="554"/>
      <c r="K773" s="556"/>
    </row>
    <row r="774" spans="6:11" x14ac:dyDescent="0.25">
      <c r="F774" s="554"/>
      <c r="G774" s="555"/>
      <c r="H774" s="555"/>
      <c r="I774" s="556"/>
      <c r="J774" s="554"/>
      <c r="K774" s="556"/>
    </row>
    <row r="775" spans="6:11" x14ac:dyDescent="0.25">
      <c r="F775" s="554"/>
      <c r="G775" s="555"/>
      <c r="H775" s="555"/>
      <c r="I775" s="556"/>
      <c r="J775" s="554"/>
      <c r="K775" s="556"/>
    </row>
    <row r="776" spans="6:11" x14ac:dyDescent="0.25">
      <c r="F776" s="554"/>
      <c r="G776" s="555"/>
      <c r="H776" s="555"/>
      <c r="I776" s="556"/>
      <c r="J776" s="554"/>
      <c r="K776" s="556"/>
    </row>
    <row r="777" spans="6:11" x14ac:dyDescent="0.25">
      <c r="F777" s="554"/>
      <c r="G777" s="555"/>
      <c r="H777" s="555"/>
      <c r="I777" s="556"/>
      <c r="J777" s="554"/>
      <c r="K777" s="556"/>
    </row>
    <row r="778" spans="6:11" x14ac:dyDescent="0.25">
      <c r="F778" s="554"/>
      <c r="G778" s="555"/>
      <c r="H778" s="555"/>
      <c r="I778" s="556"/>
      <c r="J778" s="554"/>
      <c r="K778" s="556"/>
    </row>
    <row r="779" spans="6:11" x14ac:dyDescent="0.25">
      <c r="F779" s="554"/>
      <c r="G779" s="555"/>
      <c r="H779" s="555"/>
      <c r="I779" s="556"/>
      <c r="J779" s="554"/>
      <c r="K779" s="556"/>
    </row>
    <row r="780" spans="6:11" x14ac:dyDescent="0.25">
      <c r="F780" s="554"/>
      <c r="G780" s="555"/>
      <c r="H780" s="555"/>
      <c r="I780" s="556"/>
      <c r="J780" s="554"/>
      <c r="K780" s="556"/>
    </row>
    <row r="781" spans="6:11" x14ac:dyDescent="0.25">
      <c r="F781" s="554"/>
      <c r="G781" s="555"/>
      <c r="H781" s="555"/>
      <c r="I781" s="556"/>
      <c r="J781" s="554"/>
      <c r="K781" s="556"/>
    </row>
    <row r="782" spans="6:11" x14ac:dyDescent="0.25">
      <c r="F782" s="554"/>
      <c r="G782" s="555"/>
      <c r="H782" s="555"/>
      <c r="I782" s="556"/>
      <c r="J782" s="554"/>
      <c r="K782" s="556"/>
    </row>
    <row r="783" spans="6:11" x14ac:dyDescent="0.25">
      <c r="F783" s="554"/>
      <c r="G783" s="555"/>
      <c r="H783" s="555"/>
      <c r="I783" s="556"/>
      <c r="J783" s="554"/>
      <c r="K783" s="556"/>
    </row>
    <row r="784" spans="6:11" x14ac:dyDescent="0.25">
      <c r="F784" s="554"/>
      <c r="G784" s="555"/>
      <c r="H784" s="555"/>
      <c r="I784" s="556"/>
      <c r="J784" s="554"/>
      <c r="K784" s="556"/>
    </row>
    <row r="785" spans="6:11" x14ac:dyDescent="0.25">
      <c r="F785" s="554"/>
      <c r="G785" s="555"/>
      <c r="H785" s="555"/>
      <c r="I785" s="556"/>
      <c r="J785" s="554"/>
      <c r="K785" s="556"/>
    </row>
    <row r="786" spans="6:11" x14ac:dyDescent="0.25">
      <c r="F786" s="554"/>
      <c r="G786" s="555"/>
      <c r="H786" s="555"/>
      <c r="I786" s="556"/>
      <c r="J786" s="554"/>
      <c r="K786" s="556"/>
    </row>
    <row r="787" spans="6:11" x14ac:dyDescent="0.25">
      <c r="F787" s="554"/>
      <c r="G787" s="555"/>
      <c r="H787" s="555"/>
      <c r="I787" s="556"/>
      <c r="J787" s="554"/>
      <c r="K787" s="556"/>
    </row>
    <row r="788" spans="6:11" x14ac:dyDescent="0.25">
      <c r="F788" s="554"/>
      <c r="G788" s="555"/>
      <c r="H788" s="555"/>
      <c r="I788" s="556"/>
      <c r="J788" s="554"/>
      <c r="K788" s="556"/>
    </row>
    <row r="789" spans="6:11" x14ac:dyDescent="0.25">
      <c r="F789" s="554"/>
      <c r="G789" s="555"/>
      <c r="H789" s="555"/>
      <c r="I789" s="556"/>
      <c r="J789" s="554"/>
      <c r="K789" s="556"/>
    </row>
    <row r="790" spans="6:11" x14ac:dyDescent="0.25">
      <c r="F790" s="554"/>
      <c r="G790" s="555"/>
      <c r="H790" s="555"/>
      <c r="I790" s="556"/>
      <c r="J790" s="554"/>
      <c r="K790" s="556"/>
    </row>
    <row r="791" spans="6:11" x14ac:dyDescent="0.25">
      <c r="F791" s="554"/>
      <c r="G791" s="555"/>
      <c r="H791" s="555"/>
      <c r="I791" s="556"/>
      <c r="J791" s="554"/>
      <c r="K791" s="556"/>
    </row>
    <row r="792" spans="6:11" x14ac:dyDescent="0.25">
      <c r="F792" s="554"/>
      <c r="G792" s="555"/>
      <c r="H792" s="555"/>
      <c r="I792" s="556"/>
      <c r="J792" s="554"/>
      <c r="K792" s="556"/>
    </row>
    <row r="793" spans="6:11" x14ac:dyDescent="0.25">
      <c r="F793" s="554"/>
      <c r="G793" s="555"/>
      <c r="H793" s="555"/>
      <c r="I793" s="556"/>
      <c r="J793" s="554"/>
      <c r="K793" s="556"/>
    </row>
    <row r="794" spans="6:11" x14ac:dyDescent="0.25">
      <c r="F794" s="554"/>
      <c r="G794" s="555"/>
      <c r="H794" s="555"/>
      <c r="I794" s="556"/>
      <c r="J794" s="554"/>
      <c r="K794" s="556"/>
    </row>
    <row r="795" spans="6:11" x14ac:dyDescent="0.25">
      <c r="F795" s="554"/>
      <c r="G795" s="555"/>
      <c r="H795" s="555"/>
      <c r="I795" s="556"/>
      <c r="J795" s="554"/>
      <c r="K795" s="556"/>
    </row>
    <row r="796" spans="6:11" x14ac:dyDescent="0.25">
      <c r="F796" s="554"/>
      <c r="G796" s="555"/>
      <c r="H796" s="555"/>
      <c r="I796" s="556"/>
      <c r="J796" s="554"/>
      <c r="K796" s="556"/>
    </row>
    <row r="797" spans="6:11" x14ac:dyDescent="0.25">
      <c r="F797" s="554"/>
      <c r="G797" s="555"/>
      <c r="H797" s="555"/>
      <c r="I797" s="556"/>
      <c r="J797" s="554"/>
      <c r="K797" s="556"/>
    </row>
    <row r="798" spans="6:11" x14ac:dyDescent="0.25">
      <c r="F798" s="554"/>
      <c r="G798" s="555"/>
      <c r="H798" s="555"/>
      <c r="I798" s="556"/>
      <c r="J798" s="554"/>
      <c r="K798" s="556"/>
    </row>
    <row r="799" spans="6:11" x14ac:dyDescent="0.25">
      <c r="F799" s="554"/>
      <c r="G799" s="555"/>
      <c r="H799" s="555"/>
      <c r="I799" s="556"/>
      <c r="J799" s="554"/>
      <c r="K799" s="556"/>
    </row>
    <row r="800" spans="6:11" x14ac:dyDescent="0.25">
      <c r="F800" s="554"/>
      <c r="G800" s="555"/>
      <c r="H800" s="555"/>
      <c r="I800" s="556"/>
      <c r="J800" s="554"/>
      <c r="K800" s="556"/>
    </row>
    <row r="801" spans="6:11" x14ac:dyDescent="0.25">
      <c r="F801" s="554"/>
      <c r="G801" s="555"/>
      <c r="H801" s="555"/>
      <c r="I801" s="556"/>
      <c r="J801" s="554"/>
      <c r="K801" s="556"/>
    </row>
    <row r="802" spans="6:11" x14ac:dyDescent="0.25">
      <c r="F802" s="554"/>
      <c r="G802" s="555"/>
      <c r="H802" s="555"/>
      <c r="I802" s="556"/>
      <c r="J802" s="554"/>
      <c r="K802" s="556"/>
    </row>
    <row r="803" spans="6:11" x14ac:dyDescent="0.25">
      <c r="F803" s="554"/>
      <c r="G803" s="555"/>
      <c r="H803" s="555"/>
      <c r="I803" s="556"/>
      <c r="J803" s="554"/>
      <c r="K803" s="556"/>
    </row>
    <row r="804" spans="6:11" x14ac:dyDescent="0.25">
      <c r="F804" s="554"/>
      <c r="G804" s="555"/>
      <c r="H804" s="555"/>
      <c r="I804" s="556"/>
      <c r="J804" s="554"/>
      <c r="K804" s="556"/>
    </row>
    <row r="805" spans="6:11" x14ac:dyDescent="0.25">
      <c r="F805" s="554"/>
      <c r="G805" s="555"/>
      <c r="H805" s="555"/>
      <c r="I805" s="556"/>
      <c r="J805" s="554"/>
      <c r="K805" s="556"/>
    </row>
    <row r="806" spans="6:11" x14ac:dyDescent="0.25">
      <c r="F806" s="554"/>
      <c r="G806" s="555"/>
      <c r="H806" s="555"/>
      <c r="I806" s="556"/>
      <c r="J806" s="554"/>
      <c r="K806" s="556"/>
    </row>
    <row r="807" spans="6:11" x14ac:dyDescent="0.25">
      <c r="F807" s="554"/>
      <c r="G807" s="555"/>
      <c r="H807" s="555"/>
      <c r="I807" s="556"/>
      <c r="J807" s="554"/>
      <c r="K807" s="556"/>
    </row>
    <row r="808" spans="6:11" x14ac:dyDescent="0.25">
      <c r="F808" s="554"/>
      <c r="G808" s="555"/>
      <c r="H808" s="555"/>
      <c r="I808" s="556"/>
      <c r="J808" s="554"/>
      <c r="K808" s="556"/>
    </row>
    <row r="809" spans="6:11" x14ac:dyDescent="0.25">
      <c r="F809" s="554"/>
      <c r="G809" s="555"/>
      <c r="H809" s="555"/>
      <c r="I809" s="556"/>
      <c r="J809" s="554"/>
      <c r="K809" s="556"/>
    </row>
    <row r="810" spans="6:11" x14ac:dyDescent="0.25">
      <c r="F810" s="554"/>
      <c r="G810" s="555"/>
      <c r="H810" s="555"/>
      <c r="I810" s="556"/>
      <c r="J810" s="554"/>
      <c r="K810" s="556"/>
    </row>
    <row r="811" spans="6:11" x14ac:dyDescent="0.25">
      <c r="F811" s="554"/>
      <c r="G811" s="555"/>
      <c r="H811" s="555"/>
      <c r="I811" s="556"/>
      <c r="J811" s="554"/>
      <c r="K811" s="556"/>
    </row>
    <row r="812" spans="6:11" x14ac:dyDescent="0.25">
      <c r="F812" s="554"/>
      <c r="G812" s="555"/>
      <c r="H812" s="555"/>
      <c r="I812" s="556"/>
      <c r="J812" s="554"/>
      <c r="K812" s="556"/>
    </row>
    <row r="813" spans="6:11" x14ac:dyDescent="0.25">
      <c r="F813" s="554"/>
      <c r="G813" s="555"/>
      <c r="H813" s="555"/>
      <c r="I813" s="556"/>
      <c r="J813" s="554"/>
      <c r="K813" s="556"/>
    </row>
    <row r="814" spans="6:11" x14ac:dyDescent="0.25">
      <c r="F814" s="554"/>
      <c r="G814" s="555"/>
      <c r="H814" s="555"/>
      <c r="I814" s="556"/>
      <c r="J814" s="554"/>
      <c r="K814" s="556"/>
    </row>
    <row r="815" spans="6:11" x14ac:dyDescent="0.25">
      <c r="F815" s="554"/>
      <c r="G815" s="555"/>
      <c r="H815" s="555"/>
      <c r="I815" s="556"/>
      <c r="J815" s="554"/>
      <c r="K815" s="556"/>
    </row>
    <row r="816" spans="6:11" x14ac:dyDescent="0.25">
      <c r="F816" s="554"/>
      <c r="G816" s="555"/>
      <c r="H816" s="555"/>
      <c r="I816" s="556"/>
      <c r="J816" s="554"/>
      <c r="K816" s="556"/>
    </row>
    <row r="817" spans="6:11" x14ac:dyDescent="0.25">
      <c r="F817" s="554"/>
      <c r="G817" s="555"/>
      <c r="H817" s="555"/>
      <c r="I817" s="556"/>
      <c r="J817" s="554"/>
      <c r="K817" s="556"/>
    </row>
    <row r="818" spans="6:11" x14ac:dyDescent="0.25">
      <c r="F818" s="554"/>
      <c r="G818" s="555"/>
      <c r="H818" s="555"/>
      <c r="I818" s="556"/>
      <c r="J818" s="554"/>
      <c r="K818" s="556"/>
    </row>
    <row r="819" spans="6:11" x14ac:dyDescent="0.25">
      <c r="F819" s="554"/>
      <c r="G819" s="555"/>
      <c r="H819" s="555"/>
      <c r="I819" s="556"/>
      <c r="J819" s="554"/>
      <c r="K819" s="556"/>
    </row>
    <row r="820" spans="6:11" x14ac:dyDescent="0.25">
      <c r="F820" s="554"/>
      <c r="G820" s="555"/>
      <c r="H820" s="555"/>
      <c r="I820" s="556"/>
      <c r="J820" s="554"/>
      <c r="K820" s="556"/>
    </row>
    <row r="821" spans="6:11" x14ac:dyDescent="0.25">
      <c r="F821" s="554"/>
      <c r="G821" s="555"/>
      <c r="H821" s="555"/>
      <c r="I821" s="556"/>
      <c r="J821" s="554"/>
      <c r="K821" s="556"/>
    </row>
    <row r="822" spans="6:11" x14ac:dyDescent="0.25">
      <c r="F822" s="554"/>
      <c r="G822" s="555"/>
      <c r="H822" s="555"/>
      <c r="I822" s="556"/>
      <c r="J822" s="554"/>
      <c r="K822" s="556"/>
    </row>
    <row r="823" spans="6:11" x14ac:dyDescent="0.25">
      <c r="F823" s="554"/>
      <c r="G823" s="555"/>
      <c r="H823" s="555"/>
      <c r="I823" s="556"/>
      <c r="J823" s="554"/>
      <c r="K823" s="556"/>
    </row>
    <row r="824" spans="6:11" x14ac:dyDescent="0.25">
      <c r="F824" s="554"/>
      <c r="G824" s="555"/>
      <c r="H824" s="555"/>
      <c r="I824" s="556"/>
      <c r="J824" s="554"/>
      <c r="K824" s="556"/>
    </row>
    <row r="825" spans="6:11" x14ac:dyDescent="0.25">
      <c r="F825" s="554"/>
      <c r="G825" s="555"/>
      <c r="H825" s="555"/>
      <c r="I825" s="556"/>
      <c r="J825" s="554"/>
      <c r="K825" s="556"/>
    </row>
    <row r="826" spans="6:11" x14ac:dyDescent="0.25">
      <c r="F826" s="554"/>
      <c r="G826" s="555"/>
      <c r="H826" s="555"/>
      <c r="I826" s="556"/>
      <c r="J826" s="554"/>
      <c r="K826" s="556"/>
    </row>
    <row r="827" spans="6:11" x14ac:dyDescent="0.25">
      <c r="F827" s="554"/>
      <c r="G827" s="555"/>
      <c r="H827" s="555"/>
      <c r="I827" s="556"/>
      <c r="J827" s="554"/>
      <c r="K827" s="556"/>
    </row>
    <row r="828" spans="6:11" x14ac:dyDescent="0.25">
      <c r="F828" s="554"/>
      <c r="G828" s="555"/>
      <c r="H828" s="555"/>
      <c r="I828" s="556"/>
      <c r="J828" s="554"/>
      <c r="K828" s="556"/>
    </row>
    <row r="829" spans="6:11" x14ac:dyDescent="0.25">
      <c r="F829" s="554"/>
      <c r="G829" s="555"/>
      <c r="H829" s="555"/>
      <c r="I829" s="556"/>
      <c r="J829" s="554"/>
      <c r="K829" s="556"/>
    </row>
    <row r="830" spans="6:11" x14ac:dyDescent="0.25">
      <c r="F830" s="554"/>
      <c r="G830" s="555"/>
      <c r="H830" s="555"/>
      <c r="I830" s="556"/>
      <c r="J830" s="554"/>
      <c r="K830" s="556"/>
    </row>
    <row r="831" spans="6:11" x14ac:dyDescent="0.25">
      <c r="F831" s="554"/>
      <c r="G831" s="555"/>
      <c r="H831" s="555"/>
      <c r="I831" s="556"/>
      <c r="J831" s="554"/>
      <c r="K831" s="556"/>
    </row>
    <row r="832" spans="6:11" x14ac:dyDescent="0.25">
      <c r="F832" s="554"/>
      <c r="G832" s="555"/>
      <c r="H832" s="555"/>
      <c r="I832" s="556"/>
      <c r="J832" s="554"/>
      <c r="K832" s="556"/>
    </row>
    <row r="833" spans="6:11" x14ac:dyDescent="0.25">
      <c r="F833" s="554"/>
      <c r="G833" s="555"/>
      <c r="H833" s="555"/>
      <c r="I833" s="556"/>
      <c r="J833" s="554"/>
      <c r="K833" s="556"/>
    </row>
    <row r="834" spans="6:11" x14ac:dyDescent="0.25">
      <c r="F834" s="554"/>
      <c r="G834" s="555"/>
      <c r="H834" s="555"/>
      <c r="I834" s="556"/>
      <c r="J834" s="554"/>
      <c r="K834" s="556"/>
    </row>
    <row r="835" spans="6:11" x14ac:dyDescent="0.25">
      <c r="F835" s="554"/>
      <c r="G835" s="555"/>
      <c r="H835" s="555"/>
      <c r="I835" s="556"/>
      <c r="J835" s="554"/>
      <c r="K835" s="556"/>
    </row>
    <row r="836" spans="6:11" x14ac:dyDescent="0.25">
      <c r="F836" s="554"/>
      <c r="G836" s="555"/>
      <c r="H836" s="555"/>
      <c r="I836" s="556"/>
      <c r="J836" s="554"/>
      <c r="K836" s="556"/>
    </row>
    <row r="837" spans="6:11" x14ac:dyDescent="0.25">
      <c r="F837" s="554"/>
      <c r="G837" s="555"/>
      <c r="H837" s="555"/>
      <c r="I837" s="556"/>
      <c r="J837" s="554"/>
      <c r="K837" s="556"/>
    </row>
    <row r="838" spans="6:11" x14ac:dyDescent="0.25">
      <c r="F838" s="554"/>
      <c r="G838" s="555"/>
      <c r="H838" s="555"/>
      <c r="I838" s="556"/>
      <c r="J838" s="554"/>
      <c r="K838" s="556"/>
    </row>
    <row r="839" spans="6:11" x14ac:dyDescent="0.25">
      <c r="F839" s="554"/>
      <c r="G839" s="555"/>
      <c r="H839" s="555"/>
      <c r="I839" s="556"/>
      <c r="J839" s="554"/>
      <c r="K839" s="556"/>
    </row>
    <row r="840" spans="6:11" x14ac:dyDescent="0.25">
      <c r="F840" s="554"/>
      <c r="G840" s="555"/>
      <c r="H840" s="555"/>
      <c r="I840" s="556"/>
      <c r="J840" s="554"/>
      <c r="K840" s="556"/>
    </row>
    <row r="841" spans="6:11" x14ac:dyDescent="0.25">
      <c r="F841" s="554"/>
      <c r="G841" s="555"/>
      <c r="H841" s="555"/>
      <c r="I841" s="556"/>
      <c r="J841" s="554"/>
      <c r="K841" s="556"/>
    </row>
    <row r="842" spans="6:11" x14ac:dyDescent="0.25">
      <c r="F842" s="554"/>
      <c r="G842" s="555"/>
      <c r="H842" s="555"/>
      <c r="I842" s="556"/>
      <c r="J842" s="554"/>
      <c r="K842" s="556"/>
    </row>
    <row r="843" spans="6:11" x14ac:dyDescent="0.25">
      <c r="F843" s="554"/>
      <c r="G843" s="555"/>
      <c r="H843" s="555"/>
      <c r="I843" s="556"/>
      <c r="J843" s="554"/>
      <c r="K843" s="556"/>
    </row>
    <row r="844" spans="6:11" x14ac:dyDescent="0.25">
      <c r="F844" s="554"/>
      <c r="G844" s="555"/>
      <c r="H844" s="555"/>
      <c r="I844" s="556"/>
      <c r="J844" s="554"/>
      <c r="K844" s="556"/>
    </row>
    <row r="845" spans="6:11" x14ac:dyDescent="0.25">
      <c r="F845" s="554"/>
      <c r="G845" s="555"/>
      <c r="H845" s="555"/>
      <c r="I845" s="556"/>
      <c r="J845" s="554"/>
      <c r="K845" s="556"/>
    </row>
    <row r="846" spans="6:11" x14ac:dyDescent="0.25">
      <c r="F846" s="554"/>
      <c r="G846" s="555"/>
      <c r="H846" s="555"/>
      <c r="I846" s="556"/>
      <c r="J846" s="554"/>
      <c r="K846" s="556"/>
    </row>
    <row r="847" spans="6:11" x14ac:dyDescent="0.25">
      <c r="F847" s="554"/>
      <c r="G847" s="555"/>
      <c r="H847" s="555"/>
      <c r="I847" s="556"/>
      <c r="J847" s="554"/>
      <c r="K847" s="556"/>
    </row>
    <row r="848" spans="6:11" x14ac:dyDescent="0.25">
      <c r="F848" s="554"/>
      <c r="G848" s="555"/>
      <c r="H848" s="555"/>
      <c r="I848" s="556"/>
      <c r="J848" s="554"/>
      <c r="K848" s="556"/>
    </row>
    <row r="849" spans="6:11" x14ac:dyDescent="0.25">
      <c r="F849" s="554"/>
      <c r="G849" s="555"/>
      <c r="H849" s="555"/>
      <c r="I849" s="556"/>
      <c r="J849" s="554"/>
      <c r="K849" s="556"/>
    </row>
    <row r="850" spans="6:11" x14ac:dyDescent="0.25">
      <c r="F850" s="554"/>
      <c r="G850" s="555"/>
      <c r="H850" s="555"/>
      <c r="I850" s="556"/>
      <c r="J850" s="554"/>
      <c r="K850" s="556"/>
    </row>
    <row r="851" spans="6:11" x14ac:dyDescent="0.25">
      <c r="F851" s="554"/>
      <c r="G851" s="555"/>
      <c r="H851" s="555"/>
      <c r="I851" s="556"/>
      <c r="J851" s="554"/>
      <c r="K851" s="556"/>
    </row>
    <row r="852" spans="6:11" x14ac:dyDescent="0.25">
      <c r="F852" s="554"/>
      <c r="G852" s="555"/>
      <c r="H852" s="555"/>
      <c r="I852" s="556"/>
      <c r="J852" s="554"/>
      <c r="K852" s="556"/>
    </row>
    <row r="853" spans="6:11" x14ac:dyDescent="0.25">
      <c r="F853" s="554"/>
      <c r="G853" s="555"/>
      <c r="H853" s="555"/>
      <c r="I853" s="556"/>
      <c r="J853" s="554"/>
      <c r="K853" s="556"/>
    </row>
    <row r="854" spans="6:11" x14ac:dyDescent="0.25">
      <c r="F854" s="554"/>
      <c r="G854" s="555"/>
      <c r="H854" s="555"/>
      <c r="I854" s="556"/>
      <c r="J854" s="554"/>
      <c r="K854" s="556"/>
    </row>
    <row r="855" spans="6:11" x14ac:dyDescent="0.25">
      <c r="F855" s="554"/>
      <c r="G855" s="555"/>
      <c r="H855" s="555"/>
      <c r="I855" s="556"/>
      <c r="J855" s="554"/>
      <c r="K855" s="556"/>
    </row>
    <row r="856" spans="6:11" x14ac:dyDescent="0.25">
      <c r="F856" s="554"/>
      <c r="G856" s="555"/>
      <c r="H856" s="555"/>
      <c r="I856" s="556"/>
      <c r="J856" s="554"/>
      <c r="K856" s="556"/>
    </row>
    <row r="857" spans="6:11" x14ac:dyDescent="0.25">
      <c r="F857" s="554"/>
      <c r="G857" s="555"/>
      <c r="H857" s="555"/>
      <c r="I857" s="556"/>
      <c r="J857" s="554"/>
      <c r="K857" s="556"/>
    </row>
    <row r="858" spans="6:11" x14ac:dyDescent="0.25">
      <c r="F858" s="554"/>
      <c r="G858" s="555"/>
      <c r="H858" s="555"/>
      <c r="I858" s="556"/>
      <c r="J858" s="554"/>
      <c r="K858" s="556"/>
    </row>
    <row r="859" spans="6:11" x14ac:dyDescent="0.25">
      <c r="F859" s="554"/>
      <c r="G859" s="555"/>
      <c r="H859" s="555"/>
      <c r="I859" s="556"/>
      <c r="J859" s="554"/>
      <c r="K859" s="556"/>
    </row>
    <row r="860" spans="6:11" x14ac:dyDescent="0.25">
      <c r="F860" s="554"/>
      <c r="G860" s="555"/>
      <c r="H860" s="555"/>
      <c r="I860" s="556"/>
      <c r="J860" s="554"/>
      <c r="K860" s="556"/>
    </row>
    <row r="861" spans="6:11" x14ac:dyDescent="0.25">
      <c r="F861" s="554"/>
      <c r="G861" s="555"/>
      <c r="H861" s="555"/>
      <c r="I861" s="556"/>
      <c r="J861" s="554"/>
      <c r="K861" s="556"/>
    </row>
    <row r="862" spans="6:11" x14ac:dyDescent="0.25">
      <c r="F862" s="554"/>
      <c r="G862" s="555"/>
      <c r="H862" s="555"/>
      <c r="I862" s="556"/>
      <c r="J862" s="554"/>
      <c r="K862" s="556"/>
    </row>
    <row r="863" spans="6:11" x14ac:dyDescent="0.25">
      <c r="F863" s="554"/>
      <c r="G863" s="555"/>
      <c r="H863" s="555"/>
      <c r="I863" s="556"/>
      <c r="J863" s="554"/>
      <c r="K863" s="556"/>
    </row>
    <row r="864" spans="6:11" x14ac:dyDescent="0.25">
      <c r="F864" s="554"/>
      <c r="G864" s="555"/>
      <c r="H864" s="555"/>
      <c r="I864" s="556"/>
      <c r="J864" s="554"/>
      <c r="K864" s="556"/>
    </row>
    <row r="865" spans="6:11" x14ac:dyDescent="0.25">
      <c r="F865" s="554"/>
      <c r="G865" s="555"/>
      <c r="H865" s="555"/>
      <c r="I865" s="556"/>
      <c r="J865" s="554"/>
      <c r="K865" s="556"/>
    </row>
    <row r="866" spans="6:11" x14ac:dyDescent="0.25">
      <c r="F866" s="554"/>
      <c r="G866" s="555"/>
      <c r="H866" s="555"/>
      <c r="I866" s="556"/>
      <c r="J866" s="554"/>
      <c r="K866" s="556"/>
    </row>
    <row r="867" spans="6:11" x14ac:dyDescent="0.25">
      <c r="F867" s="554"/>
      <c r="G867" s="555"/>
      <c r="H867" s="555"/>
      <c r="I867" s="556"/>
      <c r="J867" s="554"/>
      <c r="K867" s="556"/>
    </row>
    <row r="868" spans="6:11" x14ac:dyDescent="0.25">
      <c r="F868" s="554"/>
      <c r="G868" s="555"/>
      <c r="H868" s="555"/>
      <c r="I868" s="556"/>
      <c r="J868" s="554"/>
      <c r="K868" s="556"/>
    </row>
    <row r="869" spans="6:11" x14ac:dyDescent="0.25">
      <c r="F869" s="554"/>
      <c r="G869" s="555"/>
      <c r="H869" s="555"/>
      <c r="I869" s="556"/>
      <c r="J869" s="554"/>
      <c r="K869" s="556"/>
    </row>
    <row r="870" spans="6:11" x14ac:dyDescent="0.25">
      <c r="F870" s="554"/>
      <c r="G870" s="555"/>
      <c r="H870" s="555"/>
      <c r="I870" s="556"/>
      <c r="J870" s="554"/>
      <c r="K870" s="556"/>
    </row>
    <row r="871" spans="6:11" x14ac:dyDescent="0.25">
      <c r="F871" s="554"/>
      <c r="G871" s="555"/>
      <c r="H871" s="555"/>
      <c r="I871" s="556"/>
      <c r="J871" s="554"/>
      <c r="K871" s="556"/>
    </row>
    <row r="872" spans="6:11" x14ac:dyDescent="0.25">
      <c r="F872" s="554"/>
      <c r="G872" s="555"/>
      <c r="H872" s="555"/>
      <c r="I872" s="556"/>
      <c r="J872" s="554"/>
      <c r="K872" s="556"/>
    </row>
    <row r="873" spans="6:11" x14ac:dyDescent="0.25">
      <c r="F873" s="554"/>
      <c r="G873" s="555"/>
      <c r="H873" s="555"/>
      <c r="I873" s="556"/>
      <c r="J873" s="554"/>
      <c r="K873" s="556"/>
    </row>
    <row r="874" spans="6:11" x14ac:dyDescent="0.25">
      <c r="F874" s="554"/>
      <c r="G874" s="555"/>
      <c r="H874" s="555"/>
      <c r="I874" s="556"/>
      <c r="J874" s="554"/>
      <c r="K874" s="556"/>
    </row>
    <row r="875" spans="6:11" x14ac:dyDescent="0.25">
      <c r="F875" s="554"/>
      <c r="G875" s="555"/>
      <c r="H875" s="555"/>
      <c r="I875" s="556"/>
      <c r="J875" s="554"/>
      <c r="K875" s="556"/>
    </row>
    <row r="876" spans="6:11" x14ac:dyDescent="0.25">
      <c r="F876" s="554"/>
      <c r="G876" s="555"/>
      <c r="H876" s="555"/>
      <c r="I876" s="556"/>
      <c r="J876" s="554"/>
      <c r="K876" s="556"/>
    </row>
    <row r="877" spans="6:11" x14ac:dyDescent="0.25">
      <c r="F877" s="554"/>
      <c r="G877" s="555"/>
      <c r="H877" s="555"/>
      <c r="I877" s="556"/>
      <c r="J877" s="554"/>
      <c r="K877" s="556"/>
    </row>
    <row r="878" spans="6:11" x14ac:dyDescent="0.25">
      <c r="F878" s="554"/>
      <c r="G878" s="555"/>
      <c r="H878" s="555"/>
      <c r="I878" s="556"/>
      <c r="J878" s="554"/>
      <c r="K878" s="556"/>
    </row>
    <row r="879" spans="6:11" x14ac:dyDescent="0.25">
      <c r="F879" s="554"/>
      <c r="G879" s="555"/>
      <c r="H879" s="555"/>
      <c r="I879" s="556"/>
      <c r="J879" s="554"/>
      <c r="K879" s="556"/>
    </row>
    <row r="880" spans="6:11" x14ac:dyDescent="0.25">
      <c r="F880" s="554"/>
      <c r="G880" s="555"/>
      <c r="H880" s="555"/>
      <c r="I880" s="556"/>
      <c r="J880" s="554"/>
      <c r="K880" s="556"/>
    </row>
    <row r="881" spans="6:11" x14ac:dyDescent="0.25">
      <c r="F881" s="554"/>
      <c r="G881" s="555"/>
      <c r="H881" s="555"/>
      <c r="I881" s="556"/>
      <c r="J881" s="554"/>
      <c r="K881" s="556"/>
    </row>
    <row r="882" spans="6:11" x14ac:dyDescent="0.25">
      <c r="F882" s="554"/>
      <c r="G882" s="555"/>
      <c r="H882" s="555"/>
      <c r="I882" s="556"/>
      <c r="J882" s="554"/>
      <c r="K882" s="556"/>
    </row>
    <row r="883" spans="6:11" x14ac:dyDescent="0.25">
      <c r="F883" s="554"/>
      <c r="G883" s="555"/>
      <c r="H883" s="555"/>
      <c r="I883" s="556"/>
      <c r="J883" s="554"/>
      <c r="K883" s="556"/>
    </row>
    <row r="884" spans="6:11" x14ac:dyDescent="0.25">
      <c r="F884" s="554"/>
      <c r="G884" s="555"/>
      <c r="H884" s="555"/>
      <c r="I884" s="556"/>
      <c r="J884" s="554"/>
      <c r="K884" s="556"/>
    </row>
    <row r="885" spans="6:11" x14ac:dyDescent="0.25">
      <c r="F885" s="554"/>
      <c r="G885" s="555"/>
      <c r="H885" s="555"/>
      <c r="I885" s="556"/>
      <c r="J885" s="554"/>
      <c r="K885" s="556"/>
    </row>
    <row r="886" spans="6:11" x14ac:dyDescent="0.25">
      <c r="F886" s="554"/>
      <c r="G886" s="555"/>
      <c r="H886" s="555"/>
      <c r="I886" s="556"/>
      <c r="J886" s="554"/>
      <c r="K886" s="556"/>
    </row>
    <row r="887" spans="6:11" x14ac:dyDescent="0.25">
      <c r="F887" s="554"/>
      <c r="G887" s="555"/>
      <c r="H887" s="555"/>
      <c r="I887" s="556"/>
      <c r="J887" s="554"/>
      <c r="K887" s="556"/>
    </row>
    <row r="888" spans="6:11" x14ac:dyDescent="0.25">
      <c r="F888" s="554"/>
      <c r="G888" s="555"/>
      <c r="H888" s="555"/>
      <c r="I888" s="556"/>
      <c r="J888" s="554"/>
      <c r="K888" s="556"/>
    </row>
    <row r="889" spans="6:11" x14ac:dyDescent="0.25">
      <c r="F889" s="554"/>
      <c r="G889" s="555"/>
      <c r="H889" s="555"/>
      <c r="I889" s="556"/>
      <c r="J889" s="554"/>
      <c r="K889" s="556"/>
    </row>
    <row r="890" spans="6:11" x14ac:dyDescent="0.25">
      <c r="F890" s="554"/>
      <c r="G890" s="555"/>
      <c r="H890" s="555"/>
      <c r="I890" s="556"/>
      <c r="J890" s="554"/>
      <c r="K890" s="556"/>
    </row>
    <row r="891" spans="6:11" x14ac:dyDescent="0.25">
      <c r="F891" s="554"/>
      <c r="G891" s="555"/>
      <c r="H891" s="555"/>
      <c r="I891" s="556"/>
      <c r="J891" s="554"/>
      <c r="K891" s="556"/>
    </row>
    <row r="892" spans="6:11" x14ac:dyDescent="0.25">
      <c r="F892" s="554"/>
      <c r="G892" s="555"/>
      <c r="H892" s="555"/>
      <c r="I892" s="556"/>
      <c r="J892" s="554"/>
      <c r="K892" s="556"/>
    </row>
    <row r="893" spans="6:11" x14ac:dyDescent="0.25">
      <c r="F893" s="554"/>
      <c r="G893" s="555"/>
      <c r="H893" s="555"/>
      <c r="I893" s="556"/>
      <c r="J893" s="554"/>
      <c r="K893" s="556"/>
    </row>
    <row r="894" spans="6:11" x14ac:dyDescent="0.25">
      <c r="F894" s="554"/>
      <c r="G894" s="555"/>
      <c r="H894" s="555"/>
      <c r="I894" s="556"/>
      <c r="J894" s="554"/>
      <c r="K894" s="556"/>
    </row>
    <row r="895" spans="6:11" x14ac:dyDescent="0.25">
      <c r="F895" s="554"/>
      <c r="G895" s="555"/>
      <c r="H895" s="555"/>
      <c r="I895" s="556"/>
      <c r="J895" s="554"/>
      <c r="K895" s="556"/>
    </row>
    <row r="896" spans="6:11" x14ac:dyDescent="0.25">
      <c r="F896" s="554"/>
      <c r="G896" s="555"/>
      <c r="H896" s="555"/>
      <c r="I896" s="556"/>
      <c r="J896" s="554"/>
      <c r="K896" s="556"/>
    </row>
    <row r="897" spans="6:11" x14ac:dyDescent="0.25">
      <c r="F897" s="554"/>
      <c r="G897" s="555"/>
      <c r="H897" s="555"/>
      <c r="I897" s="556"/>
      <c r="J897" s="554"/>
      <c r="K897" s="556"/>
    </row>
    <row r="898" spans="6:11" x14ac:dyDescent="0.25">
      <c r="F898" s="554"/>
      <c r="G898" s="555"/>
      <c r="H898" s="555"/>
      <c r="I898" s="556"/>
      <c r="J898" s="554"/>
      <c r="K898" s="556"/>
    </row>
    <row r="899" spans="6:11" x14ac:dyDescent="0.25">
      <c r="F899" s="554"/>
      <c r="G899" s="555"/>
      <c r="H899" s="555"/>
      <c r="I899" s="556"/>
      <c r="J899" s="554"/>
      <c r="K899" s="556"/>
    </row>
    <row r="900" spans="6:11" x14ac:dyDescent="0.25">
      <c r="F900" s="554"/>
      <c r="G900" s="555"/>
      <c r="H900" s="555"/>
      <c r="I900" s="556"/>
      <c r="J900" s="554"/>
      <c r="K900" s="556"/>
    </row>
    <row r="901" spans="6:11" x14ac:dyDescent="0.25">
      <c r="F901" s="554"/>
      <c r="G901" s="555"/>
      <c r="H901" s="555"/>
      <c r="I901" s="556"/>
      <c r="J901" s="554"/>
      <c r="K901" s="556"/>
    </row>
    <row r="902" spans="6:11" x14ac:dyDescent="0.25">
      <c r="F902" s="554"/>
      <c r="G902" s="555"/>
      <c r="H902" s="555"/>
      <c r="I902" s="556"/>
      <c r="J902" s="554"/>
      <c r="K902" s="556"/>
    </row>
    <row r="903" spans="6:11" x14ac:dyDescent="0.25">
      <c r="F903" s="554"/>
      <c r="G903" s="555"/>
      <c r="H903" s="555"/>
      <c r="I903" s="556"/>
      <c r="J903" s="554"/>
      <c r="K903" s="556"/>
    </row>
    <row r="904" spans="6:11" x14ac:dyDescent="0.25">
      <c r="F904" s="554"/>
      <c r="G904" s="555"/>
      <c r="H904" s="555"/>
      <c r="I904" s="556"/>
      <c r="J904" s="554"/>
      <c r="K904" s="556"/>
    </row>
    <row r="905" spans="6:11" x14ac:dyDescent="0.25">
      <c r="F905" s="554"/>
      <c r="G905" s="555"/>
      <c r="H905" s="555"/>
      <c r="I905" s="556"/>
      <c r="J905" s="554"/>
      <c r="K905" s="556"/>
    </row>
    <row r="906" spans="6:11" x14ac:dyDescent="0.25">
      <c r="F906" s="554"/>
      <c r="G906" s="555"/>
      <c r="H906" s="555"/>
      <c r="I906" s="556"/>
      <c r="J906" s="554"/>
      <c r="K906" s="556"/>
    </row>
    <row r="907" spans="6:11" x14ac:dyDescent="0.25">
      <c r="F907" s="554"/>
      <c r="G907" s="555"/>
      <c r="H907" s="555"/>
      <c r="I907" s="556"/>
      <c r="J907" s="554"/>
      <c r="K907" s="556"/>
    </row>
    <row r="908" spans="6:11" x14ac:dyDescent="0.25">
      <c r="F908" s="554"/>
      <c r="G908" s="555"/>
      <c r="H908" s="555"/>
      <c r="I908" s="556"/>
      <c r="J908" s="554"/>
      <c r="K908" s="556"/>
    </row>
    <row r="909" spans="6:11" x14ac:dyDescent="0.25">
      <c r="F909" s="554"/>
      <c r="G909" s="555"/>
      <c r="H909" s="555"/>
      <c r="I909" s="556"/>
      <c r="J909" s="554"/>
      <c r="K909" s="556"/>
    </row>
    <row r="910" spans="6:11" x14ac:dyDescent="0.25">
      <c r="F910" s="554"/>
      <c r="G910" s="555"/>
      <c r="H910" s="555"/>
      <c r="I910" s="556"/>
      <c r="J910" s="554"/>
      <c r="K910" s="556"/>
    </row>
    <row r="911" spans="6:11" x14ac:dyDescent="0.25">
      <c r="F911" s="554"/>
      <c r="G911" s="555"/>
      <c r="H911" s="555"/>
      <c r="I911" s="556"/>
      <c r="J911" s="554"/>
      <c r="K911" s="556"/>
    </row>
    <row r="912" spans="6:11" x14ac:dyDescent="0.25">
      <c r="F912" s="554"/>
      <c r="G912" s="555"/>
      <c r="H912" s="555"/>
      <c r="I912" s="556"/>
      <c r="J912" s="554"/>
      <c r="K912" s="556"/>
    </row>
    <row r="913" spans="6:11" x14ac:dyDescent="0.25">
      <c r="F913" s="554"/>
      <c r="G913" s="555"/>
      <c r="H913" s="555"/>
      <c r="I913" s="556"/>
      <c r="J913" s="554"/>
      <c r="K913" s="556"/>
    </row>
    <row r="914" spans="6:11" x14ac:dyDescent="0.25">
      <c r="F914" s="554"/>
      <c r="G914" s="555"/>
      <c r="H914" s="555"/>
      <c r="I914" s="556"/>
      <c r="J914" s="554"/>
      <c r="K914" s="556"/>
    </row>
    <row r="915" spans="6:11" x14ac:dyDescent="0.25">
      <c r="F915" s="554"/>
      <c r="G915" s="555"/>
      <c r="H915" s="555"/>
      <c r="I915" s="556"/>
      <c r="J915" s="554"/>
      <c r="K915" s="556"/>
    </row>
    <row r="916" spans="6:11" x14ac:dyDescent="0.25">
      <c r="F916" s="554"/>
      <c r="G916" s="555"/>
      <c r="H916" s="555"/>
      <c r="I916" s="556"/>
      <c r="J916" s="554"/>
      <c r="K916" s="556"/>
    </row>
    <row r="917" spans="6:11" x14ac:dyDescent="0.25">
      <c r="F917" s="554"/>
      <c r="G917" s="555"/>
      <c r="H917" s="555"/>
      <c r="I917" s="556"/>
      <c r="J917" s="554"/>
      <c r="K917" s="556"/>
    </row>
    <row r="918" spans="6:11" x14ac:dyDescent="0.25">
      <c r="F918" s="554"/>
      <c r="G918" s="555"/>
      <c r="H918" s="555"/>
      <c r="I918" s="556"/>
      <c r="J918" s="554"/>
      <c r="K918" s="556"/>
    </row>
    <row r="919" spans="6:11" x14ac:dyDescent="0.25">
      <c r="F919" s="554"/>
      <c r="G919" s="555"/>
      <c r="H919" s="555"/>
      <c r="I919" s="556"/>
      <c r="J919" s="554"/>
      <c r="K919" s="556"/>
    </row>
    <row r="920" spans="6:11" x14ac:dyDescent="0.25">
      <c r="F920" s="554"/>
      <c r="G920" s="555"/>
      <c r="H920" s="555"/>
      <c r="I920" s="556"/>
      <c r="J920" s="554"/>
      <c r="K920" s="556"/>
    </row>
    <row r="921" spans="6:11" x14ac:dyDescent="0.25">
      <c r="F921" s="554"/>
      <c r="G921" s="555"/>
      <c r="H921" s="555"/>
      <c r="I921" s="556"/>
      <c r="J921" s="554"/>
      <c r="K921" s="556"/>
    </row>
    <row r="922" spans="6:11" x14ac:dyDescent="0.25">
      <c r="F922" s="554"/>
      <c r="G922" s="555"/>
      <c r="H922" s="555"/>
      <c r="I922" s="556"/>
      <c r="J922" s="554"/>
      <c r="K922" s="556"/>
    </row>
    <row r="923" spans="6:11" x14ac:dyDescent="0.25">
      <c r="F923" s="554"/>
      <c r="G923" s="555"/>
      <c r="H923" s="555"/>
      <c r="I923" s="556"/>
      <c r="J923" s="554"/>
      <c r="K923" s="556"/>
    </row>
    <row r="924" spans="6:11" x14ac:dyDescent="0.25">
      <c r="F924" s="554"/>
      <c r="G924" s="555"/>
      <c r="H924" s="555"/>
      <c r="I924" s="556"/>
      <c r="J924" s="554"/>
      <c r="K924" s="556"/>
    </row>
    <row r="925" spans="6:11" x14ac:dyDescent="0.25">
      <c r="F925" s="554"/>
      <c r="G925" s="555"/>
      <c r="H925" s="555"/>
      <c r="I925" s="556"/>
      <c r="J925" s="554"/>
      <c r="K925" s="556"/>
    </row>
    <row r="926" spans="6:11" x14ac:dyDescent="0.25">
      <c r="F926" s="554"/>
      <c r="G926" s="555"/>
      <c r="H926" s="555"/>
      <c r="I926" s="556"/>
      <c r="J926" s="554"/>
      <c r="K926" s="556"/>
    </row>
    <row r="927" spans="6:11" x14ac:dyDescent="0.25">
      <c r="F927" s="554"/>
      <c r="G927" s="555"/>
      <c r="H927" s="555"/>
      <c r="I927" s="556"/>
      <c r="J927" s="554"/>
      <c r="K927" s="556"/>
    </row>
    <row r="928" spans="6:11" x14ac:dyDescent="0.25">
      <c r="F928" s="554"/>
      <c r="G928" s="555"/>
      <c r="H928" s="555"/>
      <c r="I928" s="556"/>
      <c r="J928" s="554"/>
      <c r="K928" s="556"/>
    </row>
    <row r="929" spans="6:11" x14ac:dyDescent="0.25">
      <c r="F929" s="554"/>
      <c r="G929" s="555"/>
      <c r="H929" s="555"/>
      <c r="I929" s="556"/>
      <c r="J929" s="554"/>
      <c r="K929" s="556"/>
    </row>
    <row r="930" spans="6:11" x14ac:dyDescent="0.25">
      <c r="F930" s="554"/>
      <c r="G930" s="555"/>
      <c r="H930" s="555"/>
      <c r="I930" s="556"/>
      <c r="J930" s="554"/>
      <c r="K930" s="556"/>
    </row>
    <row r="931" spans="6:11" x14ac:dyDescent="0.25">
      <c r="F931" s="554"/>
      <c r="G931" s="555"/>
      <c r="H931" s="555"/>
      <c r="I931" s="556"/>
      <c r="J931" s="554"/>
      <c r="K931" s="556"/>
    </row>
    <row r="932" spans="6:11" x14ac:dyDescent="0.25">
      <c r="F932" s="554"/>
      <c r="G932" s="555"/>
      <c r="H932" s="555"/>
      <c r="I932" s="556"/>
      <c r="J932" s="554"/>
      <c r="K932" s="556"/>
    </row>
    <row r="933" spans="6:11" x14ac:dyDescent="0.25">
      <c r="F933" s="554"/>
      <c r="G933" s="555"/>
      <c r="H933" s="555"/>
      <c r="I933" s="556"/>
      <c r="J933" s="554"/>
      <c r="K933" s="556"/>
    </row>
    <row r="934" spans="6:11" x14ac:dyDescent="0.25">
      <c r="F934" s="554"/>
      <c r="G934" s="555"/>
      <c r="H934" s="555"/>
      <c r="I934" s="556"/>
      <c r="J934" s="554"/>
      <c r="K934" s="556"/>
    </row>
    <row r="935" spans="6:11" x14ac:dyDescent="0.25">
      <c r="F935" s="554"/>
      <c r="G935" s="555"/>
      <c r="H935" s="555"/>
      <c r="I935" s="556"/>
      <c r="J935" s="554"/>
      <c r="K935" s="556"/>
    </row>
    <row r="936" spans="6:11" x14ac:dyDescent="0.25">
      <c r="F936" s="554"/>
      <c r="G936" s="555"/>
      <c r="H936" s="555"/>
      <c r="I936" s="556"/>
      <c r="J936" s="554"/>
      <c r="K936" s="556"/>
    </row>
    <row r="937" spans="6:11" x14ac:dyDescent="0.25">
      <c r="F937" s="554"/>
      <c r="G937" s="555"/>
      <c r="H937" s="555"/>
      <c r="I937" s="556"/>
      <c r="J937" s="554"/>
      <c r="K937" s="556"/>
    </row>
    <row r="938" spans="6:11" x14ac:dyDescent="0.25">
      <c r="F938" s="554"/>
      <c r="G938" s="555"/>
      <c r="H938" s="555"/>
      <c r="I938" s="556"/>
      <c r="J938" s="554"/>
      <c r="K938" s="556"/>
    </row>
    <row r="939" spans="6:11" x14ac:dyDescent="0.25">
      <c r="F939" s="554"/>
      <c r="G939" s="555"/>
      <c r="H939" s="555"/>
      <c r="I939" s="556"/>
      <c r="J939" s="554"/>
      <c r="K939" s="556"/>
    </row>
    <row r="940" spans="6:11" x14ac:dyDescent="0.25">
      <c r="F940" s="554"/>
      <c r="G940" s="555"/>
      <c r="H940" s="555"/>
      <c r="I940" s="556"/>
      <c r="J940" s="554"/>
      <c r="K940" s="556"/>
    </row>
    <row r="941" spans="6:11" x14ac:dyDescent="0.25">
      <c r="F941" s="554"/>
      <c r="G941" s="555"/>
      <c r="H941" s="555"/>
      <c r="I941" s="556"/>
      <c r="J941" s="554"/>
      <c r="K941" s="556"/>
    </row>
    <row r="942" spans="6:11" x14ac:dyDescent="0.25">
      <c r="F942" s="554"/>
      <c r="G942" s="555"/>
      <c r="H942" s="555"/>
      <c r="I942" s="556"/>
      <c r="J942" s="554"/>
      <c r="K942" s="556"/>
    </row>
    <row r="943" spans="6:11" x14ac:dyDescent="0.25">
      <c r="F943" s="554"/>
      <c r="G943" s="555"/>
      <c r="H943" s="555"/>
      <c r="I943" s="556"/>
      <c r="J943" s="554"/>
      <c r="K943" s="556"/>
    </row>
    <row r="944" spans="6:11" x14ac:dyDescent="0.25">
      <c r="F944" s="554"/>
      <c r="G944" s="555"/>
      <c r="H944" s="555"/>
      <c r="I944" s="556"/>
      <c r="J944" s="554"/>
      <c r="K944" s="556"/>
    </row>
    <row r="945" spans="6:11" x14ac:dyDescent="0.25">
      <c r="F945" s="554"/>
      <c r="G945" s="555"/>
      <c r="H945" s="555"/>
      <c r="I945" s="556"/>
      <c r="J945" s="554"/>
      <c r="K945" s="556"/>
    </row>
    <row r="946" spans="6:11" x14ac:dyDescent="0.25">
      <c r="F946" s="554"/>
      <c r="G946" s="555"/>
      <c r="H946" s="555"/>
      <c r="I946" s="556"/>
      <c r="J946" s="554"/>
      <c r="K946" s="556"/>
    </row>
    <row r="947" spans="6:11" x14ac:dyDescent="0.25">
      <c r="F947" s="554"/>
      <c r="G947" s="555"/>
      <c r="H947" s="555"/>
      <c r="I947" s="556"/>
      <c r="J947" s="554"/>
      <c r="K947" s="556"/>
    </row>
    <row r="948" spans="6:11" x14ac:dyDescent="0.25">
      <c r="F948" s="554"/>
      <c r="G948" s="555"/>
      <c r="H948" s="555"/>
      <c r="I948" s="556"/>
      <c r="J948" s="554"/>
      <c r="K948" s="556"/>
    </row>
    <row r="949" spans="6:11" x14ac:dyDescent="0.25">
      <c r="F949" s="554"/>
      <c r="G949" s="555"/>
      <c r="H949" s="555"/>
      <c r="I949" s="556"/>
      <c r="J949" s="554"/>
      <c r="K949" s="556"/>
    </row>
    <row r="950" spans="6:11" x14ac:dyDescent="0.25">
      <c r="F950" s="554"/>
      <c r="G950" s="555"/>
      <c r="H950" s="555"/>
      <c r="I950" s="556"/>
      <c r="J950" s="554"/>
      <c r="K950" s="556"/>
    </row>
    <row r="951" spans="6:11" x14ac:dyDescent="0.25">
      <c r="F951" s="554"/>
      <c r="G951" s="555"/>
      <c r="H951" s="555"/>
      <c r="I951" s="556"/>
      <c r="J951" s="554"/>
      <c r="K951" s="556"/>
    </row>
    <row r="952" spans="6:11" x14ac:dyDescent="0.25">
      <c r="F952" s="554"/>
      <c r="G952" s="555"/>
      <c r="H952" s="555"/>
      <c r="I952" s="556"/>
      <c r="J952" s="554"/>
      <c r="K952" s="556"/>
    </row>
    <row r="953" spans="6:11" x14ac:dyDescent="0.25">
      <c r="F953" s="554"/>
      <c r="G953" s="555"/>
      <c r="H953" s="555"/>
      <c r="I953" s="556"/>
      <c r="J953" s="554"/>
      <c r="K953" s="556"/>
    </row>
    <row r="954" spans="6:11" x14ac:dyDescent="0.25">
      <c r="F954" s="554"/>
      <c r="G954" s="555"/>
      <c r="H954" s="555"/>
      <c r="I954" s="556"/>
      <c r="J954" s="554"/>
      <c r="K954" s="556"/>
    </row>
    <row r="955" spans="6:11" x14ac:dyDescent="0.25">
      <c r="F955" s="554"/>
      <c r="G955" s="555"/>
      <c r="H955" s="555"/>
      <c r="I955" s="556"/>
      <c r="J955" s="554"/>
      <c r="K955" s="556"/>
    </row>
    <row r="956" spans="6:11" x14ac:dyDescent="0.25">
      <c r="F956" s="554"/>
      <c r="G956" s="555"/>
      <c r="H956" s="555"/>
      <c r="I956" s="556"/>
      <c r="J956" s="554"/>
      <c r="K956" s="556"/>
    </row>
    <row r="957" spans="6:11" x14ac:dyDescent="0.25">
      <c r="F957" s="554"/>
      <c r="G957" s="555"/>
      <c r="H957" s="555"/>
      <c r="I957" s="556"/>
      <c r="J957" s="554"/>
      <c r="K957" s="556"/>
    </row>
    <row r="958" spans="6:11" x14ac:dyDescent="0.25">
      <c r="F958" s="554"/>
      <c r="G958" s="555"/>
      <c r="H958" s="555"/>
      <c r="I958" s="556"/>
      <c r="J958" s="554"/>
      <c r="K958" s="556"/>
    </row>
    <row r="959" spans="6:11" x14ac:dyDescent="0.25">
      <c r="F959" s="554"/>
      <c r="G959" s="555"/>
      <c r="H959" s="555"/>
      <c r="I959" s="556"/>
      <c r="J959" s="554"/>
      <c r="K959" s="556"/>
    </row>
    <row r="960" spans="6:11" x14ac:dyDescent="0.25">
      <c r="F960" s="554"/>
      <c r="G960" s="555"/>
      <c r="H960" s="555"/>
      <c r="I960" s="556"/>
      <c r="J960" s="554"/>
      <c r="K960" s="556"/>
    </row>
    <row r="961" spans="6:11" x14ac:dyDescent="0.25">
      <c r="F961" s="554"/>
      <c r="G961" s="555"/>
      <c r="H961" s="555"/>
      <c r="I961" s="556"/>
      <c r="J961" s="554"/>
      <c r="K961" s="556"/>
    </row>
    <row r="962" spans="6:11" x14ac:dyDescent="0.25">
      <c r="F962" s="554"/>
      <c r="G962" s="555"/>
      <c r="H962" s="555"/>
      <c r="I962" s="556"/>
      <c r="J962" s="554"/>
      <c r="K962" s="556"/>
    </row>
    <row r="963" spans="6:11" x14ac:dyDescent="0.25">
      <c r="F963" s="554"/>
      <c r="G963" s="555"/>
      <c r="H963" s="555"/>
      <c r="I963" s="556"/>
      <c r="J963" s="554"/>
      <c r="K963" s="556"/>
    </row>
    <row r="964" spans="6:11" x14ac:dyDescent="0.25">
      <c r="F964" s="554"/>
      <c r="G964" s="555"/>
      <c r="H964" s="555"/>
      <c r="I964" s="556"/>
      <c r="J964" s="554"/>
      <c r="K964" s="556"/>
    </row>
    <row r="965" spans="6:11" x14ac:dyDescent="0.25">
      <c r="F965" s="554"/>
      <c r="G965" s="555"/>
      <c r="H965" s="555"/>
      <c r="I965" s="556"/>
      <c r="J965" s="554"/>
      <c r="K965" s="556"/>
    </row>
    <row r="966" spans="6:11" x14ac:dyDescent="0.25">
      <c r="F966" s="554"/>
      <c r="G966" s="555"/>
      <c r="H966" s="555"/>
      <c r="I966" s="556"/>
      <c r="J966" s="554"/>
      <c r="K966" s="556"/>
    </row>
    <row r="967" spans="6:11" x14ac:dyDescent="0.25">
      <c r="F967" s="554"/>
      <c r="G967" s="555"/>
      <c r="H967" s="555"/>
      <c r="I967" s="556"/>
      <c r="J967" s="554"/>
      <c r="K967" s="556"/>
    </row>
    <row r="968" spans="6:11" x14ac:dyDescent="0.25">
      <c r="F968" s="554"/>
      <c r="G968" s="555"/>
      <c r="H968" s="555"/>
      <c r="I968" s="556"/>
      <c r="J968" s="554"/>
      <c r="K968" s="556"/>
    </row>
    <row r="969" spans="6:11" x14ac:dyDescent="0.25">
      <c r="F969" s="554"/>
      <c r="G969" s="555"/>
      <c r="H969" s="555"/>
      <c r="I969" s="556"/>
      <c r="J969" s="554"/>
      <c r="K969" s="556"/>
    </row>
    <row r="970" spans="6:11" x14ac:dyDescent="0.25">
      <c r="F970" s="554"/>
      <c r="G970" s="555"/>
      <c r="H970" s="555"/>
      <c r="I970" s="556"/>
      <c r="J970" s="554"/>
      <c r="K970" s="556"/>
    </row>
    <row r="971" spans="6:11" x14ac:dyDescent="0.25">
      <c r="F971" s="554"/>
      <c r="G971" s="555"/>
      <c r="H971" s="555"/>
      <c r="I971" s="556"/>
      <c r="J971" s="554"/>
      <c r="K971" s="556"/>
    </row>
    <row r="972" spans="6:11" x14ac:dyDescent="0.25">
      <c r="F972" s="554"/>
      <c r="G972" s="555"/>
      <c r="H972" s="555"/>
      <c r="I972" s="556"/>
      <c r="J972" s="554"/>
      <c r="K972" s="556"/>
    </row>
    <row r="973" spans="6:11" x14ac:dyDescent="0.25">
      <c r="F973" s="554"/>
      <c r="G973" s="555"/>
      <c r="H973" s="555"/>
      <c r="I973" s="556"/>
      <c r="J973" s="554"/>
      <c r="K973" s="556"/>
    </row>
    <row r="974" spans="6:11" x14ac:dyDescent="0.25">
      <c r="F974" s="554"/>
      <c r="G974" s="555"/>
      <c r="H974" s="555"/>
      <c r="I974" s="556"/>
      <c r="J974" s="554"/>
      <c r="K974" s="556"/>
    </row>
    <row r="975" spans="6:11" x14ac:dyDescent="0.25">
      <c r="F975" s="554"/>
      <c r="G975" s="555"/>
      <c r="H975" s="555"/>
      <c r="I975" s="556"/>
      <c r="J975" s="554"/>
      <c r="K975" s="556"/>
    </row>
    <row r="976" spans="6:11" x14ac:dyDescent="0.25">
      <c r="F976" s="554"/>
      <c r="G976" s="555"/>
      <c r="H976" s="555"/>
      <c r="I976" s="556"/>
      <c r="J976" s="554"/>
      <c r="K976" s="556"/>
    </row>
    <row r="977" spans="6:11" x14ac:dyDescent="0.25">
      <c r="F977" s="554"/>
      <c r="G977" s="555"/>
      <c r="H977" s="555"/>
      <c r="I977" s="556"/>
      <c r="J977" s="554"/>
      <c r="K977" s="556"/>
    </row>
    <row r="978" spans="6:11" x14ac:dyDescent="0.25">
      <c r="F978" s="554"/>
      <c r="G978" s="555"/>
      <c r="H978" s="555"/>
      <c r="I978" s="556"/>
      <c r="J978" s="554"/>
      <c r="K978" s="556"/>
    </row>
    <row r="979" spans="6:11" x14ac:dyDescent="0.25">
      <c r="F979" s="554"/>
      <c r="G979" s="555"/>
      <c r="H979" s="555"/>
      <c r="I979" s="556"/>
      <c r="J979" s="554"/>
      <c r="K979" s="556"/>
    </row>
    <row r="980" spans="6:11" x14ac:dyDescent="0.25">
      <c r="F980" s="554"/>
      <c r="G980" s="555"/>
      <c r="H980" s="555"/>
      <c r="I980" s="556"/>
      <c r="J980" s="554"/>
      <c r="K980" s="556"/>
    </row>
    <row r="981" spans="6:11" x14ac:dyDescent="0.25">
      <c r="F981" s="554"/>
      <c r="G981" s="555"/>
      <c r="H981" s="555"/>
      <c r="I981" s="556"/>
      <c r="J981" s="554"/>
      <c r="K981" s="556"/>
    </row>
    <row r="982" spans="6:11" x14ac:dyDescent="0.25">
      <c r="F982" s="554"/>
      <c r="G982" s="555"/>
      <c r="H982" s="555"/>
      <c r="I982" s="556"/>
      <c r="J982" s="554"/>
      <c r="K982" s="556"/>
    </row>
    <row r="983" spans="6:11" x14ac:dyDescent="0.25">
      <c r="F983" s="554"/>
      <c r="G983" s="555"/>
      <c r="H983" s="555"/>
      <c r="I983" s="556"/>
      <c r="J983" s="554"/>
      <c r="K983" s="556"/>
    </row>
    <row r="984" spans="6:11" x14ac:dyDescent="0.25">
      <c r="F984" s="554"/>
      <c r="G984" s="555"/>
      <c r="H984" s="555"/>
      <c r="I984" s="556"/>
      <c r="J984" s="554"/>
      <c r="K984" s="556"/>
    </row>
    <row r="985" spans="6:11" x14ac:dyDescent="0.25">
      <c r="F985" s="554"/>
      <c r="G985" s="555"/>
      <c r="H985" s="555"/>
      <c r="I985" s="556"/>
      <c r="J985" s="554"/>
      <c r="K985" s="556"/>
    </row>
    <row r="986" spans="6:11" x14ac:dyDescent="0.25">
      <c r="F986" s="554"/>
      <c r="G986" s="555"/>
      <c r="H986" s="555"/>
      <c r="I986" s="556"/>
      <c r="J986" s="554"/>
      <c r="K986" s="556"/>
    </row>
    <row r="987" spans="6:11" x14ac:dyDescent="0.25">
      <c r="F987" s="554"/>
      <c r="G987" s="555"/>
      <c r="H987" s="555"/>
      <c r="I987" s="556"/>
      <c r="J987" s="554"/>
      <c r="K987" s="556"/>
    </row>
    <row r="988" spans="6:11" x14ac:dyDescent="0.25">
      <c r="F988" s="554"/>
      <c r="G988" s="555"/>
      <c r="H988" s="555"/>
      <c r="I988" s="556"/>
      <c r="J988" s="554"/>
      <c r="K988" s="556"/>
    </row>
    <row r="989" spans="6:11" x14ac:dyDescent="0.25">
      <c r="F989" s="554"/>
      <c r="G989" s="555"/>
      <c r="H989" s="555"/>
      <c r="I989" s="556"/>
      <c r="J989" s="554"/>
      <c r="K989" s="556"/>
    </row>
    <row r="990" spans="6:11" x14ac:dyDescent="0.25">
      <c r="F990" s="554"/>
      <c r="G990" s="555"/>
      <c r="H990" s="555"/>
      <c r="I990" s="556"/>
      <c r="J990" s="554"/>
      <c r="K990" s="556"/>
    </row>
    <row r="991" spans="6:11" x14ac:dyDescent="0.25">
      <c r="F991" s="554"/>
      <c r="G991" s="555"/>
      <c r="H991" s="555"/>
      <c r="I991" s="556"/>
      <c r="J991" s="554"/>
      <c r="K991" s="556"/>
    </row>
    <row r="992" spans="6:11" x14ac:dyDescent="0.25">
      <c r="F992" s="554"/>
      <c r="G992" s="555"/>
      <c r="H992" s="555"/>
      <c r="I992" s="556"/>
      <c r="J992" s="554"/>
      <c r="K992" s="556"/>
    </row>
    <row r="993" spans="6:11" x14ac:dyDescent="0.25">
      <c r="F993" s="554"/>
      <c r="G993" s="555"/>
      <c r="H993" s="555"/>
      <c r="I993" s="556"/>
      <c r="J993" s="554"/>
      <c r="K993" s="556"/>
    </row>
    <row r="994" spans="6:11" x14ac:dyDescent="0.25">
      <c r="F994" s="554"/>
      <c r="G994" s="555"/>
      <c r="H994" s="555"/>
      <c r="I994" s="556"/>
      <c r="J994" s="554"/>
      <c r="K994" s="556"/>
    </row>
    <row r="995" spans="6:11" x14ac:dyDescent="0.25">
      <c r="F995" s="554"/>
      <c r="G995" s="555"/>
      <c r="H995" s="555"/>
      <c r="I995" s="556"/>
      <c r="J995" s="554"/>
      <c r="K995" s="556"/>
    </row>
    <row r="996" spans="6:11" x14ac:dyDescent="0.25">
      <c r="F996" s="554"/>
      <c r="G996" s="555"/>
      <c r="H996" s="555"/>
      <c r="I996" s="556"/>
      <c r="J996" s="554"/>
      <c r="K996" s="556"/>
    </row>
    <row r="997" spans="6:11" x14ac:dyDescent="0.25">
      <c r="F997" s="554"/>
      <c r="G997" s="555"/>
      <c r="H997" s="555"/>
      <c r="I997" s="556"/>
      <c r="J997" s="554"/>
      <c r="K997" s="556"/>
    </row>
    <row r="998" spans="6:11" x14ac:dyDescent="0.25">
      <c r="F998" s="554"/>
      <c r="G998" s="555"/>
      <c r="H998" s="555"/>
      <c r="I998" s="556"/>
      <c r="J998" s="554"/>
      <c r="K998" s="556"/>
    </row>
    <row r="999" spans="6:11" x14ac:dyDescent="0.25">
      <c r="F999" s="554"/>
      <c r="G999" s="555"/>
      <c r="H999" s="555"/>
      <c r="I999" s="556"/>
      <c r="J999" s="554"/>
      <c r="K999" s="556"/>
    </row>
    <row r="1000" spans="6:11" x14ac:dyDescent="0.25">
      <c r="F1000" s="554"/>
      <c r="G1000" s="555"/>
      <c r="H1000" s="555"/>
      <c r="I1000" s="556"/>
      <c r="J1000" s="554"/>
      <c r="K1000" s="556"/>
    </row>
    <row r="1001" spans="6:11" x14ac:dyDescent="0.25">
      <c r="F1001" s="554"/>
      <c r="G1001" s="555"/>
      <c r="H1001" s="555"/>
      <c r="I1001" s="556"/>
      <c r="J1001" s="554"/>
      <c r="K1001" s="556"/>
    </row>
    <row r="1002" spans="6:11" x14ac:dyDescent="0.25">
      <c r="F1002" s="554"/>
      <c r="G1002" s="555"/>
      <c r="H1002" s="555"/>
      <c r="I1002" s="556"/>
      <c r="J1002" s="554"/>
      <c r="K1002" s="556"/>
    </row>
    <row r="1003" spans="6:11" x14ac:dyDescent="0.25">
      <c r="F1003" s="554"/>
      <c r="G1003" s="555"/>
      <c r="H1003" s="555"/>
      <c r="I1003" s="556"/>
      <c r="J1003" s="554"/>
      <c r="K1003" s="556"/>
    </row>
    <row r="1004" spans="6:11" x14ac:dyDescent="0.25">
      <c r="F1004" s="554"/>
      <c r="G1004" s="555"/>
      <c r="H1004" s="555"/>
      <c r="I1004" s="556"/>
      <c r="J1004" s="554"/>
      <c r="K1004" s="556"/>
    </row>
    <row r="1005" spans="6:11" x14ac:dyDescent="0.25">
      <c r="F1005" s="554"/>
      <c r="G1005" s="555"/>
      <c r="H1005" s="555"/>
      <c r="I1005" s="556"/>
      <c r="J1005" s="554"/>
      <c r="K1005" s="556"/>
    </row>
    <row r="1006" spans="6:11" x14ac:dyDescent="0.25">
      <c r="F1006" s="554"/>
      <c r="G1006" s="555"/>
      <c r="H1006" s="555"/>
      <c r="I1006" s="556"/>
      <c r="J1006" s="554"/>
      <c r="K1006" s="556"/>
    </row>
    <row r="1007" spans="6:11" x14ac:dyDescent="0.25">
      <c r="F1007" s="554"/>
      <c r="G1007" s="555"/>
      <c r="H1007" s="555"/>
      <c r="I1007" s="556"/>
      <c r="J1007" s="554"/>
      <c r="K1007" s="556"/>
    </row>
    <row r="1008" spans="6:11" x14ac:dyDescent="0.25">
      <c r="F1008" s="554"/>
      <c r="G1008" s="555"/>
      <c r="H1008" s="555"/>
      <c r="I1008" s="556"/>
      <c r="J1008" s="554"/>
      <c r="K1008" s="556"/>
    </row>
    <row r="1009" spans="6:11" x14ac:dyDescent="0.25">
      <c r="F1009" s="554"/>
      <c r="G1009" s="555"/>
      <c r="H1009" s="555"/>
      <c r="I1009" s="556"/>
      <c r="J1009" s="554"/>
      <c r="K1009" s="556"/>
    </row>
    <row r="1010" spans="6:11" x14ac:dyDescent="0.25">
      <c r="F1010" s="554"/>
      <c r="G1010" s="555"/>
      <c r="H1010" s="555"/>
      <c r="I1010" s="556"/>
      <c r="J1010" s="554"/>
      <c r="K1010" s="556"/>
    </row>
    <row r="1011" spans="6:11" x14ac:dyDescent="0.25">
      <c r="F1011" s="554"/>
      <c r="G1011" s="555"/>
      <c r="H1011" s="555"/>
      <c r="I1011" s="556"/>
      <c r="J1011" s="554"/>
      <c r="K1011" s="556"/>
    </row>
    <row r="1012" spans="6:11" x14ac:dyDescent="0.25">
      <c r="F1012" s="554"/>
      <c r="G1012" s="555"/>
      <c r="H1012" s="555"/>
      <c r="I1012" s="556"/>
      <c r="J1012" s="554"/>
      <c r="K1012" s="556"/>
    </row>
    <row r="1013" spans="6:11" x14ac:dyDescent="0.25">
      <c r="F1013" s="554"/>
      <c r="G1013" s="555"/>
      <c r="H1013" s="555"/>
      <c r="I1013" s="556"/>
      <c r="J1013" s="554"/>
      <c r="K1013" s="556"/>
    </row>
    <row r="1014" spans="6:11" x14ac:dyDescent="0.25">
      <c r="F1014" s="554"/>
      <c r="G1014" s="555"/>
      <c r="H1014" s="555"/>
      <c r="I1014" s="556"/>
      <c r="J1014" s="554"/>
      <c r="K1014" s="556"/>
    </row>
    <row r="1015" spans="6:11" x14ac:dyDescent="0.25">
      <c r="F1015" s="554"/>
      <c r="G1015" s="555"/>
      <c r="H1015" s="555"/>
      <c r="I1015" s="556"/>
      <c r="J1015" s="554"/>
      <c r="K1015" s="556"/>
    </row>
    <row r="1016" spans="6:11" x14ac:dyDescent="0.25">
      <c r="F1016" s="554"/>
      <c r="G1016" s="555"/>
      <c r="H1016" s="555"/>
      <c r="I1016" s="556"/>
      <c r="J1016" s="554"/>
      <c r="K1016" s="556"/>
    </row>
    <row r="1017" spans="6:11" x14ac:dyDescent="0.25">
      <c r="F1017" s="554"/>
      <c r="G1017" s="555"/>
      <c r="H1017" s="555"/>
      <c r="I1017" s="556"/>
      <c r="J1017" s="554"/>
      <c r="K1017" s="556"/>
    </row>
    <row r="1018" spans="6:11" x14ac:dyDescent="0.25">
      <c r="F1018" s="554"/>
      <c r="G1018" s="555"/>
      <c r="H1018" s="555"/>
      <c r="I1018" s="556"/>
      <c r="J1018" s="554"/>
      <c r="K1018" s="556"/>
    </row>
    <row r="1019" spans="6:11" x14ac:dyDescent="0.25">
      <c r="F1019" s="554"/>
      <c r="G1019" s="555"/>
      <c r="H1019" s="555"/>
      <c r="I1019" s="556"/>
      <c r="J1019" s="554"/>
      <c r="K1019" s="556"/>
    </row>
    <row r="1020" spans="6:11" x14ac:dyDescent="0.25">
      <c r="F1020" s="554"/>
      <c r="G1020" s="555"/>
      <c r="H1020" s="555"/>
      <c r="I1020" s="556"/>
      <c r="J1020" s="554"/>
      <c r="K1020" s="556"/>
    </row>
    <row r="1021" spans="6:11" x14ac:dyDescent="0.25">
      <c r="F1021" s="554"/>
      <c r="G1021" s="555"/>
      <c r="H1021" s="555"/>
      <c r="I1021" s="556"/>
      <c r="J1021" s="554"/>
      <c r="K1021" s="556"/>
    </row>
    <row r="1022" spans="6:11" x14ac:dyDescent="0.25">
      <c r="F1022" s="554"/>
      <c r="G1022" s="555"/>
      <c r="H1022" s="555"/>
      <c r="I1022" s="556"/>
      <c r="J1022" s="554"/>
      <c r="K1022" s="556"/>
    </row>
    <row r="1023" spans="6:11" x14ac:dyDescent="0.25">
      <c r="F1023" s="554"/>
      <c r="G1023" s="555"/>
      <c r="H1023" s="555"/>
      <c r="I1023" s="556"/>
      <c r="J1023" s="554"/>
      <c r="K1023" s="556"/>
    </row>
    <row r="1024" spans="6:11" x14ac:dyDescent="0.25">
      <c r="F1024" s="554"/>
      <c r="G1024" s="555"/>
      <c r="H1024" s="555"/>
      <c r="I1024" s="556"/>
      <c r="J1024" s="554"/>
      <c r="K1024" s="556"/>
    </row>
    <row r="1025" spans="6:11" x14ac:dyDescent="0.25">
      <c r="F1025" s="554"/>
      <c r="G1025" s="555"/>
      <c r="H1025" s="555"/>
      <c r="I1025" s="556"/>
      <c r="J1025" s="554"/>
      <c r="K1025" s="556"/>
    </row>
    <row r="1026" spans="6:11" x14ac:dyDescent="0.25">
      <c r="F1026" s="554"/>
      <c r="G1026" s="555"/>
      <c r="H1026" s="555"/>
      <c r="I1026" s="556"/>
      <c r="J1026" s="554"/>
      <c r="K1026" s="556"/>
    </row>
    <row r="1027" spans="6:11" x14ac:dyDescent="0.25">
      <c r="F1027" s="554"/>
      <c r="G1027" s="555"/>
      <c r="H1027" s="555"/>
      <c r="I1027" s="556"/>
      <c r="J1027" s="554"/>
      <c r="K1027" s="556"/>
    </row>
    <row r="1028" spans="6:11" x14ac:dyDescent="0.25">
      <c r="F1028" s="554"/>
      <c r="G1028" s="555"/>
      <c r="H1028" s="555"/>
      <c r="I1028" s="556"/>
      <c r="J1028" s="554"/>
      <c r="K1028" s="556"/>
    </row>
    <row r="1029" spans="6:11" x14ac:dyDescent="0.25">
      <c r="F1029" s="554"/>
      <c r="G1029" s="555"/>
      <c r="H1029" s="555"/>
      <c r="I1029" s="556"/>
      <c r="J1029" s="554"/>
      <c r="K1029" s="556"/>
    </row>
    <row r="1030" spans="6:11" x14ac:dyDescent="0.25">
      <c r="F1030" s="554"/>
      <c r="G1030" s="555"/>
      <c r="H1030" s="555"/>
      <c r="I1030" s="556"/>
      <c r="J1030" s="554"/>
      <c r="K1030" s="556"/>
    </row>
    <row r="1031" spans="6:11" x14ac:dyDescent="0.25">
      <c r="F1031" s="554"/>
      <c r="G1031" s="555"/>
      <c r="H1031" s="555"/>
      <c r="I1031" s="556"/>
      <c r="J1031" s="554"/>
      <c r="K1031" s="556"/>
    </row>
    <row r="1032" spans="6:11" x14ac:dyDescent="0.25">
      <c r="F1032" s="554"/>
      <c r="G1032" s="555"/>
      <c r="H1032" s="555"/>
      <c r="I1032" s="556"/>
      <c r="J1032" s="554"/>
      <c r="K1032" s="556"/>
    </row>
    <row r="1033" spans="6:11" x14ac:dyDescent="0.25">
      <c r="F1033" s="554"/>
      <c r="G1033" s="555"/>
      <c r="H1033" s="555"/>
      <c r="I1033" s="556"/>
      <c r="J1033" s="554"/>
      <c r="K1033" s="556"/>
    </row>
    <row r="1034" spans="6:11" x14ac:dyDescent="0.25">
      <c r="F1034" s="554"/>
      <c r="G1034" s="555"/>
      <c r="H1034" s="555"/>
      <c r="I1034" s="556"/>
      <c r="J1034" s="554"/>
      <c r="K1034" s="556"/>
    </row>
    <row r="1035" spans="6:11" x14ac:dyDescent="0.25">
      <c r="F1035" s="554"/>
      <c r="G1035" s="555"/>
      <c r="H1035" s="555"/>
      <c r="I1035" s="556"/>
      <c r="J1035" s="554"/>
      <c r="K1035" s="556"/>
    </row>
    <row r="1036" spans="6:11" x14ac:dyDescent="0.25">
      <c r="F1036" s="554"/>
      <c r="G1036" s="555"/>
      <c r="H1036" s="555"/>
      <c r="I1036" s="556"/>
      <c r="J1036" s="554"/>
      <c r="K1036" s="556"/>
    </row>
    <row r="1037" spans="6:11" x14ac:dyDescent="0.25">
      <c r="F1037" s="554"/>
      <c r="G1037" s="555"/>
      <c r="H1037" s="555"/>
      <c r="I1037" s="556"/>
      <c r="J1037" s="554"/>
      <c r="K1037" s="556"/>
    </row>
    <row r="1038" spans="6:11" x14ac:dyDescent="0.25">
      <c r="F1038" s="554"/>
      <c r="G1038" s="555"/>
      <c r="H1038" s="555"/>
      <c r="I1038" s="556"/>
      <c r="J1038" s="554"/>
      <c r="K1038" s="556"/>
    </row>
    <row r="1039" spans="6:11" x14ac:dyDescent="0.25">
      <c r="F1039" s="554"/>
      <c r="G1039" s="555"/>
      <c r="H1039" s="555"/>
      <c r="I1039" s="556"/>
      <c r="J1039" s="554"/>
      <c r="K1039" s="556"/>
    </row>
    <row r="1040" spans="6:11" x14ac:dyDescent="0.25">
      <c r="F1040" s="554"/>
      <c r="G1040" s="555"/>
      <c r="H1040" s="555"/>
      <c r="I1040" s="556"/>
      <c r="J1040" s="554"/>
      <c r="K1040" s="556"/>
    </row>
    <row r="1041" spans="6:11" x14ac:dyDescent="0.25">
      <c r="F1041" s="554"/>
      <c r="G1041" s="555"/>
      <c r="H1041" s="555"/>
      <c r="I1041" s="556"/>
      <c r="J1041" s="554"/>
      <c r="K1041" s="556"/>
    </row>
    <row r="1042" spans="6:11" x14ac:dyDescent="0.25">
      <c r="F1042" s="554"/>
      <c r="G1042" s="555"/>
      <c r="H1042" s="555"/>
      <c r="I1042" s="556"/>
      <c r="J1042" s="554"/>
      <c r="K1042" s="556"/>
    </row>
    <row r="1043" spans="6:11" x14ac:dyDescent="0.25">
      <c r="F1043" s="554"/>
      <c r="G1043" s="555"/>
      <c r="H1043" s="555"/>
      <c r="I1043" s="556"/>
      <c r="J1043" s="554"/>
      <c r="K1043" s="556"/>
    </row>
    <row r="1044" spans="6:11" x14ac:dyDescent="0.25">
      <c r="F1044" s="554"/>
      <c r="G1044" s="555"/>
      <c r="H1044" s="555"/>
      <c r="I1044" s="556"/>
      <c r="J1044" s="554"/>
      <c r="K1044" s="556"/>
    </row>
    <row r="1045" spans="6:11" x14ac:dyDescent="0.25">
      <c r="F1045" s="554"/>
      <c r="G1045" s="555"/>
      <c r="H1045" s="555"/>
      <c r="I1045" s="556"/>
      <c r="J1045" s="554"/>
      <c r="K1045" s="556"/>
    </row>
    <row r="1046" spans="6:11" x14ac:dyDescent="0.25">
      <c r="F1046" s="554"/>
      <c r="G1046" s="555"/>
      <c r="H1046" s="555"/>
      <c r="I1046" s="556"/>
      <c r="J1046" s="554"/>
      <c r="K1046" s="556"/>
    </row>
    <row r="1047" spans="6:11" x14ac:dyDescent="0.25">
      <c r="F1047" s="554"/>
      <c r="G1047" s="555"/>
      <c r="H1047" s="555"/>
      <c r="I1047" s="556"/>
      <c r="J1047" s="554"/>
      <c r="K1047" s="556"/>
    </row>
    <row r="1048" spans="6:11" x14ac:dyDescent="0.25">
      <c r="F1048" s="554"/>
      <c r="G1048" s="555"/>
      <c r="H1048" s="555"/>
      <c r="I1048" s="556"/>
      <c r="J1048" s="554"/>
      <c r="K1048" s="556"/>
    </row>
    <row r="1049" spans="6:11" x14ac:dyDescent="0.25">
      <c r="F1049" s="554"/>
      <c r="G1049" s="555"/>
      <c r="H1049" s="555"/>
      <c r="I1049" s="556"/>
      <c r="J1049" s="554"/>
      <c r="K1049" s="556"/>
    </row>
    <row r="1050" spans="6:11" x14ac:dyDescent="0.25">
      <c r="F1050" s="554"/>
      <c r="G1050" s="555"/>
      <c r="H1050" s="555"/>
      <c r="I1050" s="556"/>
      <c r="J1050" s="554"/>
      <c r="K1050" s="556"/>
    </row>
    <row r="1051" spans="6:11" x14ac:dyDescent="0.25">
      <c r="F1051" s="554"/>
      <c r="G1051" s="555"/>
      <c r="H1051" s="555"/>
      <c r="I1051" s="556"/>
      <c r="J1051" s="554"/>
      <c r="K1051" s="556"/>
    </row>
    <row r="1052" spans="6:11" x14ac:dyDescent="0.25">
      <c r="F1052" s="554"/>
      <c r="G1052" s="555"/>
      <c r="H1052" s="555"/>
      <c r="I1052" s="556"/>
      <c r="J1052" s="554"/>
      <c r="K1052" s="556"/>
    </row>
    <row r="1053" spans="6:11" x14ac:dyDescent="0.25">
      <c r="F1053" s="554"/>
      <c r="G1053" s="555"/>
      <c r="H1053" s="555"/>
      <c r="I1053" s="556"/>
      <c r="J1053" s="554"/>
      <c r="K1053" s="556"/>
    </row>
    <row r="1054" spans="6:11" x14ac:dyDescent="0.25">
      <c r="F1054" s="554"/>
      <c r="G1054" s="555"/>
      <c r="H1054" s="555"/>
      <c r="I1054" s="556"/>
      <c r="J1054" s="554"/>
      <c r="K1054" s="556"/>
    </row>
    <row r="1055" spans="6:11" x14ac:dyDescent="0.25">
      <c r="F1055" s="554"/>
      <c r="G1055" s="555"/>
      <c r="H1055" s="555"/>
      <c r="I1055" s="556"/>
      <c r="J1055" s="554"/>
      <c r="K1055" s="556"/>
    </row>
    <row r="1056" spans="6:11" x14ac:dyDescent="0.25">
      <c r="F1056" s="554"/>
      <c r="G1056" s="555"/>
      <c r="H1056" s="555"/>
      <c r="I1056" s="556"/>
      <c r="J1056" s="554"/>
      <c r="K1056" s="556"/>
    </row>
    <row r="1057" spans="6:11" x14ac:dyDescent="0.25">
      <c r="F1057" s="554"/>
      <c r="G1057" s="555"/>
      <c r="H1057" s="555"/>
      <c r="I1057" s="556"/>
      <c r="J1057" s="554"/>
      <c r="K1057" s="556"/>
    </row>
    <row r="1058" spans="6:11" x14ac:dyDescent="0.25">
      <c r="F1058" s="554"/>
      <c r="G1058" s="555"/>
      <c r="H1058" s="555"/>
      <c r="I1058" s="556"/>
      <c r="J1058" s="554"/>
      <c r="K1058" s="556"/>
    </row>
    <row r="1059" spans="6:11" x14ac:dyDescent="0.25">
      <c r="F1059" s="554"/>
      <c r="G1059" s="555"/>
      <c r="H1059" s="555"/>
      <c r="I1059" s="556"/>
      <c r="J1059" s="554"/>
      <c r="K1059" s="556"/>
    </row>
    <row r="1060" spans="6:11" x14ac:dyDescent="0.25">
      <c r="F1060" s="554"/>
      <c r="G1060" s="555"/>
      <c r="H1060" s="555"/>
      <c r="I1060" s="556"/>
      <c r="J1060" s="554"/>
      <c r="K1060" s="556"/>
    </row>
    <row r="1061" spans="6:11" x14ac:dyDescent="0.25">
      <c r="F1061" s="554"/>
      <c r="G1061" s="555"/>
      <c r="H1061" s="555"/>
      <c r="I1061" s="556"/>
      <c r="J1061" s="554"/>
      <c r="K1061" s="556"/>
    </row>
    <row r="1062" spans="6:11" x14ac:dyDescent="0.25">
      <c r="F1062" s="554"/>
      <c r="G1062" s="555"/>
      <c r="H1062" s="555"/>
      <c r="I1062" s="556"/>
      <c r="J1062" s="554"/>
      <c r="K1062" s="556"/>
    </row>
    <row r="1063" spans="6:11" x14ac:dyDescent="0.25">
      <c r="F1063" s="554"/>
      <c r="G1063" s="555"/>
      <c r="H1063" s="555"/>
      <c r="I1063" s="556"/>
      <c r="J1063" s="554"/>
      <c r="K1063" s="556"/>
    </row>
    <row r="1064" spans="6:11" x14ac:dyDescent="0.25">
      <c r="F1064" s="554"/>
      <c r="G1064" s="555"/>
      <c r="H1064" s="555"/>
      <c r="I1064" s="556"/>
      <c r="J1064" s="554"/>
      <c r="K1064" s="556"/>
    </row>
    <row r="1065" spans="6:11" x14ac:dyDescent="0.25">
      <c r="F1065" s="554"/>
      <c r="G1065" s="555"/>
      <c r="H1065" s="555"/>
      <c r="I1065" s="556"/>
      <c r="J1065" s="554"/>
      <c r="K1065" s="556"/>
    </row>
    <row r="1066" spans="6:11" x14ac:dyDescent="0.25">
      <c r="F1066" s="554"/>
      <c r="G1066" s="555"/>
      <c r="H1066" s="555"/>
      <c r="I1066" s="556"/>
      <c r="J1066" s="554"/>
      <c r="K1066" s="556"/>
    </row>
    <row r="1067" spans="6:11" x14ac:dyDescent="0.25">
      <c r="F1067" s="554"/>
      <c r="G1067" s="555"/>
      <c r="H1067" s="555"/>
      <c r="I1067" s="556"/>
      <c r="J1067" s="554"/>
      <c r="K1067" s="556"/>
    </row>
    <row r="1068" spans="6:11" x14ac:dyDescent="0.25">
      <c r="F1068" s="554"/>
      <c r="G1068" s="555"/>
      <c r="H1068" s="555"/>
      <c r="I1068" s="556"/>
      <c r="J1068" s="554"/>
      <c r="K1068" s="556"/>
    </row>
    <row r="1069" spans="6:11" x14ac:dyDescent="0.25">
      <c r="F1069" s="554"/>
      <c r="G1069" s="555"/>
      <c r="H1069" s="555"/>
      <c r="I1069" s="556"/>
      <c r="J1069" s="554"/>
      <c r="K1069" s="556"/>
    </row>
    <row r="1070" spans="6:11" x14ac:dyDescent="0.25">
      <c r="F1070" s="554"/>
      <c r="G1070" s="555"/>
      <c r="H1070" s="555"/>
      <c r="I1070" s="556"/>
      <c r="J1070" s="554"/>
      <c r="K1070" s="556"/>
    </row>
    <row r="1071" spans="6:11" x14ac:dyDescent="0.25">
      <c r="F1071" s="554"/>
      <c r="G1071" s="555"/>
      <c r="H1071" s="555"/>
      <c r="I1071" s="556"/>
      <c r="J1071" s="554"/>
      <c r="K1071" s="556"/>
    </row>
    <row r="1072" spans="6:11" x14ac:dyDescent="0.25">
      <c r="F1072" s="554"/>
      <c r="G1072" s="555"/>
      <c r="H1072" s="555"/>
      <c r="I1072" s="556"/>
      <c r="J1072" s="554"/>
      <c r="K1072" s="556"/>
    </row>
    <row r="1073" spans="6:11" x14ac:dyDescent="0.25">
      <c r="F1073" s="554"/>
      <c r="G1073" s="555"/>
      <c r="H1073" s="555"/>
      <c r="I1073" s="556"/>
      <c r="J1073" s="554"/>
      <c r="K1073" s="556"/>
    </row>
    <row r="1074" spans="6:11" x14ac:dyDescent="0.25">
      <c r="F1074" s="554"/>
      <c r="G1074" s="555"/>
      <c r="H1074" s="555"/>
      <c r="I1074" s="556"/>
      <c r="J1074" s="554"/>
      <c r="K1074" s="556"/>
    </row>
    <row r="1075" spans="6:11" x14ac:dyDescent="0.25">
      <c r="F1075" s="554"/>
      <c r="G1075" s="555"/>
      <c r="H1075" s="555"/>
      <c r="I1075" s="556"/>
      <c r="J1075" s="554"/>
      <c r="K1075" s="556"/>
    </row>
    <row r="1076" spans="6:11" x14ac:dyDescent="0.25">
      <c r="F1076" s="554"/>
      <c r="G1076" s="555"/>
      <c r="H1076" s="555"/>
      <c r="I1076" s="556"/>
      <c r="J1076" s="554"/>
      <c r="K1076" s="556"/>
    </row>
    <row r="1077" spans="6:11" x14ac:dyDescent="0.25">
      <c r="F1077" s="554"/>
      <c r="G1077" s="555"/>
      <c r="H1077" s="555"/>
      <c r="I1077" s="556"/>
      <c r="J1077" s="554"/>
      <c r="K1077" s="556"/>
    </row>
    <row r="1078" spans="6:11" x14ac:dyDescent="0.25">
      <c r="F1078" s="554"/>
      <c r="G1078" s="555"/>
      <c r="H1078" s="555"/>
      <c r="I1078" s="556"/>
      <c r="J1078" s="554"/>
      <c r="K1078" s="556"/>
    </row>
    <row r="1079" spans="6:11" x14ac:dyDescent="0.25">
      <c r="F1079" s="554"/>
      <c r="G1079" s="555"/>
      <c r="H1079" s="555"/>
      <c r="I1079" s="556"/>
      <c r="J1079" s="554"/>
      <c r="K1079" s="556"/>
    </row>
    <row r="1080" spans="6:11" x14ac:dyDescent="0.25">
      <c r="F1080" s="554"/>
      <c r="G1080" s="555"/>
      <c r="H1080" s="555"/>
      <c r="I1080" s="556"/>
      <c r="J1080" s="554"/>
      <c r="K1080" s="556"/>
    </row>
    <row r="1081" spans="6:11" x14ac:dyDescent="0.25">
      <c r="F1081" s="554"/>
      <c r="G1081" s="555"/>
      <c r="H1081" s="555"/>
      <c r="I1081" s="556"/>
      <c r="J1081" s="554"/>
      <c r="K1081" s="556"/>
    </row>
    <row r="1082" spans="6:11" x14ac:dyDescent="0.25">
      <c r="F1082" s="554"/>
      <c r="G1082" s="555"/>
      <c r="H1082" s="555"/>
      <c r="I1082" s="556"/>
      <c r="J1082" s="554"/>
      <c r="K1082" s="556"/>
    </row>
    <row r="1083" spans="6:11" x14ac:dyDescent="0.25">
      <c r="F1083" s="554"/>
      <c r="G1083" s="555"/>
      <c r="H1083" s="555"/>
      <c r="I1083" s="556"/>
      <c r="J1083" s="554"/>
      <c r="K1083" s="556"/>
    </row>
    <row r="1084" spans="6:11" x14ac:dyDescent="0.25">
      <c r="F1084" s="554"/>
      <c r="G1084" s="555"/>
      <c r="H1084" s="555"/>
      <c r="I1084" s="556"/>
      <c r="J1084" s="554"/>
      <c r="K1084" s="556"/>
    </row>
    <row r="1085" spans="6:11" x14ac:dyDescent="0.25">
      <c r="F1085" s="554"/>
      <c r="G1085" s="555"/>
      <c r="H1085" s="555"/>
      <c r="I1085" s="556"/>
      <c r="J1085" s="554"/>
      <c r="K1085" s="556"/>
    </row>
    <row r="1086" spans="6:11" x14ac:dyDescent="0.25">
      <c r="F1086" s="554"/>
      <c r="G1086" s="555"/>
      <c r="H1086" s="555"/>
      <c r="I1086" s="556"/>
      <c r="J1086" s="554"/>
      <c r="K1086" s="556"/>
    </row>
    <row r="1087" spans="6:11" x14ac:dyDescent="0.25">
      <c r="F1087" s="554"/>
      <c r="G1087" s="555"/>
      <c r="H1087" s="555"/>
      <c r="I1087" s="556"/>
      <c r="J1087" s="554"/>
      <c r="K1087" s="556"/>
    </row>
    <row r="1088" spans="6:11" x14ac:dyDescent="0.25">
      <c r="F1088" s="554"/>
      <c r="G1088" s="555"/>
      <c r="H1088" s="555"/>
      <c r="I1088" s="556"/>
      <c r="J1088" s="554"/>
      <c r="K1088" s="556"/>
    </row>
    <row r="1089" spans="6:11" x14ac:dyDescent="0.25">
      <c r="F1089" s="554"/>
      <c r="G1089" s="555"/>
      <c r="H1089" s="555"/>
      <c r="I1089" s="556"/>
      <c r="J1089" s="554"/>
      <c r="K1089" s="556"/>
    </row>
    <row r="1090" spans="6:11" x14ac:dyDescent="0.25">
      <c r="F1090" s="554"/>
      <c r="G1090" s="555"/>
      <c r="H1090" s="555"/>
      <c r="I1090" s="556"/>
      <c r="J1090" s="554"/>
      <c r="K1090" s="556"/>
    </row>
    <row r="1091" spans="6:11" x14ac:dyDescent="0.25">
      <c r="F1091" s="554"/>
      <c r="G1091" s="555"/>
      <c r="H1091" s="555"/>
      <c r="I1091" s="556"/>
      <c r="J1091" s="554"/>
      <c r="K1091" s="556"/>
    </row>
    <row r="1092" spans="6:11" x14ac:dyDescent="0.25">
      <c r="F1092" s="554"/>
      <c r="G1092" s="555"/>
      <c r="H1092" s="555"/>
      <c r="I1092" s="556"/>
      <c r="J1092" s="554"/>
      <c r="K1092" s="556"/>
    </row>
    <row r="1093" spans="6:11" x14ac:dyDescent="0.25">
      <c r="F1093" s="554"/>
      <c r="G1093" s="555"/>
      <c r="H1093" s="555"/>
      <c r="I1093" s="556"/>
      <c r="J1093" s="554"/>
      <c r="K1093" s="556"/>
    </row>
    <row r="1094" spans="6:11" x14ac:dyDescent="0.25">
      <c r="F1094" s="554"/>
      <c r="G1094" s="555"/>
      <c r="H1094" s="555"/>
      <c r="I1094" s="556"/>
      <c r="J1094" s="554"/>
      <c r="K1094" s="556"/>
    </row>
    <row r="1095" spans="6:11" x14ac:dyDescent="0.25">
      <c r="F1095" s="554"/>
      <c r="G1095" s="555"/>
      <c r="H1095" s="555"/>
      <c r="I1095" s="556"/>
      <c r="J1095" s="554"/>
      <c r="K1095" s="556"/>
    </row>
    <row r="1096" spans="6:11" x14ac:dyDescent="0.25">
      <c r="F1096" s="554"/>
      <c r="G1096" s="555"/>
      <c r="H1096" s="555"/>
      <c r="I1096" s="556"/>
      <c r="J1096" s="554"/>
      <c r="K1096" s="556"/>
    </row>
    <row r="1097" spans="6:11" x14ac:dyDescent="0.25">
      <c r="F1097" s="554"/>
      <c r="G1097" s="555"/>
      <c r="H1097" s="555"/>
      <c r="I1097" s="556"/>
      <c r="J1097" s="554"/>
      <c r="K1097" s="556"/>
    </row>
    <row r="1098" spans="6:11" x14ac:dyDescent="0.25">
      <c r="F1098" s="554"/>
      <c r="G1098" s="555"/>
      <c r="H1098" s="555"/>
      <c r="I1098" s="556"/>
      <c r="J1098" s="554"/>
      <c r="K1098" s="556"/>
    </row>
    <row r="1099" spans="6:11" x14ac:dyDescent="0.25">
      <c r="F1099" s="554"/>
      <c r="G1099" s="555"/>
      <c r="H1099" s="555"/>
      <c r="I1099" s="556"/>
      <c r="J1099" s="554"/>
      <c r="K1099" s="556"/>
    </row>
    <row r="1100" spans="6:11" x14ac:dyDescent="0.25">
      <c r="F1100" s="554"/>
      <c r="G1100" s="555"/>
      <c r="H1100" s="555"/>
      <c r="I1100" s="556"/>
      <c r="J1100" s="554"/>
      <c r="K1100" s="556"/>
    </row>
    <row r="1101" spans="6:11" x14ac:dyDescent="0.25">
      <c r="F1101" s="554"/>
      <c r="G1101" s="555"/>
      <c r="H1101" s="555"/>
      <c r="I1101" s="556"/>
      <c r="J1101" s="554"/>
      <c r="K1101" s="556"/>
    </row>
    <row r="1102" spans="6:11" x14ac:dyDescent="0.25">
      <c r="F1102" s="554"/>
      <c r="G1102" s="555"/>
      <c r="H1102" s="555"/>
      <c r="I1102" s="556"/>
      <c r="J1102" s="554"/>
      <c r="K1102" s="556"/>
    </row>
    <row r="1103" spans="6:11" x14ac:dyDescent="0.25">
      <c r="F1103" s="554"/>
      <c r="G1103" s="555"/>
      <c r="H1103" s="555"/>
      <c r="I1103" s="556"/>
      <c r="J1103" s="554"/>
      <c r="K1103" s="556"/>
    </row>
    <row r="1104" spans="6:11" x14ac:dyDescent="0.25">
      <c r="F1104" s="554"/>
      <c r="G1104" s="555"/>
      <c r="H1104" s="555"/>
      <c r="I1104" s="556"/>
      <c r="J1104" s="554"/>
      <c r="K1104" s="556"/>
    </row>
    <row r="1105" spans="6:11" x14ac:dyDescent="0.25">
      <c r="F1105" s="554"/>
      <c r="G1105" s="555"/>
      <c r="H1105" s="555"/>
      <c r="I1105" s="556"/>
      <c r="J1105" s="554"/>
      <c r="K1105" s="556"/>
    </row>
    <row r="1106" spans="6:11" x14ac:dyDescent="0.25">
      <c r="F1106" s="554"/>
      <c r="G1106" s="555"/>
      <c r="H1106" s="555"/>
      <c r="I1106" s="556"/>
      <c r="J1106" s="554"/>
      <c r="K1106" s="556"/>
    </row>
    <row r="1107" spans="6:11" x14ac:dyDescent="0.25">
      <c r="F1107" s="554"/>
      <c r="G1107" s="555"/>
      <c r="H1107" s="555"/>
      <c r="I1107" s="556"/>
      <c r="J1107" s="554"/>
      <c r="K1107" s="556"/>
    </row>
    <row r="1108" spans="6:11" x14ac:dyDescent="0.25">
      <c r="F1108" s="554"/>
      <c r="G1108" s="555"/>
      <c r="H1108" s="555"/>
      <c r="I1108" s="556"/>
      <c r="J1108" s="554"/>
      <c r="K1108" s="556"/>
    </row>
    <row r="1109" spans="6:11" x14ac:dyDescent="0.25">
      <c r="F1109" s="554"/>
      <c r="G1109" s="555"/>
      <c r="H1109" s="555"/>
      <c r="I1109" s="556"/>
      <c r="J1109" s="554"/>
      <c r="K1109" s="556"/>
    </row>
    <row r="1110" spans="6:11" x14ac:dyDescent="0.25">
      <c r="F1110" s="554"/>
      <c r="G1110" s="555"/>
      <c r="H1110" s="555"/>
      <c r="I1110" s="556"/>
      <c r="J1110" s="554"/>
      <c r="K1110" s="556"/>
    </row>
    <row r="1111" spans="6:11" x14ac:dyDescent="0.25">
      <c r="F1111" s="554"/>
      <c r="G1111" s="555"/>
      <c r="H1111" s="555"/>
      <c r="I1111" s="556"/>
      <c r="J1111" s="554"/>
      <c r="K1111" s="556"/>
    </row>
    <row r="1112" spans="6:11" x14ac:dyDescent="0.25">
      <c r="F1112" s="554"/>
      <c r="G1112" s="555"/>
      <c r="H1112" s="555"/>
      <c r="I1112" s="556"/>
      <c r="J1112" s="554"/>
      <c r="K1112" s="556"/>
    </row>
    <row r="1113" spans="6:11" x14ac:dyDescent="0.25">
      <c r="F1113" s="554"/>
      <c r="G1113" s="555"/>
      <c r="H1113" s="555"/>
      <c r="I1113" s="556"/>
      <c r="J1113" s="554"/>
      <c r="K1113" s="556"/>
    </row>
    <row r="1114" spans="6:11" x14ac:dyDescent="0.25">
      <c r="F1114" s="554"/>
      <c r="G1114" s="555"/>
      <c r="H1114" s="555"/>
      <c r="I1114" s="556"/>
      <c r="J1114" s="554"/>
      <c r="K1114" s="556"/>
    </row>
    <row r="1115" spans="6:11" x14ac:dyDescent="0.25">
      <c r="F1115" s="554"/>
      <c r="G1115" s="555"/>
      <c r="H1115" s="555"/>
      <c r="I1115" s="556"/>
      <c r="J1115" s="554"/>
      <c r="K1115" s="556"/>
    </row>
    <row r="1116" spans="6:11" x14ac:dyDescent="0.25">
      <c r="F1116" s="554"/>
      <c r="G1116" s="555"/>
      <c r="H1116" s="555"/>
      <c r="I1116" s="556"/>
      <c r="J1116" s="554"/>
      <c r="K1116" s="556"/>
    </row>
    <row r="1117" spans="6:11" x14ac:dyDescent="0.25">
      <c r="F1117" s="554"/>
      <c r="G1117" s="555"/>
      <c r="H1117" s="555"/>
      <c r="I1117" s="556"/>
      <c r="J1117" s="554"/>
      <c r="K1117" s="556"/>
    </row>
    <row r="1118" spans="6:11" x14ac:dyDescent="0.25">
      <c r="F1118" s="554"/>
      <c r="G1118" s="555"/>
      <c r="H1118" s="555"/>
      <c r="I1118" s="556"/>
      <c r="J1118" s="554"/>
      <c r="K1118" s="556"/>
    </row>
    <row r="1119" spans="6:11" x14ac:dyDescent="0.25">
      <c r="F1119" s="554"/>
      <c r="G1119" s="555"/>
      <c r="H1119" s="555"/>
      <c r="I1119" s="556"/>
      <c r="J1119" s="554"/>
      <c r="K1119" s="556"/>
    </row>
    <row r="1120" spans="6:11" x14ac:dyDescent="0.25">
      <c r="F1120" s="554"/>
      <c r="G1120" s="555"/>
      <c r="H1120" s="555"/>
      <c r="I1120" s="556"/>
      <c r="J1120" s="554"/>
      <c r="K1120" s="556"/>
    </row>
    <row r="1121" spans="6:11" x14ac:dyDescent="0.25">
      <c r="F1121" s="554"/>
      <c r="G1121" s="555"/>
      <c r="H1121" s="555"/>
      <c r="I1121" s="556"/>
      <c r="J1121" s="554"/>
      <c r="K1121" s="556"/>
    </row>
    <row r="1122" spans="6:11" x14ac:dyDescent="0.25">
      <c r="F1122" s="554"/>
      <c r="G1122" s="555"/>
      <c r="H1122" s="555"/>
      <c r="I1122" s="556"/>
      <c r="J1122" s="554"/>
      <c r="K1122" s="556"/>
    </row>
    <row r="1123" spans="6:11" x14ac:dyDescent="0.25">
      <c r="F1123" s="554"/>
      <c r="G1123" s="555"/>
      <c r="H1123" s="555"/>
      <c r="I1123" s="556"/>
      <c r="J1123" s="554"/>
      <c r="K1123" s="556"/>
    </row>
    <row r="1124" spans="6:11" x14ac:dyDescent="0.25">
      <c r="F1124" s="554"/>
      <c r="G1124" s="555"/>
      <c r="H1124" s="555"/>
      <c r="I1124" s="556"/>
      <c r="J1124" s="554"/>
      <c r="K1124" s="556"/>
    </row>
    <row r="1125" spans="6:11" x14ac:dyDescent="0.25">
      <c r="F1125" s="554"/>
      <c r="G1125" s="555"/>
      <c r="H1125" s="555"/>
      <c r="I1125" s="556"/>
      <c r="J1125" s="554"/>
      <c r="K1125" s="556"/>
    </row>
    <row r="1126" spans="6:11" x14ac:dyDescent="0.25">
      <c r="F1126" s="554"/>
      <c r="G1126" s="555"/>
      <c r="H1126" s="555"/>
      <c r="I1126" s="556"/>
      <c r="J1126" s="554"/>
      <c r="K1126" s="556"/>
    </row>
    <row r="1127" spans="6:11" x14ac:dyDescent="0.25">
      <c r="F1127" s="554"/>
      <c r="G1127" s="555"/>
      <c r="H1127" s="555"/>
      <c r="I1127" s="556"/>
      <c r="J1127" s="554"/>
      <c r="K1127" s="556"/>
    </row>
    <row r="1128" spans="6:11" x14ac:dyDescent="0.25">
      <c r="F1128" s="554"/>
      <c r="G1128" s="555"/>
      <c r="H1128" s="555"/>
      <c r="I1128" s="556"/>
      <c r="J1128" s="554"/>
      <c r="K1128" s="556"/>
    </row>
    <row r="1129" spans="6:11" x14ac:dyDescent="0.25">
      <c r="F1129" s="554"/>
      <c r="G1129" s="555"/>
      <c r="H1129" s="555"/>
      <c r="I1129" s="556"/>
      <c r="J1129" s="554"/>
      <c r="K1129" s="556"/>
    </row>
    <row r="1130" spans="6:11" x14ac:dyDescent="0.25">
      <c r="F1130" s="554"/>
      <c r="G1130" s="555"/>
      <c r="H1130" s="555"/>
      <c r="I1130" s="556"/>
      <c r="J1130" s="554"/>
      <c r="K1130" s="556"/>
    </row>
    <row r="1131" spans="6:11" x14ac:dyDescent="0.25">
      <c r="F1131" s="554"/>
      <c r="G1131" s="555"/>
      <c r="H1131" s="555"/>
      <c r="I1131" s="556"/>
      <c r="J1131" s="554"/>
      <c r="K1131" s="556"/>
    </row>
    <row r="1132" spans="6:11" x14ac:dyDescent="0.25">
      <c r="F1132" s="554"/>
      <c r="G1132" s="555"/>
      <c r="H1132" s="555"/>
      <c r="I1132" s="556"/>
      <c r="J1132" s="554"/>
      <c r="K1132" s="556"/>
    </row>
    <row r="1133" spans="6:11" x14ac:dyDescent="0.25">
      <c r="F1133" s="554"/>
      <c r="G1133" s="555"/>
      <c r="H1133" s="555"/>
      <c r="I1133" s="556"/>
      <c r="J1133" s="554"/>
      <c r="K1133" s="556"/>
    </row>
    <row r="1134" spans="6:11" x14ac:dyDescent="0.25">
      <c r="F1134" s="554"/>
      <c r="G1134" s="555"/>
      <c r="H1134" s="555"/>
      <c r="I1134" s="556"/>
      <c r="J1134" s="554"/>
      <c r="K1134" s="556"/>
    </row>
    <row r="1135" spans="6:11" x14ac:dyDescent="0.25">
      <c r="F1135" s="554"/>
      <c r="G1135" s="555"/>
      <c r="H1135" s="555"/>
      <c r="I1135" s="556"/>
      <c r="J1135" s="554"/>
      <c r="K1135" s="556"/>
    </row>
    <row r="1136" spans="6:11" x14ac:dyDescent="0.25">
      <c r="F1136" s="554"/>
      <c r="G1136" s="555"/>
      <c r="H1136" s="555"/>
      <c r="I1136" s="556"/>
      <c r="J1136" s="554"/>
      <c r="K1136" s="556"/>
    </row>
    <row r="1137" spans="6:11" x14ac:dyDescent="0.25">
      <c r="F1137" s="554"/>
      <c r="G1137" s="555"/>
      <c r="H1137" s="555"/>
      <c r="I1137" s="556"/>
      <c r="J1137" s="554"/>
      <c r="K1137" s="556"/>
    </row>
    <row r="1138" spans="6:11" x14ac:dyDescent="0.25">
      <c r="F1138" s="554"/>
      <c r="G1138" s="555"/>
      <c r="H1138" s="555"/>
      <c r="I1138" s="556"/>
      <c r="J1138" s="554"/>
      <c r="K1138" s="556"/>
    </row>
    <row r="1139" spans="6:11" x14ac:dyDescent="0.25">
      <c r="F1139" s="554"/>
      <c r="G1139" s="555"/>
      <c r="H1139" s="555"/>
      <c r="I1139" s="556"/>
      <c r="J1139" s="554"/>
      <c r="K1139" s="556"/>
    </row>
    <row r="1140" spans="6:11" x14ac:dyDescent="0.25">
      <c r="F1140" s="554"/>
      <c r="G1140" s="555"/>
      <c r="H1140" s="555"/>
      <c r="I1140" s="556"/>
      <c r="J1140" s="554"/>
      <c r="K1140" s="556"/>
    </row>
    <row r="1141" spans="6:11" x14ac:dyDescent="0.25">
      <c r="F1141" s="554"/>
      <c r="G1141" s="555"/>
      <c r="H1141" s="555"/>
      <c r="I1141" s="556"/>
      <c r="J1141" s="554"/>
      <c r="K1141" s="556"/>
    </row>
    <row r="1142" spans="6:11" x14ac:dyDescent="0.25">
      <c r="F1142" s="554"/>
      <c r="G1142" s="555"/>
      <c r="H1142" s="555"/>
      <c r="I1142" s="556"/>
      <c r="J1142" s="554"/>
      <c r="K1142" s="556"/>
    </row>
    <row r="1143" spans="6:11" x14ac:dyDescent="0.25">
      <c r="F1143" s="554"/>
      <c r="G1143" s="555"/>
      <c r="H1143" s="555"/>
      <c r="I1143" s="556"/>
      <c r="J1143" s="554"/>
      <c r="K1143" s="556"/>
    </row>
    <row r="1144" spans="6:11" x14ac:dyDescent="0.25">
      <c r="F1144" s="554"/>
      <c r="G1144" s="555"/>
      <c r="H1144" s="555"/>
      <c r="I1144" s="556"/>
      <c r="J1144" s="554"/>
      <c r="K1144" s="556"/>
    </row>
    <row r="1145" spans="6:11" x14ac:dyDescent="0.25">
      <c r="F1145" s="554"/>
      <c r="G1145" s="555"/>
      <c r="H1145" s="555"/>
      <c r="I1145" s="556"/>
      <c r="J1145" s="554"/>
      <c r="K1145" s="556"/>
    </row>
    <row r="1146" spans="6:11" x14ac:dyDescent="0.25">
      <c r="F1146" s="554"/>
      <c r="G1146" s="555"/>
      <c r="H1146" s="555"/>
      <c r="I1146" s="556"/>
      <c r="J1146" s="554"/>
      <c r="K1146" s="556"/>
    </row>
    <row r="1147" spans="6:11" x14ac:dyDescent="0.25">
      <c r="F1147" s="554"/>
      <c r="G1147" s="555"/>
      <c r="H1147" s="555"/>
      <c r="I1147" s="556"/>
      <c r="J1147" s="554"/>
      <c r="K1147" s="556"/>
    </row>
    <row r="1148" spans="6:11" x14ac:dyDescent="0.25">
      <c r="F1148" s="554"/>
      <c r="G1148" s="555"/>
      <c r="H1148" s="555"/>
      <c r="I1148" s="556"/>
      <c r="J1148" s="554"/>
      <c r="K1148" s="556"/>
    </row>
    <row r="1149" spans="6:11" x14ac:dyDescent="0.25">
      <c r="F1149" s="554"/>
      <c r="G1149" s="555"/>
      <c r="H1149" s="555"/>
      <c r="I1149" s="556"/>
      <c r="J1149" s="554"/>
      <c r="K1149" s="556"/>
    </row>
    <row r="1150" spans="6:11" x14ac:dyDescent="0.25">
      <c r="F1150" s="554"/>
      <c r="G1150" s="555"/>
      <c r="H1150" s="555"/>
      <c r="I1150" s="556"/>
      <c r="J1150" s="554"/>
      <c r="K1150" s="556"/>
    </row>
    <row r="1151" spans="6:11" x14ac:dyDescent="0.25">
      <c r="F1151" s="554"/>
      <c r="G1151" s="555"/>
      <c r="H1151" s="555"/>
      <c r="I1151" s="556"/>
      <c r="J1151" s="554"/>
      <c r="K1151" s="556"/>
    </row>
    <row r="1152" spans="6:11" x14ac:dyDescent="0.25">
      <c r="F1152" s="554"/>
      <c r="G1152" s="555"/>
      <c r="H1152" s="555"/>
      <c r="I1152" s="556"/>
    </row>
    <row r="1153" spans="6:9" x14ac:dyDescent="0.25">
      <c r="F1153" s="554"/>
      <c r="G1153" s="555"/>
      <c r="H1153" s="555"/>
      <c r="I1153" s="556"/>
    </row>
    <row r="1154" spans="6:9" x14ac:dyDescent="0.25">
      <c r="F1154" s="554"/>
      <c r="G1154" s="555"/>
      <c r="H1154" s="555"/>
      <c r="I1154" s="556"/>
    </row>
    <row r="1155" spans="6:9" x14ac:dyDescent="0.25">
      <c r="F1155" s="554"/>
      <c r="G1155" s="555"/>
      <c r="H1155" s="555"/>
      <c r="I1155" s="556"/>
    </row>
    <row r="1156" spans="6:9" x14ac:dyDescent="0.25">
      <c r="F1156" s="554"/>
      <c r="G1156" s="555"/>
      <c r="H1156" s="555"/>
      <c r="I1156" s="556"/>
    </row>
    <row r="1157" spans="6:9" x14ac:dyDescent="0.25">
      <c r="F1157" s="554"/>
      <c r="G1157" s="555"/>
      <c r="H1157" s="555"/>
      <c r="I1157" s="556"/>
    </row>
    <row r="1158" spans="6:9" x14ac:dyDescent="0.25">
      <c r="F1158" s="554"/>
      <c r="G1158" s="555"/>
      <c r="H1158" s="555"/>
      <c r="I1158" s="556"/>
    </row>
    <row r="1159" spans="6:9" x14ac:dyDescent="0.25">
      <c r="F1159" s="554"/>
      <c r="G1159" s="555"/>
      <c r="H1159" s="555"/>
      <c r="I1159" s="556"/>
    </row>
    <row r="1160" spans="6:9" x14ac:dyDescent="0.25">
      <c r="F1160" s="554"/>
      <c r="G1160" s="555"/>
      <c r="H1160" s="555"/>
      <c r="I1160" s="556"/>
    </row>
    <row r="1161" spans="6:9" x14ac:dyDescent="0.25">
      <c r="F1161" s="554"/>
      <c r="G1161" s="555"/>
      <c r="H1161" s="555"/>
      <c r="I1161" s="556"/>
    </row>
    <row r="1162" spans="6:9" x14ac:dyDescent="0.25">
      <c r="F1162" s="554"/>
      <c r="G1162" s="555"/>
      <c r="H1162" s="555"/>
      <c r="I1162" s="556"/>
    </row>
    <row r="1163" spans="6:9" x14ac:dyDescent="0.25">
      <c r="F1163" s="554"/>
      <c r="G1163" s="555"/>
      <c r="H1163" s="555"/>
      <c r="I1163" s="556"/>
    </row>
    <row r="1164" spans="6:9" x14ac:dyDescent="0.25">
      <c r="F1164" s="554"/>
      <c r="G1164" s="555"/>
      <c r="H1164" s="555"/>
      <c r="I1164" s="556"/>
    </row>
    <row r="1165" spans="6:9" x14ac:dyDescent="0.25">
      <c r="F1165" s="554"/>
      <c r="G1165" s="555"/>
      <c r="H1165" s="555"/>
      <c r="I1165" s="556"/>
    </row>
    <row r="1166" spans="6:9" x14ac:dyDescent="0.25">
      <c r="F1166" s="554"/>
      <c r="G1166" s="555"/>
      <c r="H1166" s="555"/>
      <c r="I1166" s="556"/>
    </row>
    <row r="1167" spans="6:9" x14ac:dyDescent="0.25">
      <c r="F1167" s="554"/>
      <c r="G1167" s="555"/>
      <c r="H1167" s="555"/>
      <c r="I1167" s="556"/>
    </row>
    <row r="1168" spans="6:9" x14ac:dyDescent="0.25">
      <c r="F1168" s="554"/>
      <c r="G1168" s="555"/>
      <c r="H1168" s="555"/>
      <c r="I1168" s="556"/>
    </row>
    <row r="1169" spans="6:9" x14ac:dyDescent="0.25">
      <c r="F1169" s="554"/>
      <c r="G1169" s="555"/>
      <c r="H1169" s="555"/>
      <c r="I1169" s="556"/>
    </row>
    <row r="1170" spans="6:9" x14ac:dyDescent="0.25">
      <c r="F1170" s="554"/>
      <c r="G1170" s="555"/>
      <c r="H1170" s="555"/>
      <c r="I1170" s="556"/>
    </row>
    <row r="1171" spans="6:9" x14ac:dyDescent="0.25">
      <c r="F1171" s="554"/>
      <c r="G1171" s="555"/>
      <c r="H1171" s="555"/>
      <c r="I1171" s="556"/>
    </row>
    <row r="1172" spans="6:9" x14ac:dyDescent="0.25">
      <c r="F1172" s="554"/>
      <c r="G1172" s="555"/>
      <c r="H1172" s="555"/>
      <c r="I1172" s="556"/>
    </row>
    <row r="1173" spans="6:9" x14ac:dyDescent="0.25">
      <c r="F1173" s="554"/>
      <c r="G1173" s="555"/>
      <c r="H1173" s="555"/>
      <c r="I1173" s="556"/>
    </row>
    <row r="1174" spans="6:9" x14ac:dyDescent="0.25">
      <c r="F1174" s="554"/>
      <c r="G1174" s="555"/>
      <c r="H1174" s="555"/>
      <c r="I1174" s="556"/>
    </row>
    <row r="1175" spans="6:9" x14ac:dyDescent="0.25">
      <c r="F1175" s="554"/>
      <c r="G1175" s="555"/>
      <c r="H1175" s="555"/>
      <c r="I1175" s="556"/>
    </row>
    <row r="1176" spans="6:9" x14ac:dyDescent="0.25">
      <c r="F1176" s="554"/>
      <c r="G1176" s="555"/>
      <c r="H1176" s="555"/>
      <c r="I1176" s="556"/>
    </row>
    <row r="1177" spans="6:9" x14ac:dyDescent="0.25">
      <c r="F1177" s="554"/>
      <c r="G1177" s="555"/>
      <c r="H1177" s="555"/>
      <c r="I1177" s="556"/>
    </row>
    <row r="1178" spans="6:9" x14ac:dyDescent="0.25">
      <c r="F1178" s="554"/>
      <c r="G1178" s="555"/>
      <c r="H1178" s="555"/>
      <c r="I1178" s="556"/>
    </row>
    <row r="1179" spans="6:9" x14ac:dyDescent="0.25">
      <c r="F1179" s="554"/>
      <c r="G1179" s="555"/>
      <c r="H1179" s="555"/>
      <c r="I1179" s="556"/>
    </row>
    <row r="1180" spans="6:9" x14ac:dyDescent="0.25">
      <c r="F1180" s="554"/>
      <c r="G1180" s="555"/>
      <c r="H1180" s="555"/>
      <c r="I1180" s="556"/>
    </row>
    <row r="1181" spans="6:9" x14ac:dyDescent="0.25">
      <c r="F1181" s="554"/>
      <c r="G1181" s="555"/>
      <c r="H1181" s="555"/>
      <c r="I1181" s="556"/>
    </row>
    <row r="1182" spans="6:9" x14ac:dyDescent="0.25">
      <c r="F1182" s="554"/>
      <c r="G1182" s="555"/>
      <c r="H1182" s="555"/>
      <c r="I1182" s="556"/>
    </row>
    <row r="1183" spans="6:9" x14ac:dyDescent="0.25">
      <c r="F1183" s="554"/>
      <c r="G1183" s="555"/>
      <c r="H1183" s="555"/>
      <c r="I1183" s="556"/>
    </row>
    <row r="1184" spans="6:9" x14ac:dyDescent="0.25">
      <c r="F1184" s="554"/>
      <c r="G1184" s="555"/>
      <c r="H1184" s="555"/>
      <c r="I1184" s="556"/>
    </row>
    <row r="1185" spans="6:9" x14ac:dyDescent="0.25">
      <c r="F1185" s="554"/>
      <c r="G1185" s="555"/>
      <c r="H1185" s="555"/>
      <c r="I1185" s="556"/>
    </row>
    <row r="1186" spans="6:9" x14ac:dyDescent="0.25">
      <c r="F1186" s="554"/>
      <c r="G1186" s="555"/>
      <c r="H1186" s="555"/>
      <c r="I1186" s="556"/>
    </row>
    <row r="1187" spans="6:9" x14ac:dyDescent="0.25">
      <c r="F1187" s="554"/>
      <c r="G1187" s="555"/>
      <c r="H1187" s="555"/>
      <c r="I1187" s="556"/>
    </row>
    <row r="1188" spans="6:9" x14ac:dyDescent="0.25">
      <c r="F1188" s="554"/>
      <c r="G1188" s="555"/>
      <c r="H1188" s="555"/>
      <c r="I1188" s="556"/>
    </row>
    <row r="1189" spans="6:9" x14ac:dyDescent="0.25">
      <c r="F1189" s="554"/>
      <c r="G1189" s="555"/>
      <c r="H1189" s="555"/>
      <c r="I1189" s="556"/>
    </row>
    <row r="1190" spans="6:9" x14ac:dyDescent="0.25">
      <c r="F1190" s="554"/>
      <c r="G1190" s="555"/>
      <c r="H1190" s="555"/>
      <c r="I1190" s="556"/>
    </row>
    <row r="1191" spans="6:9" x14ac:dyDescent="0.25">
      <c r="F1191" s="554"/>
      <c r="G1191" s="555"/>
      <c r="H1191" s="555"/>
      <c r="I1191" s="556"/>
    </row>
    <row r="1192" spans="6:9" x14ac:dyDescent="0.25">
      <c r="F1192" s="554"/>
      <c r="G1192" s="555"/>
      <c r="H1192" s="555"/>
      <c r="I1192" s="556"/>
    </row>
    <row r="1193" spans="6:9" x14ac:dyDescent="0.25">
      <c r="F1193" s="554"/>
      <c r="G1193" s="555"/>
      <c r="H1193" s="555"/>
      <c r="I1193" s="556"/>
    </row>
    <row r="1194" spans="6:9" x14ac:dyDescent="0.25">
      <c r="F1194" s="554"/>
      <c r="G1194" s="555"/>
      <c r="H1194" s="555"/>
      <c r="I1194" s="556"/>
    </row>
    <row r="1195" spans="6:9" x14ac:dyDescent="0.25">
      <c r="F1195" s="554"/>
      <c r="G1195" s="555"/>
      <c r="H1195" s="555"/>
      <c r="I1195" s="556"/>
    </row>
    <row r="1196" spans="6:9" x14ac:dyDescent="0.25">
      <c r="F1196" s="554"/>
      <c r="G1196" s="555"/>
      <c r="H1196" s="555"/>
      <c r="I1196" s="556"/>
    </row>
    <row r="1197" spans="6:9" x14ac:dyDescent="0.25">
      <c r="F1197" s="554"/>
      <c r="G1197" s="555"/>
      <c r="H1197" s="555"/>
      <c r="I1197" s="556"/>
    </row>
    <row r="1198" spans="6:9" x14ac:dyDescent="0.25">
      <c r="F1198" s="554"/>
      <c r="G1198" s="555"/>
      <c r="H1198" s="555"/>
      <c r="I1198" s="556"/>
    </row>
    <row r="1199" spans="6:9" x14ac:dyDescent="0.25">
      <c r="F1199" s="554"/>
      <c r="G1199" s="555"/>
      <c r="H1199" s="555"/>
      <c r="I1199" s="556"/>
    </row>
    <row r="1200" spans="6:9" x14ac:dyDescent="0.25">
      <c r="F1200" s="554"/>
      <c r="G1200" s="555"/>
      <c r="H1200" s="555"/>
      <c r="I1200" s="556"/>
    </row>
    <row r="1201" spans="6:9" x14ac:dyDescent="0.25">
      <c r="F1201" s="554"/>
      <c r="G1201" s="555"/>
      <c r="H1201" s="555"/>
      <c r="I1201" s="556"/>
    </row>
    <row r="1202" spans="6:9" x14ac:dyDescent="0.25">
      <c r="F1202" s="554"/>
      <c r="G1202" s="555"/>
      <c r="H1202" s="555"/>
      <c r="I1202" s="556"/>
    </row>
    <row r="1203" spans="6:9" x14ac:dyDescent="0.25">
      <c r="F1203" s="554"/>
      <c r="G1203" s="555"/>
      <c r="H1203" s="555"/>
      <c r="I1203" s="556"/>
    </row>
    <row r="1204" spans="6:9" x14ac:dyDescent="0.25">
      <c r="F1204" s="554"/>
      <c r="G1204" s="555"/>
      <c r="H1204" s="555"/>
      <c r="I1204" s="556"/>
    </row>
    <row r="1205" spans="6:9" x14ac:dyDescent="0.25">
      <c r="F1205" s="554"/>
      <c r="G1205" s="555"/>
      <c r="H1205" s="555"/>
      <c r="I1205" s="556"/>
    </row>
    <row r="1206" spans="6:9" x14ac:dyDescent="0.25">
      <c r="F1206" s="554"/>
      <c r="G1206" s="555"/>
      <c r="H1206" s="555"/>
      <c r="I1206" s="556"/>
    </row>
    <row r="1207" spans="6:9" x14ac:dyDescent="0.25">
      <c r="F1207" s="554"/>
      <c r="G1207" s="555"/>
      <c r="H1207" s="555"/>
      <c r="I1207" s="556"/>
    </row>
    <row r="1208" spans="6:9" x14ac:dyDescent="0.25">
      <c r="F1208" s="554"/>
      <c r="G1208" s="555"/>
      <c r="H1208" s="555"/>
      <c r="I1208" s="556"/>
    </row>
    <row r="1209" spans="6:9" x14ac:dyDescent="0.25">
      <c r="F1209" s="554"/>
      <c r="G1209" s="555"/>
      <c r="H1209" s="555"/>
      <c r="I1209" s="556"/>
    </row>
    <row r="1210" spans="6:9" x14ac:dyDescent="0.25">
      <c r="F1210" s="554"/>
      <c r="G1210" s="555"/>
      <c r="H1210" s="555"/>
      <c r="I1210" s="556"/>
    </row>
    <row r="1211" spans="6:9" x14ac:dyDescent="0.25">
      <c r="F1211" s="554"/>
      <c r="G1211" s="555"/>
      <c r="H1211" s="555"/>
      <c r="I1211" s="556"/>
    </row>
    <row r="1212" spans="6:9" x14ac:dyDescent="0.25">
      <c r="F1212" s="554"/>
      <c r="G1212" s="555"/>
      <c r="H1212" s="555"/>
      <c r="I1212" s="556"/>
    </row>
    <row r="1213" spans="6:9" x14ac:dyDescent="0.25">
      <c r="F1213" s="554"/>
      <c r="G1213" s="555"/>
      <c r="H1213" s="555"/>
      <c r="I1213" s="556"/>
    </row>
    <row r="1214" spans="6:9" x14ac:dyDescent="0.25">
      <c r="F1214" s="554"/>
      <c r="G1214" s="555"/>
      <c r="H1214" s="555"/>
      <c r="I1214" s="556"/>
    </row>
    <row r="1215" spans="6:9" x14ac:dyDescent="0.25">
      <c r="F1215" s="554"/>
      <c r="G1215" s="555"/>
      <c r="H1215" s="555"/>
      <c r="I1215" s="556"/>
    </row>
    <row r="1216" spans="6:9" x14ac:dyDescent="0.25">
      <c r="F1216" s="554"/>
      <c r="G1216" s="555"/>
      <c r="H1216" s="555"/>
      <c r="I1216" s="556"/>
    </row>
    <row r="1217" spans="6:9" x14ac:dyDescent="0.25">
      <c r="F1217" s="554"/>
      <c r="G1217" s="555"/>
      <c r="H1217" s="555"/>
      <c r="I1217" s="556"/>
    </row>
    <row r="1218" spans="6:9" x14ac:dyDescent="0.25">
      <c r="F1218" s="554"/>
      <c r="G1218" s="555"/>
      <c r="H1218" s="555"/>
      <c r="I1218" s="556"/>
    </row>
    <row r="1219" spans="6:9" x14ac:dyDescent="0.25">
      <c r="F1219" s="554"/>
      <c r="G1219" s="555"/>
      <c r="H1219" s="555"/>
      <c r="I1219" s="556"/>
    </row>
    <row r="1220" spans="6:9" x14ac:dyDescent="0.25">
      <c r="F1220" s="554"/>
      <c r="G1220" s="555"/>
      <c r="H1220" s="555"/>
      <c r="I1220" s="556"/>
    </row>
    <row r="1221" spans="6:9" x14ac:dyDescent="0.25">
      <c r="F1221" s="554"/>
      <c r="G1221" s="555"/>
      <c r="H1221" s="555"/>
      <c r="I1221" s="556"/>
    </row>
    <row r="1222" spans="6:9" x14ac:dyDescent="0.25">
      <c r="F1222" s="554"/>
      <c r="G1222" s="555"/>
      <c r="H1222" s="555"/>
      <c r="I1222" s="556"/>
    </row>
    <row r="1223" spans="6:9" x14ac:dyDescent="0.25">
      <c r="F1223" s="554"/>
      <c r="G1223" s="555"/>
      <c r="H1223" s="555"/>
      <c r="I1223" s="556"/>
    </row>
    <row r="1224" spans="6:9" x14ac:dyDescent="0.25">
      <c r="F1224" s="554"/>
      <c r="G1224" s="555"/>
      <c r="H1224" s="555"/>
      <c r="I1224" s="556"/>
    </row>
    <row r="1225" spans="6:9" x14ac:dyDescent="0.25">
      <c r="F1225" s="554"/>
      <c r="G1225" s="555"/>
      <c r="H1225" s="555"/>
      <c r="I1225" s="556"/>
    </row>
    <row r="1226" spans="6:9" x14ac:dyDescent="0.25">
      <c r="F1226" s="554"/>
      <c r="G1226" s="555"/>
      <c r="H1226" s="555"/>
      <c r="I1226" s="556"/>
    </row>
    <row r="1227" spans="6:9" x14ac:dyDescent="0.25">
      <c r="F1227" s="554"/>
      <c r="G1227" s="555"/>
      <c r="H1227" s="555"/>
      <c r="I1227" s="556"/>
    </row>
    <row r="1228" spans="6:9" x14ac:dyDescent="0.25">
      <c r="F1228" s="554"/>
      <c r="G1228" s="555"/>
      <c r="H1228" s="555"/>
      <c r="I1228" s="556"/>
    </row>
    <row r="1229" spans="6:9" x14ac:dyDescent="0.25">
      <c r="F1229" s="554"/>
      <c r="G1229" s="555"/>
      <c r="H1229" s="555"/>
      <c r="I1229" s="556"/>
    </row>
    <row r="1230" spans="6:9" x14ac:dyDescent="0.25">
      <c r="F1230" s="554"/>
      <c r="G1230" s="555"/>
      <c r="H1230" s="555"/>
      <c r="I1230" s="556"/>
    </row>
    <row r="1231" spans="6:9" x14ac:dyDescent="0.25">
      <c r="F1231" s="554"/>
      <c r="G1231" s="555"/>
      <c r="H1231" s="555"/>
      <c r="I1231" s="556"/>
    </row>
    <row r="1232" spans="6:9" x14ac:dyDescent="0.25">
      <c r="F1232" s="554"/>
      <c r="G1232" s="555"/>
      <c r="H1232" s="555"/>
      <c r="I1232" s="556"/>
    </row>
    <row r="1233" spans="6:9" x14ac:dyDescent="0.25">
      <c r="F1233" s="554"/>
      <c r="G1233" s="555"/>
      <c r="H1233" s="555"/>
      <c r="I1233" s="556"/>
    </row>
    <row r="1234" spans="6:9" x14ac:dyDescent="0.25">
      <c r="F1234" s="554"/>
      <c r="G1234" s="555"/>
      <c r="H1234" s="555"/>
      <c r="I1234" s="556"/>
    </row>
    <row r="1235" spans="6:9" x14ac:dyDescent="0.25">
      <c r="F1235" s="554"/>
      <c r="G1235" s="555"/>
      <c r="H1235" s="555"/>
      <c r="I1235" s="556"/>
    </row>
    <row r="1236" spans="6:9" x14ac:dyDescent="0.25">
      <c r="F1236" s="554"/>
      <c r="G1236" s="555"/>
      <c r="H1236" s="555"/>
      <c r="I1236" s="556"/>
    </row>
    <row r="1237" spans="6:9" x14ac:dyDescent="0.25">
      <c r="F1237" s="554"/>
      <c r="G1237" s="555"/>
      <c r="H1237" s="555"/>
      <c r="I1237" s="556"/>
    </row>
    <row r="1238" spans="6:9" x14ac:dyDescent="0.25">
      <c r="F1238" s="554"/>
      <c r="G1238" s="555"/>
      <c r="H1238" s="555"/>
      <c r="I1238" s="556"/>
    </row>
    <row r="1239" spans="6:9" x14ac:dyDescent="0.25">
      <c r="F1239" s="554"/>
      <c r="G1239" s="555"/>
      <c r="H1239" s="555"/>
      <c r="I1239" s="556"/>
    </row>
    <row r="1240" spans="6:9" x14ac:dyDescent="0.25">
      <c r="F1240" s="554"/>
      <c r="G1240" s="555"/>
      <c r="H1240" s="555"/>
      <c r="I1240" s="556"/>
    </row>
    <row r="1241" spans="6:9" x14ac:dyDescent="0.25">
      <c r="F1241" s="554"/>
      <c r="G1241" s="555"/>
      <c r="H1241" s="555"/>
      <c r="I1241" s="556"/>
    </row>
    <row r="1242" spans="6:9" x14ac:dyDescent="0.25">
      <c r="F1242" s="554"/>
      <c r="G1242" s="555"/>
      <c r="H1242" s="555"/>
      <c r="I1242" s="556"/>
    </row>
    <row r="1243" spans="6:9" x14ac:dyDescent="0.25">
      <c r="F1243" s="554"/>
      <c r="G1243" s="555"/>
      <c r="H1243" s="555"/>
      <c r="I1243" s="556"/>
    </row>
    <row r="1244" spans="6:9" x14ac:dyDescent="0.25">
      <c r="F1244" s="554"/>
      <c r="G1244" s="555"/>
      <c r="H1244" s="555"/>
      <c r="I1244" s="556"/>
    </row>
    <row r="1245" spans="6:9" x14ac:dyDescent="0.25">
      <c r="F1245" s="554"/>
      <c r="G1245" s="555"/>
      <c r="H1245" s="555"/>
      <c r="I1245" s="556"/>
    </row>
    <row r="1246" spans="6:9" x14ac:dyDescent="0.25">
      <c r="F1246" s="554"/>
      <c r="G1246" s="555"/>
      <c r="H1246" s="555"/>
      <c r="I1246" s="556"/>
    </row>
    <row r="1247" spans="6:9" x14ac:dyDescent="0.25">
      <c r="F1247" s="554"/>
      <c r="G1247" s="555"/>
      <c r="H1247" s="555"/>
      <c r="I1247" s="556"/>
    </row>
    <row r="1248" spans="6:9" x14ac:dyDescent="0.25">
      <c r="F1248" s="554"/>
      <c r="G1248" s="555"/>
      <c r="H1248" s="555"/>
      <c r="I1248" s="556"/>
    </row>
    <row r="1249" spans="6:9" x14ac:dyDescent="0.25">
      <c r="F1249" s="554"/>
      <c r="G1249" s="555"/>
      <c r="H1249" s="555"/>
      <c r="I1249" s="556"/>
    </row>
    <row r="1250" spans="6:9" x14ac:dyDescent="0.25">
      <c r="F1250" s="554"/>
      <c r="G1250" s="555"/>
      <c r="H1250" s="555"/>
      <c r="I1250" s="556"/>
    </row>
    <row r="1251" spans="6:9" x14ac:dyDescent="0.25">
      <c r="F1251" s="554"/>
      <c r="G1251" s="555"/>
      <c r="H1251" s="555"/>
      <c r="I1251" s="556"/>
    </row>
    <row r="1252" spans="6:9" x14ac:dyDescent="0.25">
      <c r="F1252" s="554"/>
      <c r="G1252" s="555"/>
      <c r="H1252" s="555"/>
      <c r="I1252" s="556"/>
    </row>
    <row r="1253" spans="6:9" x14ac:dyDescent="0.25">
      <c r="F1253" s="554"/>
      <c r="G1253" s="555"/>
      <c r="H1253" s="555"/>
      <c r="I1253" s="556"/>
    </row>
    <row r="1254" spans="6:9" x14ac:dyDescent="0.25">
      <c r="F1254" s="554"/>
      <c r="G1254" s="555"/>
      <c r="H1254" s="555"/>
      <c r="I1254" s="556"/>
    </row>
    <row r="1255" spans="6:9" x14ac:dyDescent="0.25">
      <c r="F1255" s="554"/>
      <c r="G1255" s="555"/>
      <c r="H1255" s="555"/>
      <c r="I1255" s="556"/>
    </row>
    <row r="1256" spans="6:9" x14ac:dyDescent="0.25">
      <c r="F1256" s="554"/>
      <c r="G1256" s="555"/>
      <c r="H1256" s="555"/>
      <c r="I1256" s="556"/>
    </row>
    <row r="1257" spans="6:9" x14ac:dyDescent="0.25">
      <c r="F1257" s="554"/>
      <c r="G1257" s="555"/>
      <c r="H1257" s="555"/>
      <c r="I1257" s="556"/>
    </row>
    <row r="1258" spans="6:9" x14ac:dyDescent="0.25">
      <c r="F1258" s="554"/>
      <c r="G1258" s="555"/>
      <c r="H1258" s="555"/>
      <c r="I1258" s="556"/>
    </row>
    <row r="1259" spans="6:9" x14ac:dyDescent="0.25">
      <c r="F1259" s="554"/>
      <c r="G1259" s="555"/>
      <c r="H1259" s="555"/>
      <c r="I1259" s="556"/>
    </row>
    <row r="1260" spans="6:9" x14ac:dyDescent="0.25">
      <c r="F1260" s="554"/>
      <c r="G1260" s="555"/>
      <c r="H1260" s="555"/>
      <c r="I1260" s="556"/>
    </row>
    <row r="1261" spans="6:9" x14ac:dyDescent="0.25">
      <c r="F1261" s="554"/>
      <c r="G1261" s="555"/>
      <c r="H1261" s="555"/>
      <c r="I1261" s="556"/>
    </row>
    <row r="1262" spans="6:9" x14ac:dyDescent="0.25">
      <c r="F1262" s="554"/>
      <c r="G1262" s="555"/>
      <c r="H1262" s="555"/>
      <c r="I1262" s="556"/>
    </row>
    <row r="1263" spans="6:9" x14ac:dyDescent="0.25">
      <c r="F1263" s="554"/>
      <c r="G1263" s="555"/>
      <c r="H1263" s="555"/>
      <c r="I1263" s="556"/>
    </row>
    <row r="1264" spans="6:9" x14ac:dyDescent="0.25">
      <c r="F1264" s="554"/>
      <c r="G1264" s="555"/>
      <c r="H1264" s="555"/>
      <c r="I1264" s="556"/>
    </row>
    <row r="1265" spans="6:9" x14ac:dyDescent="0.25">
      <c r="F1265" s="554"/>
      <c r="G1265" s="555"/>
      <c r="H1265" s="555"/>
      <c r="I1265" s="556"/>
    </row>
    <row r="1266" spans="6:9" x14ac:dyDescent="0.25">
      <c r="F1266" s="554"/>
      <c r="G1266" s="555"/>
      <c r="H1266" s="555"/>
      <c r="I1266" s="556"/>
    </row>
    <row r="1267" spans="6:9" x14ac:dyDescent="0.25">
      <c r="F1267" s="554"/>
      <c r="G1267" s="555"/>
      <c r="H1267" s="555"/>
      <c r="I1267" s="556"/>
    </row>
    <row r="1268" spans="6:9" x14ac:dyDescent="0.25">
      <c r="F1268" s="554"/>
      <c r="G1268" s="555"/>
      <c r="H1268" s="555"/>
      <c r="I1268" s="556"/>
    </row>
    <row r="1269" spans="6:9" x14ac:dyDescent="0.25">
      <c r="F1269" s="554"/>
      <c r="G1269" s="555"/>
      <c r="H1269" s="555"/>
      <c r="I1269" s="556"/>
    </row>
    <row r="1270" spans="6:9" x14ac:dyDescent="0.25">
      <c r="F1270" s="554"/>
      <c r="G1270" s="555"/>
      <c r="H1270" s="555"/>
      <c r="I1270" s="556"/>
    </row>
    <row r="1271" spans="6:9" x14ac:dyDescent="0.25">
      <c r="F1271" s="554"/>
      <c r="G1271" s="555"/>
      <c r="H1271" s="555"/>
      <c r="I1271" s="556"/>
    </row>
    <row r="1272" spans="6:9" x14ac:dyDescent="0.25">
      <c r="F1272" s="554"/>
      <c r="G1272" s="555"/>
      <c r="H1272" s="555"/>
      <c r="I1272" s="556"/>
    </row>
    <row r="1273" spans="6:9" x14ac:dyDescent="0.25">
      <c r="F1273" s="554"/>
      <c r="G1273" s="555"/>
      <c r="H1273" s="555"/>
      <c r="I1273" s="556"/>
    </row>
    <row r="1274" spans="6:9" x14ac:dyDescent="0.25">
      <c r="F1274" s="554"/>
      <c r="G1274" s="555"/>
      <c r="H1274" s="555"/>
      <c r="I1274" s="556"/>
    </row>
    <row r="1275" spans="6:9" x14ac:dyDescent="0.25">
      <c r="F1275" s="554"/>
      <c r="G1275" s="555"/>
      <c r="H1275" s="555"/>
      <c r="I1275" s="556"/>
    </row>
    <row r="1276" spans="6:9" x14ac:dyDescent="0.25">
      <c r="F1276" s="554"/>
      <c r="G1276" s="555"/>
      <c r="H1276" s="555"/>
      <c r="I1276" s="556"/>
    </row>
    <row r="1277" spans="6:9" x14ac:dyDescent="0.25">
      <c r="F1277" s="554"/>
      <c r="G1277" s="555"/>
      <c r="H1277" s="555"/>
      <c r="I1277" s="556"/>
    </row>
    <row r="1278" spans="6:9" x14ac:dyDescent="0.25">
      <c r="F1278" s="554"/>
      <c r="G1278" s="555"/>
      <c r="H1278" s="555"/>
      <c r="I1278" s="556"/>
    </row>
    <row r="1279" spans="6:9" x14ac:dyDescent="0.25">
      <c r="F1279" s="554"/>
      <c r="G1279" s="555"/>
      <c r="H1279" s="555"/>
      <c r="I1279" s="556"/>
    </row>
    <row r="1280" spans="6:9" x14ac:dyDescent="0.25">
      <c r="F1280" s="554"/>
      <c r="G1280" s="555"/>
      <c r="H1280" s="555"/>
      <c r="I1280" s="556"/>
    </row>
    <row r="1281" spans="6:9" x14ac:dyDescent="0.25">
      <c r="F1281" s="554"/>
      <c r="G1281" s="555"/>
      <c r="H1281" s="555"/>
      <c r="I1281" s="556"/>
    </row>
    <row r="1282" spans="6:9" x14ac:dyDescent="0.25">
      <c r="F1282" s="554"/>
      <c r="G1282" s="555"/>
      <c r="H1282" s="555"/>
      <c r="I1282" s="556"/>
    </row>
    <row r="1283" spans="6:9" x14ac:dyDescent="0.25">
      <c r="F1283" s="554"/>
      <c r="G1283" s="555"/>
      <c r="H1283" s="555"/>
      <c r="I1283" s="556"/>
    </row>
    <row r="1284" spans="6:9" x14ac:dyDescent="0.25">
      <c r="F1284" s="554"/>
      <c r="G1284" s="555"/>
      <c r="H1284" s="555"/>
      <c r="I1284" s="556"/>
    </row>
    <row r="1285" spans="6:9" x14ac:dyDescent="0.25">
      <c r="F1285" s="554"/>
      <c r="G1285" s="555"/>
      <c r="H1285" s="555"/>
      <c r="I1285" s="556"/>
    </row>
    <row r="1286" spans="6:9" x14ac:dyDescent="0.25">
      <c r="F1286" s="554"/>
      <c r="G1286" s="555"/>
      <c r="H1286" s="555"/>
      <c r="I1286" s="556"/>
    </row>
    <row r="1287" spans="6:9" x14ac:dyDescent="0.25">
      <c r="F1287" s="554"/>
      <c r="G1287" s="555"/>
      <c r="H1287" s="555"/>
      <c r="I1287" s="556"/>
    </row>
    <row r="1288" spans="6:9" x14ac:dyDescent="0.25">
      <c r="F1288" s="554"/>
      <c r="G1288" s="555"/>
      <c r="H1288" s="555"/>
      <c r="I1288" s="556"/>
    </row>
    <row r="1289" spans="6:9" x14ac:dyDescent="0.25">
      <c r="F1289" s="554"/>
      <c r="G1289" s="555"/>
      <c r="H1289" s="555"/>
      <c r="I1289" s="556"/>
    </row>
    <row r="1290" spans="6:9" x14ac:dyDescent="0.25">
      <c r="F1290" s="554"/>
      <c r="G1290" s="555"/>
      <c r="H1290" s="555"/>
      <c r="I1290" s="556"/>
    </row>
    <row r="1291" spans="6:9" x14ac:dyDescent="0.25">
      <c r="F1291" s="554"/>
      <c r="G1291" s="555"/>
      <c r="H1291" s="555"/>
      <c r="I1291" s="556"/>
    </row>
    <row r="1292" spans="6:9" x14ac:dyDescent="0.25">
      <c r="F1292" s="554"/>
      <c r="G1292" s="555"/>
      <c r="H1292" s="555"/>
      <c r="I1292" s="556"/>
    </row>
    <row r="1293" spans="6:9" x14ac:dyDescent="0.25">
      <c r="F1293" s="554"/>
      <c r="G1293" s="555"/>
      <c r="H1293" s="555"/>
      <c r="I1293" s="556"/>
    </row>
    <row r="1294" spans="6:9" x14ac:dyDescent="0.25">
      <c r="F1294" s="554"/>
      <c r="G1294" s="555"/>
      <c r="H1294" s="555"/>
      <c r="I1294" s="556"/>
    </row>
    <row r="1295" spans="6:9" x14ac:dyDescent="0.25">
      <c r="F1295" s="554"/>
      <c r="G1295" s="555"/>
      <c r="H1295" s="555"/>
      <c r="I1295" s="556"/>
    </row>
    <row r="1296" spans="6:9" x14ac:dyDescent="0.25">
      <c r="F1296" s="554"/>
      <c r="G1296" s="555"/>
      <c r="H1296" s="555"/>
      <c r="I1296" s="556"/>
    </row>
    <row r="1297" spans="6:9" x14ac:dyDescent="0.25">
      <c r="F1297" s="554"/>
      <c r="G1297" s="555"/>
      <c r="H1297" s="555"/>
      <c r="I1297" s="556"/>
    </row>
    <row r="1298" spans="6:9" x14ac:dyDescent="0.25">
      <c r="F1298" s="554"/>
      <c r="G1298" s="555"/>
      <c r="H1298" s="555"/>
      <c r="I1298" s="556"/>
    </row>
    <row r="1299" spans="6:9" x14ac:dyDescent="0.25">
      <c r="F1299" s="554"/>
      <c r="G1299" s="555"/>
      <c r="H1299" s="555"/>
      <c r="I1299" s="556"/>
    </row>
    <row r="1300" spans="6:9" x14ac:dyDescent="0.25">
      <c r="F1300" s="554"/>
      <c r="G1300" s="555"/>
      <c r="H1300" s="555"/>
      <c r="I1300" s="556"/>
    </row>
    <row r="1301" spans="6:9" x14ac:dyDescent="0.25">
      <c r="F1301" s="554"/>
      <c r="G1301" s="555"/>
      <c r="H1301" s="555"/>
      <c r="I1301" s="556"/>
    </row>
    <row r="1302" spans="6:9" x14ac:dyDescent="0.25">
      <c r="F1302" s="554"/>
      <c r="G1302" s="555"/>
      <c r="H1302" s="555"/>
      <c r="I1302" s="556"/>
    </row>
    <row r="1303" spans="6:9" x14ac:dyDescent="0.25">
      <c r="F1303" s="554"/>
      <c r="G1303" s="555"/>
      <c r="H1303" s="555"/>
      <c r="I1303" s="556"/>
    </row>
    <row r="1304" spans="6:9" x14ac:dyDescent="0.25">
      <c r="F1304" s="554"/>
      <c r="G1304" s="555"/>
      <c r="H1304" s="555"/>
      <c r="I1304" s="556"/>
    </row>
    <row r="1305" spans="6:9" x14ac:dyDescent="0.25">
      <c r="F1305" s="554"/>
      <c r="G1305" s="555"/>
      <c r="H1305" s="555"/>
      <c r="I1305" s="556"/>
    </row>
    <row r="1306" spans="6:9" x14ac:dyDescent="0.25">
      <c r="F1306" s="554"/>
      <c r="G1306" s="555"/>
      <c r="H1306" s="555"/>
      <c r="I1306" s="556"/>
    </row>
    <row r="1307" spans="6:9" x14ac:dyDescent="0.25">
      <c r="F1307" s="554"/>
      <c r="G1307" s="555"/>
      <c r="H1307" s="555"/>
      <c r="I1307" s="556"/>
    </row>
    <row r="1308" spans="6:9" x14ac:dyDescent="0.25">
      <c r="F1308" s="554"/>
      <c r="G1308" s="555"/>
      <c r="H1308" s="555"/>
      <c r="I1308" s="556"/>
    </row>
    <row r="1309" spans="6:9" x14ac:dyDescent="0.25">
      <c r="F1309" s="554"/>
      <c r="G1309" s="555"/>
      <c r="H1309" s="555"/>
      <c r="I1309" s="556"/>
    </row>
    <row r="1310" spans="6:9" x14ac:dyDescent="0.25">
      <c r="F1310" s="554"/>
      <c r="G1310" s="555"/>
      <c r="H1310" s="555"/>
      <c r="I1310" s="556"/>
    </row>
    <row r="1311" spans="6:9" x14ac:dyDescent="0.25">
      <c r="F1311" s="554"/>
      <c r="G1311" s="555"/>
      <c r="H1311" s="555"/>
      <c r="I1311" s="556"/>
    </row>
    <row r="1312" spans="6:9" x14ac:dyDescent="0.25">
      <c r="F1312" s="554"/>
      <c r="G1312" s="555"/>
      <c r="H1312" s="555"/>
      <c r="I1312" s="556"/>
    </row>
    <row r="1313" spans="6:9" x14ac:dyDescent="0.25">
      <c r="F1313" s="554"/>
      <c r="G1313" s="555"/>
      <c r="H1313" s="555"/>
      <c r="I1313" s="556"/>
    </row>
    <row r="1314" spans="6:9" x14ac:dyDescent="0.25">
      <c r="F1314" s="554"/>
      <c r="G1314" s="555"/>
      <c r="H1314" s="555"/>
      <c r="I1314" s="556"/>
    </row>
    <row r="1315" spans="6:9" x14ac:dyDescent="0.25">
      <c r="F1315" s="554"/>
      <c r="G1315" s="555"/>
      <c r="H1315" s="555"/>
      <c r="I1315" s="556"/>
    </row>
    <row r="1316" spans="6:9" x14ac:dyDescent="0.25">
      <c r="F1316" s="554"/>
      <c r="G1316" s="555"/>
      <c r="H1316" s="555"/>
      <c r="I1316" s="556"/>
    </row>
    <row r="1317" spans="6:9" x14ac:dyDescent="0.25">
      <c r="F1317" s="554"/>
      <c r="G1317" s="555"/>
      <c r="H1317" s="555"/>
      <c r="I1317" s="556"/>
    </row>
    <row r="1318" spans="6:9" x14ac:dyDescent="0.25">
      <c r="F1318" s="554"/>
      <c r="G1318" s="555"/>
      <c r="H1318" s="555"/>
      <c r="I1318" s="556"/>
    </row>
    <row r="1319" spans="6:9" x14ac:dyDescent="0.25">
      <c r="F1319" s="554"/>
      <c r="G1319" s="555"/>
      <c r="H1319" s="555"/>
      <c r="I1319" s="556"/>
    </row>
    <row r="1320" spans="6:9" x14ac:dyDescent="0.25">
      <c r="F1320" s="554"/>
      <c r="G1320" s="555"/>
      <c r="H1320" s="555"/>
      <c r="I1320" s="556"/>
    </row>
    <row r="1321" spans="6:9" x14ac:dyDescent="0.25">
      <c r="F1321" s="554"/>
      <c r="G1321" s="555"/>
      <c r="H1321" s="555"/>
      <c r="I1321" s="556"/>
    </row>
    <row r="1322" spans="6:9" x14ac:dyDescent="0.25">
      <c r="F1322" s="554"/>
      <c r="G1322" s="555"/>
      <c r="H1322" s="555"/>
      <c r="I1322" s="556"/>
    </row>
    <row r="1323" spans="6:9" x14ac:dyDescent="0.25">
      <c r="F1323" s="554"/>
      <c r="G1323" s="555"/>
      <c r="H1323" s="555"/>
      <c r="I1323" s="556"/>
    </row>
    <row r="1324" spans="6:9" x14ac:dyDescent="0.25">
      <c r="F1324" s="554"/>
      <c r="G1324" s="555"/>
      <c r="H1324" s="555"/>
      <c r="I1324" s="556"/>
    </row>
    <row r="1325" spans="6:9" x14ac:dyDescent="0.25">
      <c r="F1325" s="554"/>
      <c r="G1325" s="555"/>
      <c r="H1325" s="555"/>
      <c r="I1325" s="556"/>
    </row>
    <row r="1326" spans="6:9" x14ac:dyDescent="0.25">
      <c r="F1326" s="554"/>
      <c r="G1326" s="555"/>
      <c r="H1326" s="555"/>
      <c r="I1326" s="556"/>
    </row>
    <row r="1327" spans="6:9" x14ac:dyDescent="0.25">
      <c r="F1327" s="554"/>
      <c r="G1327" s="555"/>
      <c r="H1327" s="555"/>
      <c r="I1327" s="556"/>
    </row>
    <row r="1328" spans="6:9" x14ac:dyDescent="0.25">
      <c r="F1328" s="554"/>
      <c r="G1328" s="555"/>
      <c r="H1328" s="555"/>
      <c r="I1328" s="556"/>
    </row>
    <row r="1329" spans="6:9" x14ac:dyDescent="0.25">
      <c r="F1329" s="554"/>
      <c r="G1329" s="555"/>
      <c r="H1329" s="555"/>
      <c r="I1329" s="556"/>
    </row>
    <row r="1330" spans="6:9" x14ac:dyDescent="0.25">
      <c r="F1330" s="554"/>
      <c r="G1330" s="555"/>
      <c r="H1330" s="555"/>
      <c r="I1330" s="556"/>
    </row>
    <row r="1331" spans="6:9" x14ac:dyDescent="0.25">
      <c r="F1331" s="554"/>
      <c r="G1331" s="555"/>
      <c r="H1331" s="555"/>
      <c r="I1331" s="556"/>
    </row>
    <row r="1332" spans="6:9" x14ac:dyDescent="0.25">
      <c r="F1332" s="554"/>
      <c r="G1332" s="555"/>
      <c r="H1332" s="555"/>
      <c r="I1332" s="556"/>
    </row>
    <row r="1333" spans="6:9" x14ac:dyDescent="0.25">
      <c r="F1333" s="554"/>
      <c r="G1333" s="555"/>
      <c r="H1333" s="555"/>
      <c r="I1333" s="556"/>
    </row>
    <row r="1334" spans="6:9" x14ac:dyDescent="0.25">
      <c r="F1334" s="554"/>
      <c r="G1334" s="555"/>
      <c r="H1334" s="555"/>
      <c r="I1334" s="556"/>
    </row>
    <row r="1335" spans="6:9" x14ac:dyDescent="0.25">
      <c r="F1335" s="554"/>
      <c r="G1335" s="555"/>
      <c r="H1335" s="555"/>
      <c r="I1335" s="556"/>
    </row>
    <row r="1336" spans="6:9" x14ac:dyDescent="0.25">
      <c r="F1336" s="554"/>
      <c r="G1336" s="555"/>
      <c r="H1336" s="555"/>
      <c r="I1336" s="556"/>
    </row>
    <row r="1337" spans="6:9" x14ac:dyDescent="0.25">
      <c r="F1337" s="554"/>
      <c r="G1337" s="555"/>
      <c r="H1337" s="555"/>
      <c r="I1337" s="556"/>
    </row>
    <row r="1338" spans="6:9" x14ac:dyDescent="0.25">
      <c r="F1338" s="554"/>
      <c r="G1338" s="555"/>
      <c r="H1338" s="555"/>
      <c r="I1338" s="556"/>
    </row>
    <row r="1339" spans="6:9" x14ac:dyDescent="0.25">
      <c r="F1339" s="554"/>
      <c r="G1339" s="555"/>
      <c r="H1339" s="555"/>
      <c r="I1339" s="556"/>
    </row>
    <row r="1340" spans="6:9" x14ac:dyDescent="0.25">
      <c r="F1340" s="554"/>
      <c r="G1340" s="555"/>
      <c r="H1340" s="555"/>
      <c r="I1340" s="556"/>
    </row>
    <row r="1341" spans="6:9" x14ac:dyDescent="0.25">
      <c r="F1341" s="554"/>
      <c r="G1341" s="555"/>
      <c r="H1341" s="555"/>
      <c r="I1341" s="556"/>
    </row>
    <row r="1342" spans="6:9" x14ac:dyDescent="0.25">
      <c r="F1342" s="554"/>
      <c r="G1342" s="555"/>
      <c r="H1342" s="555"/>
      <c r="I1342" s="556"/>
    </row>
    <row r="1343" spans="6:9" x14ac:dyDescent="0.25">
      <c r="F1343" s="554"/>
      <c r="G1343" s="555"/>
      <c r="H1343" s="555"/>
      <c r="I1343" s="556"/>
    </row>
    <row r="1344" spans="6:9" x14ac:dyDescent="0.25">
      <c r="F1344" s="554"/>
      <c r="G1344" s="555"/>
      <c r="H1344" s="555"/>
      <c r="I1344" s="556"/>
    </row>
    <row r="1345" spans="6:9" x14ac:dyDescent="0.25">
      <c r="F1345" s="554"/>
      <c r="G1345" s="555"/>
      <c r="H1345" s="555"/>
      <c r="I1345" s="556"/>
    </row>
    <row r="1346" spans="6:9" x14ac:dyDescent="0.25">
      <c r="F1346" s="554"/>
      <c r="G1346" s="555"/>
      <c r="H1346" s="555"/>
      <c r="I1346" s="556"/>
    </row>
    <row r="1347" spans="6:9" x14ac:dyDescent="0.25">
      <c r="F1347" s="554"/>
      <c r="G1347" s="555"/>
      <c r="H1347" s="555"/>
      <c r="I1347" s="556"/>
    </row>
    <row r="1348" spans="6:9" x14ac:dyDescent="0.25">
      <c r="F1348" s="554"/>
      <c r="G1348" s="555"/>
      <c r="H1348" s="555"/>
      <c r="I1348" s="556"/>
    </row>
    <row r="1349" spans="6:9" x14ac:dyDescent="0.25">
      <c r="F1349" s="554"/>
      <c r="G1349" s="555"/>
      <c r="H1349" s="555"/>
      <c r="I1349" s="556"/>
    </row>
    <row r="1350" spans="6:9" x14ac:dyDescent="0.25">
      <c r="F1350" s="554"/>
      <c r="G1350" s="555"/>
      <c r="H1350" s="555"/>
      <c r="I1350" s="556"/>
    </row>
    <row r="1351" spans="6:9" x14ac:dyDescent="0.25">
      <c r="F1351" s="554"/>
      <c r="G1351" s="555"/>
      <c r="H1351" s="555"/>
      <c r="I1351" s="556"/>
    </row>
    <row r="1352" spans="6:9" x14ac:dyDescent="0.25">
      <c r="F1352" s="554"/>
      <c r="G1352" s="555"/>
      <c r="H1352" s="555"/>
      <c r="I1352" s="556"/>
    </row>
    <row r="1353" spans="6:9" x14ac:dyDescent="0.25">
      <c r="F1353" s="554"/>
      <c r="G1353" s="555"/>
      <c r="H1353" s="555"/>
      <c r="I1353" s="556"/>
    </row>
    <row r="1354" spans="6:9" x14ac:dyDescent="0.25">
      <c r="F1354" s="554"/>
      <c r="G1354" s="555"/>
      <c r="H1354" s="555"/>
      <c r="I1354" s="556"/>
    </row>
    <row r="1355" spans="6:9" x14ac:dyDescent="0.25">
      <c r="F1355" s="554"/>
      <c r="G1355" s="555"/>
      <c r="H1355" s="555"/>
      <c r="I1355" s="556"/>
    </row>
    <row r="1356" spans="6:9" x14ac:dyDescent="0.25">
      <c r="F1356" s="554"/>
      <c r="G1356" s="555"/>
      <c r="H1356" s="555"/>
      <c r="I1356" s="556"/>
    </row>
    <row r="1357" spans="6:9" x14ac:dyDescent="0.25">
      <c r="F1357" s="554"/>
      <c r="G1357" s="555"/>
      <c r="H1357" s="555"/>
      <c r="I1357" s="556"/>
    </row>
    <row r="1358" spans="6:9" x14ac:dyDescent="0.25">
      <c r="F1358" s="554"/>
      <c r="G1358" s="555"/>
      <c r="H1358" s="555"/>
      <c r="I1358" s="556"/>
    </row>
    <row r="1359" spans="6:9" x14ac:dyDescent="0.25">
      <c r="F1359" s="554"/>
      <c r="G1359" s="555"/>
      <c r="H1359" s="555"/>
      <c r="I1359" s="556"/>
    </row>
    <row r="1360" spans="6:9" x14ac:dyDescent="0.25">
      <c r="F1360" s="554"/>
      <c r="G1360" s="555"/>
      <c r="H1360" s="555"/>
      <c r="I1360" s="556"/>
    </row>
    <row r="1361" spans="6:9" x14ac:dyDescent="0.25">
      <c r="F1361" s="554"/>
      <c r="G1361" s="555"/>
      <c r="H1361" s="555"/>
      <c r="I1361" s="556"/>
    </row>
    <row r="1362" spans="6:9" x14ac:dyDescent="0.25">
      <c r="F1362" s="554"/>
      <c r="G1362" s="555"/>
      <c r="H1362" s="555"/>
      <c r="I1362" s="556"/>
    </row>
    <row r="1363" spans="6:9" x14ac:dyDescent="0.25">
      <c r="F1363" s="554"/>
      <c r="G1363" s="555"/>
      <c r="H1363" s="555"/>
      <c r="I1363" s="556"/>
    </row>
    <row r="1364" spans="6:9" x14ac:dyDescent="0.25">
      <c r="F1364" s="554"/>
      <c r="G1364" s="555"/>
      <c r="H1364" s="555"/>
      <c r="I1364" s="556"/>
    </row>
    <row r="1365" spans="6:9" x14ac:dyDescent="0.25">
      <c r="F1365" s="554"/>
      <c r="G1365" s="555"/>
      <c r="H1365" s="555"/>
      <c r="I1365" s="556"/>
    </row>
    <row r="1366" spans="6:9" x14ac:dyDescent="0.25">
      <c r="F1366" s="554"/>
      <c r="G1366" s="555"/>
      <c r="H1366" s="555"/>
      <c r="I1366" s="556"/>
    </row>
    <row r="1367" spans="6:9" x14ac:dyDescent="0.25">
      <c r="F1367" s="554"/>
      <c r="G1367" s="555"/>
      <c r="H1367" s="555"/>
      <c r="I1367" s="556"/>
    </row>
    <row r="1368" spans="6:9" x14ac:dyDescent="0.25">
      <c r="F1368" s="554"/>
      <c r="G1368" s="555"/>
      <c r="H1368" s="555"/>
      <c r="I1368" s="556"/>
    </row>
    <row r="1369" spans="6:9" x14ac:dyDescent="0.25">
      <c r="F1369" s="554"/>
      <c r="G1369" s="555"/>
      <c r="H1369" s="555"/>
      <c r="I1369" s="556"/>
    </row>
    <row r="1370" spans="6:9" x14ac:dyDescent="0.25">
      <c r="F1370" s="554"/>
      <c r="G1370" s="555"/>
      <c r="H1370" s="555"/>
      <c r="I1370" s="556"/>
    </row>
    <row r="1371" spans="6:9" x14ac:dyDescent="0.25">
      <c r="F1371" s="554"/>
      <c r="G1371" s="555"/>
      <c r="H1371" s="555"/>
      <c r="I1371" s="556"/>
    </row>
    <row r="1372" spans="6:9" x14ac:dyDescent="0.25">
      <c r="F1372" s="554"/>
      <c r="G1372" s="555"/>
      <c r="H1372" s="555"/>
      <c r="I1372" s="556"/>
    </row>
    <row r="1373" spans="6:9" x14ac:dyDescent="0.25">
      <c r="F1373" s="554"/>
      <c r="G1373" s="555"/>
      <c r="H1373" s="555"/>
      <c r="I1373" s="556"/>
    </row>
    <row r="1374" spans="6:9" x14ac:dyDescent="0.25">
      <c r="F1374" s="554"/>
      <c r="G1374" s="555"/>
      <c r="H1374" s="555"/>
      <c r="I1374" s="556"/>
    </row>
    <row r="1375" spans="6:9" x14ac:dyDescent="0.25">
      <c r="F1375" s="554"/>
      <c r="G1375" s="555"/>
      <c r="H1375" s="555"/>
      <c r="I1375" s="556"/>
    </row>
    <row r="1376" spans="6:9" x14ac:dyDescent="0.25">
      <c r="F1376" s="554"/>
      <c r="G1376" s="555"/>
      <c r="H1376" s="555"/>
      <c r="I1376" s="556"/>
    </row>
    <row r="1377" spans="6:9" x14ac:dyDescent="0.25">
      <c r="F1377" s="554"/>
      <c r="G1377" s="555"/>
      <c r="H1377" s="555"/>
      <c r="I1377" s="556"/>
    </row>
    <row r="1378" spans="6:9" x14ac:dyDescent="0.25">
      <c r="F1378" s="554"/>
      <c r="G1378" s="555"/>
      <c r="H1378" s="555"/>
      <c r="I1378" s="556"/>
    </row>
    <row r="1379" spans="6:9" x14ac:dyDescent="0.25">
      <c r="F1379" s="554"/>
      <c r="G1379" s="555"/>
      <c r="H1379" s="555"/>
      <c r="I1379" s="556"/>
    </row>
    <row r="1380" spans="6:9" x14ac:dyDescent="0.25">
      <c r="F1380" s="554"/>
      <c r="G1380" s="555"/>
      <c r="H1380" s="555"/>
      <c r="I1380" s="556"/>
    </row>
    <row r="1381" spans="6:9" x14ac:dyDescent="0.25">
      <c r="F1381" s="554"/>
      <c r="G1381" s="555"/>
      <c r="H1381" s="555"/>
      <c r="I1381" s="556"/>
    </row>
    <row r="1382" spans="6:9" x14ac:dyDescent="0.25">
      <c r="F1382" s="554"/>
      <c r="G1382" s="555"/>
      <c r="H1382" s="555"/>
      <c r="I1382" s="556"/>
    </row>
    <row r="1383" spans="6:9" x14ac:dyDescent="0.25">
      <c r="F1383" s="554"/>
      <c r="G1383" s="555"/>
      <c r="H1383" s="555"/>
      <c r="I1383" s="556"/>
    </row>
    <row r="1384" spans="6:9" x14ac:dyDescent="0.25">
      <c r="F1384" s="554"/>
      <c r="G1384" s="555"/>
      <c r="H1384" s="555"/>
      <c r="I1384" s="556"/>
    </row>
    <row r="1385" spans="6:9" x14ac:dyDescent="0.25">
      <c r="F1385" s="554"/>
      <c r="G1385" s="555"/>
      <c r="H1385" s="555"/>
      <c r="I1385" s="556"/>
    </row>
    <row r="1386" spans="6:9" x14ac:dyDescent="0.25">
      <c r="F1386" s="554"/>
      <c r="G1386" s="555"/>
      <c r="H1386" s="555"/>
      <c r="I1386" s="556"/>
    </row>
    <row r="1387" spans="6:9" x14ac:dyDescent="0.25">
      <c r="F1387" s="554"/>
      <c r="G1387" s="555"/>
      <c r="H1387" s="555"/>
      <c r="I1387" s="556"/>
    </row>
    <row r="1388" spans="6:9" x14ac:dyDescent="0.25">
      <c r="F1388" s="554"/>
      <c r="G1388" s="555"/>
      <c r="H1388" s="555"/>
      <c r="I1388" s="556"/>
    </row>
    <row r="1389" spans="6:9" x14ac:dyDescent="0.25">
      <c r="F1389" s="554"/>
      <c r="G1389" s="555"/>
      <c r="H1389" s="555"/>
      <c r="I1389" s="556"/>
    </row>
    <row r="1390" spans="6:9" x14ac:dyDescent="0.25">
      <c r="F1390" s="554"/>
      <c r="G1390" s="555"/>
      <c r="H1390" s="555"/>
      <c r="I1390" s="556"/>
    </row>
    <row r="1391" spans="6:9" x14ac:dyDescent="0.25">
      <c r="F1391" s="554"/>
      <c r="G1391" s="555"/>
      <c r="H1391" s="555"/>
      <c r="I1391" s="556"/>
    </row>
    <row r="1392" spans="6:9" x14ac:dyDescent="0.25">
      <c r="F1392" s="554"/>
      <c r="G1392" s="555"/>
      <c r="H1392" s="555"/>
      <c r="I1392" s="556"/>
    </row>
    <row r="1393" spans="6:9" x14ac:dyDescent="0.25">
      <c r="F1393" s="554"/>
      <c r="G1393" s="555"/>
      <c r="H1393" s="555"/>
      <c r="I1393" s="556"/>
    </row>
    <row r="1394" spans="6:9" x14ac:dyDescent="0.25">
      <c r="F1394" s="554"/>
      <c r="G1394" s="555"/>
      <c r="H1394" s="555"/>
      <c r="I1394" s="556"/>
    </row>
    <row r="1395" spans="6:9" x14ac:dyDescent="0.25">
      <c r="F1395" s="554"/>
      <c r="G1395" s="555"/>
      <c r="H1395" s="555"/>
      <c r="I1395" s="556"/>
    </row>
    <row r="1396" spans="6:9" x14ac:dyDescent="0.25">
      <c r="F1396" s="554"/>
      <c r="G1396" s="555"/>
      <c r="H1396" s="555"/>
      <c r="I1396" s="556"/>
    </row>
    <row r="1397" spans="6:9" x14ac:dyDescent="0.25">
      <c r="F1397" s="554"/>
      <c r="G1397" s="555"/>
      <c r="H1397" s="555"/>
      <c r="I1397" s="556"/>
    </row>
    <row r="1398" spans="6:9" x14ac:dyDescent="0.25">
      <c r="F1398" s="554"/>
      <c r="G1398" s="555"/>
      <c r="H1398" s="555"/>
      <c r="I1398" s="556"/>
    </row>
    <row r="1399" spans="6:9" x14ac:dyDescent="0.25">
      <c r="F1399" s="554"/>
      <c r="G1399" s="555"/>
      <c r="H1399" s="555"/>
      <c r="I1399" s="556"/>
    </row>
    <row r="1400" spans="6:9" x14ac:dyDescent="0.25">
      <c r="F1400" s="554"/>
      <c r="G1400" s="555"/>
      <c r="H1400" s="555"/>
      <c r="I1400" s="556"/>
    </row>
    <row r="1401" spans="6:9" x14ac:dyDescent="0.25">
      <c r="F1401" s="554"/>
      <c r="G1401" s="555"/>
      <c r="H1401" s="555"/>
      <c r="I1401" s="556"/>
    </row>
    <row r="1402" spans="6:9" x14ac:dyDescent="0.25">
      <c r="F1402" s="554"/>
      <c r="G1402" s="555"/>
      <c r="H1402" s="555"/>
      <c r="I1402" s="556"/>
    </row>
    <row r="1403" spans="6:9" x14ac:dyDescent="0.25">
      <c r="F1403" s="554"/>
      <c r="G1403" s="555"/>
      <c r="H1403" s="555"/>
      <c r="I1403" s="556"/>
    </row>
    <row r="1404" spans="6:9" x14ac:dyDescent="0.25">
      <c r="F1404" s="554"/>
      <c r="G1404" s="555"/>
      <c r="H1404" s="555"/>
      <c r="I1404" s="556"/>
    </row>
    <row r="1405" spans="6:9" x14ac:dyDescent="0.25">
      <c r="F1405" s="554"/>
      <c r="G1405" s="555"/>
      <c r="H1405" s="555"/>
      <c r="I1405" s="556"/>
    </row>
    <row r="1406" spans="6:9" x14ac:dyDescent="0.25">
      <c r="F1406" s="554"/>
      <c r="G1406" s="555"/>
      <c r="H1406" s="555"/>
      <c r="I1406" s="556"/>
    </row>
    <row r="1407" spans="6:9" x14ac:dyDescent="0.25">
      <c r="F1407" s="554"/>
      <c r="G1407" s="555"/>
      <c r="H1407" s="555"/>
      <c r="I1407" s="556"/>
    </row>
    <row r="1408" spans="6:9" x14ac:dyDescent="0.25">
      <c r="F1408" s="554"/>
      <c r="G1408" s="555"/>
      <c r="H1408" s="555"/>
      <c r="I1408" s="556"/>
    </row>
    <row r="1409" spans="6:9" x14ac:dyDescent="0.25">
      <c r="F1409" s="554"/>
      <c r="G1409" s="555"/>
      <c r="H1409" s="555"/>
      <c r="I1409" s="556"/>
    </row>
    <row r="1410" spans="6:9" x14ac:dyDescent="0.25">
      <c r="F1410" s="554"/>
      <c r="G1410" s="555"/>
      <c r="H1410" s="555"/>
      <c r="I1410" s="556"/>
    </row>
    <row r="1411" spans="6:9" x14ac:dyDescent="0.25">
      <c r="F1411" s="554"/>
      <c r="G1411" s="555"/>
      <c r="H1411" s="555"/>
      <c r="I1411" s="556"/>
    </row>
    <row r="1412" spans="6:9" x14ac:dyDescent="0.25">
      <c r="F1412" s="554"/>
      <c r="G1412" s="555"/>
      <c r="H1412" s="555"/>
      <c r="I1412" s="556"/>
    </row>
    <row r="1413" spans="6:9" x14ac:dyDescent="0.25">
      <c r="F1413" s="554"/>
      <c r="G1413" s="555"/>
      <c r="H1413" s="555"/>
      <c r="I1413" s="556"/>
    </row>
    <row r="1414" spans="6:9" x14ac:dyDescent="0.25">
      <c r="F1414" s="554"/>
      <c r="G1414" s="555"/>
      <c r="H1414" s="555"/>
      <c r="I1414" s="556"/>
    </row>
    <row r="1415" spans="6:9" x14ac:dyDescent="0.25">
      <c r="F1415" s="554"/>
      <c r="G1415" s="555"/>
      <c r="H1415" s="555"/>
      <c r="I1415" s="556"/>
    </row>
    <row r="1416" spans="6:9" x14ac:dyDescent="0.25">
      <c r="F1416" s="554"/>
      <c r="G1416" s="555"/>
      <c r="H1416" s="555"/>
      <c r="I1416" s="556"/>
    </row>
    <row r="1417" spans="6:9" x14ac:dyDescent="0.25">
      <c r="F1417" s="554"/>
      <c r="G1417" s="555"/>
      <c r="H1417" s="555"/>
      <c r="I1417" s="556"/>
    </row>
    <row r="1418" spans="6:9" x14ac:dyDescent="0.25">
      <c r="F1418" s="554"/>
      <c r="G1418" s="555"/>
      <c r="H1418" s="555"/>
      <c r="I1418" s="556"/>
    </row>
    <row r="1419" spans="6:9" x14ac:dyDescent="0.25">
      <c r="F1419" s="554"/>
      <c r="G1419" s="555"/>
      <c r="H1419" s="555"/>
      <c r="I1419" s="556"/>
    </row>
    <row r="1420" spans="6:9" x14ac:dyDescent="0.25">
      <c r="F1420" s="554"/>
      <c r="G1420" s="555"/>
      <c r="H1420" s="555"/>
      <c r="I1420" s="556"/>
    </row>
    <row r="1421" spans="6:9" x14ac:dyDescent="0.25">
      <c r="F1421" s="554"/>
      <c r="G1421" s="555"/>
      <c r="H1421" s="555"/>
      <c r="I1421" s="556"/>
    </row>
    <row r="1422" spans="6:9" x14ac:dyDescent="0.25">
      <c r="F1422" s="554"/>
      <c r="G1422" s="555"/>
      <c r="H1422" s="555"/>
      <c r="I1422" s="556"/>
    </row>
    <row r="1423" spans="6:9" x14ac:dyDescent="0.25">
      <c r="F1423" s="554"/>
      <c r="G1423" s="555"/>
      <c r="H1423" s="555"/>
      <c r="I1423" s="556"/>
    </row>
    <row r="1424" spans="6:9" x14ac:dyDescent="0.25">
      <c r="F1424" s="554"/>
      <c r="G1424" s="555"/>
      <c r="H1424" s="555"/>
      <c r="I1424" s="556"/>
    </row>
    <row r="1425" spans="6:9" x14ac:dyDescent="0.25">
      <c r="F1425" s="554"/>
      <c r="G1425" s="555"/>
      <c r="H1425" s="555"/>
      <c r="I1425" s="556"/>
    </row>
    <row r="1426" spans="6:9" x14ac:dyDescent="0.25">
      <c r="F1426" s="554"/>
      <c r="G1426" s="555"/>
      <c r="H1426" s="555"/>
      <c r="I1426" s="556"/>
    </row>
    <row r="1427" spans="6:9" x14ac:dyDescent="0.25">
      <c r="F1427" s="554"/>
      <c r="G1427" s="555"/>
      <c r="H1427" s="555"/>
      <c r="I1427" s="556"/>
    </row>
    <row r="1428" spans="6:9" x14ac:dyDescent="0.25">
      <c r="F1428" s="554"/>
      <c r="G1428" s="555"/>
      <c r="H1428" s="555"/>
      <c r="I1428" s="556"/>
    </row>
    <row r="1429" spans="6:9" x14ac:dyDescent="0.25">
      <c r="F1429" s="554"/>
      <c r="G1429" s="555"/>
      <c r="H1429" s="555"/>
      <c r="I1429" s="556"/>
    </row>
    <row r="1430" spans="6:9" x14ac:dyDescent="0.25">
      <c r="F1430" s="554"/>
      <c r="G1430" s="555"/>
      <c r="H1430" s="555"/>
      <c r="I1430" s="556"/>
    </row>
    <row r="1431" spans="6:9" x14ac:dyDescent="0.25">
      <c r="F1431" s="554"/>
      <c r="G1431" s="555"/>
      <c r="H1431" s="555"/>
      <c r="I1431" s="556"/>
    </row>
    <row r="1432" spans="6:9" x14ac:dyDescent="0.25">
      <c r="F1432" s="554"/>
      <c r="G1432" s="555"/>
      <c r="H1432" s="555"/>
      <c r="I1432" s="556"/>
    </row>
    <row r="1433" spans="6:9" x14ac:dyDescent="0.25">
      <c r="F1433" s="554"/>
      <c r="G1433" s="555"/>
      <c r="H1433" s="555"/>
      <c r="I1433" s="556"/>
    </row>
    <row r="1434" spans="6:9" x14ac:dyDescent="0.25">
      <c r="F1434" s="554"/>
      <c r="G1434" s="555"/>
      <c r="H1434" s="555"/>
      <c r="I1434" s="556"/>
    </row>
    <row r="1435" spans="6:9" x14ac:dyDescent="0.25">
      <c r="F1435" s="554"/>
      <c r="G1435" s="555"/>
      <c r="H1435" s="555"/>
      <c r="I1435" s="556"/>
    </row>
    <row r="1436" spans="6:9" x14ac:dyDescent="0.25">
      <c r="F1436" s="554"/>
      <c r="G1436" s="555"/>
      <c r="H1436" s="555"/>
      <c r="I1436" s="556"/>
    </row>
    <row r="1437" spans="6:9" x14ac:dyDescent="0.25">
      <c r="F1437" s="554"/>
      <c r="G1437" s="555"/>
      <c r="H1437" s="555"/>
      <c r="I1437" s="556"/>
    </row>
    <row r="1438" spans="6:9" x14ac:dyDescent="0.25">
      <c r="F1438" s="554"/>
      <c r="G1438" s="555"/>
      <c r="H1438" s="555"/>
      <c r="I1438" s="556"/>
    </row>
    <row r="1439" spans="6:9" x14ac:dyDescent="0.25">
      <c r="F1439" s="554"/>
      <c r="G1439" s="555"/>
      <c r="H1439" s="555"/>
      <c r="I1439" s="556"/>
    </row>
    <row r="1440" spans="6:9" x14ac:dyDescent="0.25">
      <c r="F1440" s="554"/>
      <c r="G1440" s="555"/>
      <c r="H1440" s="555"/>
      <c r="I1440" s="556"/>
    </row>
    <row r="1441" spans="6:9" x14ac:dyDescent="0.25">
      <c r="F1441" s="554"/>
      <c r="G1441" s="555"/>
      <c r="H1441" s="555"/>
      <c r="I1441" s="556"/>
    </row>
    <row r="1442" spans="6:9" x14ac:dyDescent="0.25">
      <c r="F1442" s="554"/>
      <c r="G1442" s="555"/>
      <c r="H1442" s="555"/>
      <c r="I1442" s="556"/>
    </row>
    <row r="1443" spans="6:9" x14ac:dyDescent="0.25">
      <c r="F1443" s="554"/>
      <c r="G1443" s="555"/>
      <c r="H1443" s="555"/>
      <c r="I1443" s="556"/>
    </row>
    <row r="1444" spans="6:9" x14ac:dyDescent="0.25">
      <c r="F1444" s="554"/>
      <c r="G1444" s="555"/>
      <c r="H1444" s="555"/>
      <c r="I1444" s="556"/>
    </row>
    <row r="1445" spans="6:9" x14ac:dyDescent="0.25">
      <c r="F1445" s="554"/>
      <c r="G1445" s="555"/>
      <c r="H1445" s="555"/>
      <c r="I1445" s="556"/>
    </row>
    <row r="1446" spans="6:9" x14ac:dyDescent="0.25">
      <c r="F1446" s="554"/>
      <c r="G1446" s="555"/>
      <c r="H1446" s="555"/>
      <c r="I1446" s="556"/>
    </row>
    <row r="1447" spans="6:9" x14ac:dyDescent="0.25">
      <c r="F1447" s="554"/>
      <c r="G1447" s="555"/>
      <c r="H1447" s="555"/>
      <c r="I1447" s="556"/>
    </row>
    <row r="1448" spans="6:9" x14ac:dyDescent="0.25">
      <c r="F1448" s="554"/>
      <c r="G1448" s="555"/>
      <c r="H1448" s="555"/>
      <c r="I1448" s="556"/>
    </row>
    <row r="1449" spans="6:9" x14ac:dyDescent="0.25">
      <c r="F1449" s="554"/>
      <c r="G1449" s="555"/>
      <c r="H1449" s="555"/>
      <c r="I1449" s="556"/>
    </row>
    <row r="1450" spans="6:9" x14ac:dyDescent="0.25">
      <c r="F1450" s="554"/>
      <c r="G1450" s="555"/>
      <c r="H1450" s="555"/>
      <c r="I1450" s="556"/>
    </row>
    <row r="1451" spans="6:9" x14ac:dyDescent="0.25">
      <c r="F1451" s="554"/>
      <c r="G1451" s="555"/>
      <c r="H1451" s="555"/>
      <c r="I1451" s="556"/>
    </row>
    <row r="1452" spans="6:9" x14ac:dyDescent="0.25">
      <c r="F1452" s="554"/>
      <c r="G1452" s="555"/>
      <c r="H1452" s="555"/>
      <c r="I1452" s="556"/>
    </row>
    <row r="1453" spans="6:9" x14ac:dyDescent="0.25">
      <c r="F1453" s="554"/>
      <c r="G1453" s="555"/>
      <c r="H1453" s="555"/>
      <c r="I1453" s="556"/>
    </row>
    <row r="1454" spans="6:9" x14ac:dyDescent="0.25">
      <c r="F1454" s="554"/>
      <c r="G1454" s="555"/>
      <c r="H1454" s="555"/>
      <c r="I1454" s="556"/>
    </row>
    <row r="1455" spans="6:9" x14ac:dyDescent="0.25">
      <c r="F1455" s="554"/>
      <c r="G1455" s="555"/>
      <c r="H1455" s="555"/>
      <c r="I1455" s="556"/>
    </row>
    <row r="1456" spans="6:9" x14ac:dyDescent="0.25">
      <c r="F1456" s="554"/>
      <c r="G1456" s="555"/>
      <c r="H1456" s="555"/>
      <c r="I1456" s="556"/>
    </row>
    <row r="1457" spans="6:9" x14ac:dyDescent="0.25">
      <c r="F1457" s="554"/>
      <c r="G1457" s="555"/>
      <c r="H1457" s="555"/>
      <c r="I1457" s="556"/>
    </row>
    <row r="1458" spans="6:9" x14ac:dyDescent="0.25">
      <c r="F1458" s="554"/>
      <c r="G1458" s="555"/>
      <c r="H1458" s="555"/>
      <c r="I1458" s="556"/>
    </row>
    <row r="1459" spans="6:9" x14ac:dyDescent="0.25">
      <c r="F1459" s="554"/>
      <c r="G1459" s="555"/>
      <c r="H1459" s="555"/>
      <c r="I1459" s="556"/>
    </row>
    <row r="1460" spans="6:9" x14ac:dyDescent="0.25">
      <c r="F1460" s="554"/>
      <c r="G1460" s="555"/>
      <c r="H1460" s="555"/>
      <c r="I1460" s="556"/>
    </row>
    <row r="1461" spans="6:9" x14ac:dyDescent="0.25">
      <c r="F1461" s="554"/>
      <c r="G1461" s="555"/>
      <c r="H1461" s="555"/>
      <c r="I1461" s="556"/>
    </row>
    <row r="1462" spans="6:9" x14ac:dyDescent="0.25">
      <c r="F1462" s="554"/>
      <c r="G1462" s="555"/>
      <c r="H1462" s="555"/>
      <c r="I1462" s="556"/>
    </row>
    <row r="1463" spans="6:9" x14ac:dyDescent="0.25">
      <c r="F1463" s="554"/>
      <c r="G1463" s="555"/>
      <c r="H1463" s="555"/>
      <c r="I1463" s="556"/>
    </row>
    <row r="1464" spans="6:9" x14ac:dyDescent="0.25">
      <c r="F1464" s="554"/>
      <c r="G1464" s="555"/>
      <c r="H1464" s="555"/>
      <c r="I1464" s="556"/>
    </row>
    <row r="1465" spans="6:9" x14ac:dyDescent="0.25">
      <c r="F1465" s="554"/>
      <c r="G1465" s="555"/>
      <c r="H1465" s="555"/>
      <c r="I1465" s="556"/>
    </row>
    <row r="1466" spans="6:9" x14ac:dyDescent="0.25">
      <c r="F1466" s="554"/>
      <c r="G1466" s="555"/>
      <c r="H1466" s="555"/>
      <c r="I1466" s="556"/>
    </row>
    <row r="1467" spans="6:9" x14ac:dyDescent="0.25">
      <c r="F1467" s="554"/>
      <c r="G1467" s="555"/>
      <c r="H1467" s="555"/>
      <c r="I1467" s="556"/>
    </row>
    <row r="1468" spans="6:9" x14ac:dyDescent="0.25">
      <c r="F1468" s="554"/>
      <c r="G1468" s="555"/>
      <c r="H1468" s="555"/>
      <c r="I1468" s="556"/>
    </row>
    <row r="1469" spans="6:9" x14ac:dyDescent="0.25">
      <c r="F1469" s="554"/>
      <c r="G1469" s="555"/>
      <c r="H1469" s="555"/>
      <c r="I1469" s="556"/>
    </row>
    <row r="1470" spans="6:9" x14ac:dyDescent="0.25">
      <c r="F1470" s="554"/>
      <c r="G1470" s="555"/>
      <c r="H1470" s="555"/>
      <c r="I1470" s="556"/>
    </row>
    <row r="1471" spans="6:9" x14ac:dyDescent="0.25">
      <c r="F1471" s="554"/>
      <c r="G1471" s="555"/>
      <c r="H1471" s="555"/>
      <c r="I1471" s="556"/>
    </row>
    <row r="1472" spans="6:9" x14ac:dyDescent="0.25">
      <c r="F1472" s="554"/>
      <c r="G1472" s="555"/>
      <c r="H1472" s="555"/>
      <c r="I1472" s="556"/>
    </row>
    <row r="1473" spans="6:9" x14ac:dyDescent="0.25">
      <c r="F1473" s="554"/>
      <c r="G1473" s="555"/>
      <c r="H1473" s="555"/>
      <c r="I1473" s="556"/>
    </row>
    <row r="1474" spans="6:9" x14ac:dyDescent="0.25">
      <c r="F1474" s="554"/>
      <c r="G1474" s="555"/>
      <c r="H1474" s="555"/>
      <c r="I1474" s="556"/>
    </row>
    <row r="1475" spans="6:9" x14ac:dyDescent="0.25">
      <c r="F1475" s="554"/>
      <c r="G1475" s="555"/>
      <c r="H1475" s="555"/>
      <c r="I1475" s="556"/>
    </row>
    <row r="1476" spans="6:9" x14ac:dyDescent="0.25">
      <c r="F1476" s="554"/>
      <c r="G1476" s="555"/>
      <c r="H1476" s="555"/>
      <c r="I1476" s="556"/>
    </row>
  </sheetData>
  <autoFilter ref="A8:W248" xr:uid="{00000000-0001-0000-0300-000000000000}">
    <filterColumn colId="1">
      <filters>
        <dateGroupItem year="2026" month="9" dateTimeGrouping="month"/>
      </filters>
    </filterColumn>
    <filterColumn colId="5" showButton="0"/>
    <filterColumn colId="6" showButton="0"/>
    <filterColumn colId="7" showButton="0"/>
    <filterColumn colId="9" showButton="0"/>
    <filterColumn colId="10" showButton="0"/>
    <filterColumn colId="12" showButton="0"/>
    <filterColumn colId="13" showButton="0"/>
    <filterColumn colId="14" showButton="0"/>
  </autoFilter>
  <mergeCells count="2953">
    <mergeCell ref="M199:P199"/>
    <mergeCell ref="M200:P200"/>
    <mergeCell ref="M201:P201"/>
    <mergeCell ref="M202:P202"/>
    <mergeCell ref="M203:P203"/>
    <mergeCell ref="M166:P166"/>
    <mergeCell ref="M167:P167"/>
    <mergeCell ref="M168:P168"/>
    <mergeCell ref="M169:P169"/>
    <mergeCell ref="M170:P170"/>
    <mergeCell ref="M171:P171"/>
    <mergeCell ref="M172:P172"/>
    <mergeCell ref="M117:P117"/>
    <mergeCell ref="M118:P118"/>
    <mergeCell ref="M145:P145"/>
    <mergeCell ref="M146:P146"/>
    <mergeCell ref="M147:P147"/>
    <mergeCell ref="M148:P148"/>
    <mergeCell ref="M149:P149"/>
    <mergeCell ref="M150:P150"/>
    <mergeCell ref="M151:P151"/>
    <mergeCell ref="M152:P152"/>
    <mergeCell ref="M153:P153"/>
    <mergeCell ref="M154:P154"/>
    <mergeCell ref="M155:P155"/>
    <mergeCell ref="M156:P156"/>
    <mergeCell ref="M157:P157"/>
    <mergeCell ref="M158:P158"/>
    <mergeCell ref="M159:P159"/>
    <mergeCell ref="M177:P177"/>
    <mergeCell ref="M178:P178"/>
    <mergeCell ref="M179:P179"/>
    <mergeCell ref="M91:P91"/>
    <mergeCell ref="M92:P92"/>
    <mergeCell ref="M102:P102"/>
    <mergeCell ref="M103:P103"/>
    <mergeCell ref="M104:P104"/>
    <mergeCell ref="M105:P105"/>
    <mergeCell ref="M106:P106"/>
    <mergeCell ref="M107:P107"/>
    <mergeCell ref="M108:P108"/>
    <mergeCell ref="M109:P109"/>
    <mergeCell ref="M110:P110"/>
    <mergeCell ref="M111:P111"/>
    <mergeCell ref="M112:P112"/>
    <mergeCell ref="M113:P113"/>
    <mergeCell ref="M114:P114"/>
    <mergeCell ref="M115:P115"/>
    <mergeCell ref="M116:P116"/>
    <mergeCell ref="M74:P74"/>
    <mergeCell ref="M75:P75"/>
    <mergeCell ref="M76:P76"/>
    <mergeCell ref="M77:P77"/>
    <mergeCell ref="M78:P78"/>
    <mergeCell ref="M79:P79"/>
    <mergeCell ref="M80:P80"/>
    <mergeCell ref="M81:P81"/>
    <mergeCell ref="M82:P82"/>
    <mergeCell ref="M83:P83"/>
    <mergeCell ref="M84:P84"/>
    <mergeCell ref="M85:P85"/>
    <mergeCell ref="M86:P86"/>
    <mergeCell ref="M87:P87"/>
    <mergeCell ref="M88:P88"/>
    <mergeCell ref="M89:P89"/>
    <mergeCell ref="M90:P90"/>
    <mergeCell ref="M42:P42"/>
    <mergeCell ref="M43:P43"/>
    <mergeCell ref="M59:P59"/>
    <mergeCell ref="M60:P60"/>
    <mergeCell ref="M61:P61"/>
    <mergeCell ref="M62:P62"/>
    <mergeCell ref="M63:P63"/>
    <mergeCell ref="M64:P64"/>
    <mergeCell ref="M65:P65"/>
    <mergeCell ref="M66:P66"/>
    <mergeCell ref="M67:P67"/>
    <mergeCell ref="M68:P68"/>
    <mergeCell ref="M69:P69"/>
    <mergeCell ref="M70:P70"/>
    <mergeCell ref="M71:P71"/>
    <mergeCell ref="M72:P72"/>
    <mergeCell ref="M73:P73"/>
    <mergeCell ref="M55:P55"/>
    <mergeCell ref="M56:P56"/>
    <mergeCell ref="M57:P57"/>
    <mergeCell ref="M58:P58"/>
    <mergeCell ref="M44:P44"/>
    <mergeCell ref="M45:P45"/>
    <mergeCell ref="M46:P46"/>
    <mergeCell ref="M47:P47"/>
    <mergeCell ref="M48:P48"/>
    <mergeCell ref="M49:P49"/>
    <mergeCell ref="M50:P50"/>
    <mergeCell ref="M51:P51"/>
    <mergeCell ref="M52:P52"/>
    <mergeCell ref="M53:P53"/>
    <mergeCell ref="M54:P54"/>
    <mergeCell ref="M25:P25"/>
    <mergeCell ref="M26:P26"/>
    <mergeCell ref="M27:P27"/>
    <mergeCell ref="M28:P28"/>
    <mergeCell ref="M29:P29"/>
    <mergeCell ref="M30:P30"/>
    <mergeCell ref="M31:P31"/>
    <mergeCell ref="M32:P32"/>
    <mergeCell ref="M33:P33"/>
    <mergeCell ref="M34:P34"/>
    <mergeCell ref="M35:P35"/>
    <mergeCell ref="M36:P36"/>
    <mergeCell ref="M37:P37"/>
    <mergeCell ref="M38:P38"/>
    <mergeCell ref="M39:P39"/>
    <mergeCell ref="M40:P40"/>
    <mergeCell ref="M41:P41"/>
    <mergeCell ref="J206:L206"/>
    <mergeCell ref="J207:L207"/>
    <mergeCell ref="J225:L225"/>
    <mergeCell ref="J226:L226"/>
    <mergeCell ref="J227:L227"/>
    <mergeCell ref="J228:L228"/>
    <mergeCell ref="J229:L229"/>
    <mergeCell ref="J230:L230"/>
    <mergeCell ref="J231:L231"/>
    <mergeCell ref="J232:L232"/>
    <mergeCell ref="J233:L233"/>
    <mergeCell ref="J234:L234"/>
    <mergeCell ref="J235:L235"/>
    <mergeCell ref="J236:L236"/>
    <mergeCell ref="J237:L237"/>
    <mergeCell ref="J238:L238"/>
    <mergeCell ref="M9:P9"/>
    <mergeCell ref="M10:P10"/>
    <mergeCell ref="M11:P11"/>
    <mergeCell ref="M12:P12"/>
    <mergeCell ref="M13:P13"/>
    <mergeCell ref="M14:P14"/>
    <mergeCell ref="M15:P15"/>
    <mergeCell ref="M16:P16"/>
    <mergeCell ref="M17:P17"/>
    <mergeCell ref="M18:P18"/>
    <mergeCell ref="M19:P19"/>
    <mergeCell ref="M20:P20"/>
    <mergeCell ref="M21:P21"/>
    <mergeCell ref="M22:P22"/>
    <mergeCell ref="M23:P23"/>
    <mergeCell ref="M24:P24"/>
    <mergeCell ref="J138:L138"/>
    <mergeCell ref="J139:L139"/>
    <mergeCell ref="J157:L157"/>
    <mergeCell ref="J158:L158"/>
    <mergeCell ref="J159:L159"/>
    <mergeCell ref="J160:L160"/>
    <mergeCell ref="J161:L161"/>
    <mergeCell ref="J162:L162"/>
    <mergeCell ref="J163:L163"/>
    <mergeCell ref="J164:L164"/>
    <mergeCell ref="J165:L165"/>
    <mergeCell ref="J166:L166"/>
    <mergeCell ref="J167:L167"/>
    <mergeCell ref="J168:L168"/>
    <mergeCell ref="J169:L169"/>
    <mergeCell ref="J170:L170"/>
    <mergeCell ref="J171:L171"/>
    <mergeCell ref="J140:L140"/>
    <mergeCell ref="J141:L141"/>
    <mergeCell ref="J89:L89"/>
    <mergeCell ref="J90:L90"/>
    <mergeCell ref="J91:L91"/>
    <mergeCell ref="J92:L92"/>
    <mergeCell ref="J93:L93"/>
    <mergeCell ref="J94:L94"/>
    <mergeCell ref="J95:L95"/>
    <mergeCell ref="J96:L96"/>
    <mergeCell ref="J97:L97"/>
    <mergeCell ref="J98:L98"/>
    <mergeCell ref="J99:L99"/>
    <mergeCell ref="J100:L100"/>
    <mergeCell ref="J101:L101"/>
    <mergeCell ref="J102:L102"/>
    <mergeCell ref="J103:L103"/>
    <mergeCell ref="J72:L72"/>
    <mergeCell ref="J73:L73"/>
    <mergeCell ref="J9:L9"/>
    <mergeCell ref="J10:L10"/>
    <mergeCell ref="J11:L11"/>
    <mergeCell ref="J12:L12"/>
    <mergeCell ref="J13:L13"/>
    <mergeCell ref="J14:L14"/>
    <mergeCell ref="J15:L15"/>
    <mergeCell ref="J16:L16"/>
    <mergeCell ref="J17:L17"/>
    <mergeCell ref="J18:L18"/>
    <mergeCell ref="J19:L19"/>
    <mergeCell ref="J20:L20"/>
    <mergeCell ref="J21:L21"/>
    <mergeCell ref="J22:L22"/>
    <mergeCell ref="J23:L23"/>
    <mergeCell ref="J24:L24"/>
    <mergeCell ref="J1144:K1144"/>
    <mergeCell ref="J1093:K1093"/>
    <mergeCell ref="J1094:K1094"/>
    <mergeCell ref="J1095:K1095"/>
    <mergeCell ref="J1096:K1096"/>
    <mergeCell ref="J1097:K1097"/>
    <mergeCell ref="J1098:K1098"/>
    <mergeCell ref="J1099:K1099"/>
    <mergeCell ref="J1100:K1100"/>
    <mergeCell ref="J1101:K1101"/>
    <mergeCell ref="J1102:K1102"/>
    <mergeCell ref="J1103:K1103"/>
    <mergeCell ref="J1104:K1104"/>
    <mergeCell ref="J1105:K1105"/>
    <mergeCell ref="J1106:K1106"/>
    <mergeCell ref="J1107:K1107"/>
    <mergeCell ref="J1110:K1110"/>
    <mergeCell ref="J1111:K1111"/>
    <mergeCell ref="J1112:K1112"/>
    <mergeCell ref="J1113:K1113"/>
    <mergeCell ref="J1114:K1114"/>
    <mergeCell ref="J1115:K1115"/>
    <mergeCell ref="J1116:K1116"/>
    <mergeCell ref="J1117:K1117"/>
    <mergeCell ref="J1118:K1118"/>
    <mergeCell ref="J1119:K1119"/>
    <mergeCell ref="J1120:K1120"/>
    <mergeCell ref="J1121:K1121"/>
    <mergeCell ref="J1122:K1122"/>
    <mergeCell ref="J1123:K1123"/>
    <mergeCell ref="J1124:K1124"/>
    <mergeCell ref="J1125:K1125"/>
    <mergeCell ref="J1126:K1126"/>
    <mergeCell ref="J1147:K1147"/>
    <mergeCell ref="J1148:K1148"/>
    <mergeCell ref="J1149:K1149"/>
    <mergeCell ref="J1150:K1150"/>
    <mergeCell ref="J1151:K1151"/>
    <mergeCell ref="J1127:K1127"/>
    <mergeCell ref="J1128:K1128"/>
    <mergeCell ref="J1129:K1129"/>
    <mergeCell ref="J1130:K1130"/>
    <mergeCell ref="J1131:K1131"/>
    <mergeCell ref="J1132:K1132"/>
    <mergeCell ref="J1133:K1133"/>
    <mergeCell ref="J1134:K1134"/>
    <mergeCell ref="J1135:K1135"/>
    <mergeCell ref="J1136:K1136"/>
    <mergeCell ref="J1137:K1137"/>
    <mergeCell ref="J1138:K1138"/>
    <mergeCell ref="J1139:K1139"/>
    <mergeCell ref="J1140:K1140"/>
    <mergeCell ref="J1141:K1141"/>
    <mergeCell ref="J1142:K1142"/>
    <mergeCell ref="J1143:K1143"/>
    <mergeCell ref="J1145:K1145"/>
    <mergeCell ref="J1146:K1146"/>
    <mergeCell ref="J1108:K1108"/>
    <mergeCell ref="J1109:K1109"/>
    <mergeCell ref="J1076:K1076"/>
    <mergeCell ref="J1077:K1077"/>
    <mergeCell ref="J1078:K1078"/>
    <mergeCell ref="J1079:K1079"/>
    <mergeCell ref="J1080:K1080"/>
    <mergeCell ref="J1081:K1081"/>
    <mergeCell ref="J1082:K1082"/>
    <mergeCell ref="J1083:K1083"/>
    <mergeCell ref="J1084:K1084"/>
    <mergeCell ref="J1085:K1085"/>
    <mergeCell ref="J1086:K1086"/>
    <mergeCell ref="J1087:K1087"/>
    <mergeCell ref="J1088:K1088"/>
    <mergeCell ref="J1089:K1089"/>
    <mergeCell ref="J1090:K1090"/>
    <mergeCell ref="J1091:K1091"/>
    <mergeCell ref="J1092:K1092"/>
    <mergeCell ref="J1059:K1059"/>
    <mergeCell ref="J1060:K1060"/>
    <mergeCell ref="J1061:K1061"/>
    <mergeCell ref="J1062:K1062"/>
    <mergeCell ref="J1063:K1063"/>
    <mergeCell ref="J1064:K1064"/>
    <mergeCell ref="J1065:K1065"/>
    <mergeCell ref="J1066:K1066"/>
    <mergeCell ref="J1067:K1067"/>
    <mergeCell ref="J1068:K1068"/>
    <mergeCell ref="J1069:K1069"/>
    <mergeCell ref="J1070:K1070"/>
    <mergeCell ref="J1071:K1071"/>
    <mergeCell ref="J1072:K1072"/>
    <mergeCell ref="J1073:K1073"/>
    <mergeCell ref="J1074:K1074"/>
    <mergeCell ref="J1075:K1075"/>
    <mergeCell ref="J1042:K1042"/>
    <mergeCell ref="J1043:K1043"/>
    <mergeCell ref="J1044:K1044"/>
    <mergeCell ref="J1045:K1045"/>
    <mergeCell ref="J1046:K1046"/>
    <mergeCell ref="J1047:K1047"/>
    <mergeCell ref="J1048:K1048"/>
    <mergeCell ref="J1049:K1049"/>
    <mergeCell ref="J1050:K1050"/>
    <mergeCell ref="J1051:K1051"/>
    <mergeCell ref="J1052:K1052"/>
    <mergeCell ref="J1053:K1053"/>
    <mergeCell ref="J1054:K1054"/>
    <mergeCell ref="J1055:K1055"/>
    <mergeCell ref="J1056:K1056"/>
    <mergeCell ref="J1057:K1057"/>
    <mergeCell ref="J1058:K1058"/>
    <mergeCell ref="J1025:K1025"/>
    <mergeCell ref="J1026:K1026"/>
    <mergeCell ref="J1027:K1027"/>
    <mergeCell ref="J1028:K1028"/>
    <mergeCell ref="J1029:K1029"/>
    <mergeCell ref="J1030:K1030"/>
    <mergeCell ref="J1031:K1031"/>
    <mergeCell ref="J1032:K1032"/>
    <mergeCell ref="J1033:K1033"/>
    <mergeCell ref="J1034:K1034"/>
    <mergeCell ref="J1035:K1035"/>
    <mergeCell ref="J1036:K1036"/>
    <mergeCell ref="J1037:K1037"/>
    <mergeCell ref="J1038:K1038"/>
    <mergeCell ref="J1039:K1039"/>
    <mergeCell ref="J1040:K1040"/>
    <mergeCell ref="J1041:K1041"/>
    <mergeCell ref="J1008:K1008"/>
    <mergeCell ref="J1009:K1009"/>
    <mergeCell ref="J1010:K1010"/>
    <mergeCell ref="J1011:K1011"/>
    <mergeCell ref="J1012:K1012"/>
    <mergeCell ref="J1013:K1013"/>
    <mergeCell ref="J1014:K1014"/>
    <mergeCell ref="J1015:K1015"/>
    <mergeCell ref="J1016:K1016"/>
    <mergeCell ref="J1017:K1017"/>
    <mergeCell ref="J1018:K1018"/>
    <mergeCell ref="J1019:K1019"/>
    <mergeCell ref="J1020:K1020"/>
    <mergeCell ref="J1021:K1021"/>
    <mergeCell ref="J1022:K1022"/>
    <mergeCell ref="J1023:K1023"/>
    <mergeCell ref="J1024:K1024"/>
    <mergeCell ref="J991:K991"/>
    <mergeCell ref="J992:K992"/>
    <mergeCell ref="J993:K993"/>
    <mergeCell ref="J994:K994"/>
    <mergeCell ref="J995:K995"/>
    <mergeCell ref="J996:K996"/>
    <mergeCell ref="J997:K997"/>
    <mergeCell ref="J998:K998"/>
    <mergeCell ref="J999:K999"/>
    <mergeCell ref="J1000:K1000"/>
    <mergeCell ref="J1001:K1001"/>
    <mergeCell ref="J1002:K1002"/>
    <mergeCell ref="J1003:K1003"/>
    <mergeCell ref="J1004:K1004"/>
    <mergeCell ref="J1005:K1005"/>
    <mergeCell ref="J1006:K1006"/>
    <mergeCell ref="J1007:K1007"/>
    <mergeCell ref="J974:K974"/>
    <mergeCell ref="J975:K975"/>
    <mergeCell ref="J976:K976"/>
    <mergeCell ref="J977:K977"/>
    <mergeCell ref="J978:K978"/>
    <mergeCell ref="J979:K979"/>
    <mergeCell ref="J980:K980"/>
    <mergeCell ref="J981:K981"/>
    <mergeCell ref="J982:K982"/>
    <mergeCell ref="J983:K983"/>
    <mergeCell ref="J984:K984"/>
    <mergeCell ref="J985:K985"/>
    <mergeCell ref="J986:K986"/>
    <mergeCell ref="J987:K987"/>
    <mergeCell ref="J988:K988"/>
    <mergeCell ref="J989:K989"/>
    <mergeCell ref="J990:K990"/>
    <mergeCell ref="J957:K957"/>
    <mergeCell ref="J958:K958"/>
    <mergeCell ref="J959:K959"/>
    <mergeCell ref="J960:K960"/>
    <mergeCell ref="J961:K961"/>
    <mergeCell ref="J962:K962"/>
    <mergeCell ref="J963:K963"/>
    <mergeCell ref="J964:K964"/>
    <mergeCell ref="J965:K965"/>
    <mergeCell ref="J966:K966"/>
    <mergeCell ref="J967:K967"/>
    <mergeCell ref="J968:K968"/>
    <mergeCell ref="J969:K969"/>
    <mergeCell ref="J970:K970"/>
    <mergeCell ref="J971:K971"/>
    <mergeCell ref="J972:K972"/>
    <mergeCell ref="J973:K973"/>
    <mergeCell ref="J940:K940"/>
    <mergeCell ref="J941:K941"/>
    <mergeCell ref="J942:K942"/>
    <mergeCell ref="J943:K943"/>
    <mergeCell ref="J944:K944"/>
    <mergeCell ref="J945:K945"/>
    <mergeCell ref="J946:K946"/>
    <mergeCell ref="J947:K947"/>
    <mergeCell ref="J948:K948"/>
    <mergeCell ref="J949:K949"/>
    <mergeCell ref="J950:K950"/>
    <mergeCell ref="J951:K951"/>
    <mergeCell ref="J952:K952"/>
    <mergeCell ref="J953:K953"/>
    <mergeCell ref="J954:K954"/>
    <mergeCell ref="J955:K955"/>
    <mergeCell ref="J956:K956"/>
    <mergeCell ref="J923:K923"/>
    <mergeCell ref="J924:K924"/>
    <mergeCell ref="J925:K925"/>
    <mergeCell ref="J926:K926"/>
    <mergeCell ref="J927:K927"/>
    <mergeCell ref="J928:K928"/>
    <mergeCell ref="J929:K929"/>
    <mergeCell ref="J930:K930"/>
    <mergeCell ref="J931:K931"/>
    <mergeCell ref="J932:K932"/>
    <mergeCell ref="J933:K933"/>
    <mergeCell ref="J934:K934"/>
    <mergeCell ref="J935:K935"/>
    <mergeCell ref="J936:K936"/>
    <mergeCell ref="J937:K937"/>
    <mergeCell ref="J938:K938"/>
    <mergeCell ref="J939:K939"/>
    <mergeCell ref="J906:K906"/>
    <mergeCell ref="J907:K907"/>
    <mergeCell ref="J908:K908"/>
    <mergeCell ref="J909:K909"/>
    <mergeCell ref="J910:K910"/>
    <mergeCell ref="J911:K911"/>
    <mergeCell ref="J912:K912"/>
    <mergeCell ref="J913:K913"/>
    <mergeCell ref="J914:K914"/>
    <mergeCell ref="J915:K915"/>
    <mergeCell ref="J916:K916"/>
    <mergeCell ref="J917:K917"/>
    <mergeCell ref="J918:K918"/>
    <mergeCell ref="J919:K919"/>
    <mergeCell ref="J920:K920"/>
    <mergeCell ref="J921:K921"/>
    <mergeCell ref="J922:K922"/>
    <mergeCell ref="J889:K889"/>
    <mergeCell ref="J890:K890"/>
    <mergeCell ref="J891:K891"/>
    <mergeCell ref="J892:K892"/>
    <mergeCell ref="J893:K893"/>
    <mergeCell ref="J894:K894"/>
    <mergeCell ref="J895:K895"/>
    <mergeCell ref="J896:K896"/>
    <mergeCell ref="J897:K897"/>
    <mergeCell ref="J898:K898"/>
    <mergeCell ref="J899:K899"/>
    <mergeCell ref="J900:K900"/>
    <mergeCell ref="J901:K901"/>
    <mergeCell ref="J902:K902"/>
    <mergeCell ref="J903:K903"/>
    <mergeCell ref="J904:K904"/>
    <mergeCell ref="J905:K905"/>
    <mergeCell ref="J872:K872"/>
    <mergeCell ref="J873:K873"/>
    <mergeCell ref="J874:K874"/>
    <mergeCell ref="J875:K875"/>
    <mergeCell ref="J876:K876"/>
    <mergeCell ref="J877:K877"/>
    <mergeCell ref="J878:K878"/>
    <mergeCell ref="J879:K879"/>
    <mergeCell ref="J880:K880"/>
    <mergeCell ref="J881:K881"/>
    <mergeCell ref="J882:K882"/>
    <mergeCell ref="J883:K883"/>
    <mergeCell ref="J884:K884"/>
    <mergeCell ref="J885:K885"/>
    <mergeCell ref="J886:K886"/>
    <mergeCell ref="J887:K887"/>
    <mergeCell ref="J888:K888"/>
    <mergeCell ref="J855:K855"/>
    <mergeCell ref="J856:K856"/>
    <mergeCell ref="J857:K857"/>
    <mergeCell ref="J858:K858"/>
    <mergeCell ref="J859:K859"/>
    <mergeCell ref="J860:K860"/>
    <mergeCell ref="J861:K861"/>
    <mergeCell ref="J862:K862"/>
    <mergeCell ref="J863:K863"/>
    <mergeCell ref="J864:K864"/>
    <mergeCell ref="J865:K865"/>
    <mergeCell ref="J866:K866"/>
    <mergeCell ref="J867:K867"/>
    <mergeCell ref="J868:K868"/>
    <mergeCell ref="J869:K869"/>
    <mergeCell ref="J870:K870"/>
    <mergeCell ref="J871:K871"/>
    <mergeCell ref="J838:K838"/>
    <mergeCell ref="J839:K839"/>
    <mergeCell ref="J840:K840"/>
    <mergeCell ref="J841:K841"/>
    <mergeCell ref="J842:K842"/>
    <mergeCell ref="J843:K843"/>
    <mergeCell ref="J844:K844"/>
    <mergeCell ref="J845:K845"/>
    <mergeCell ref="J846:K846"/>
    <mergeCell ref="J847:K847"/>
    <mergeCell ref="J848:K848"/>
    <mergeCell ref="J849:K849"/>
    <mergeCell ref="J850:K850"/>
    <mergeCell ref="J851:K851"/>
    <mergeCell ref="J852:K852"/>
    <mergeCell ref="J853:K853"/>
    <mergeCell ref="J854:K854"/>
    <mergeCell ref="J821:K821"/>
    <mergeCell ref="J822:K822"/>
    <mergeCell ref="J823:K823"/>
    <mergeCell ref="J824:K824"/>
    <mergeCell ref="J825:K825"/>
    <mergeCell ref="J826:K826"/>
    <mergeCell ref="J827:K827"/>
    <mergeCell ref="J828:K828"/>
    <mergeCell ref="J829:K829"/>
    <mergeCell ref="J830:K830"/>
    <mergeCell ref="J831:K831"/>
    <mergeCell ref="J832:K832"/>
    <mergeCell ref="J833:K833"/>
    <mergeCell ref="J834:K834"/>
    <mergeCell ref="J835:K835"/>
    <mergeCell ref="J836:K836"/>
    <mergeCell ref="J837:K837"/>
    <mergeCell ref="J804:K804"/>
    <mergeCell ref="J805:K805"/>
    <mergeCell ref="J806:K806"/>
    <mergeCell ref="J807:K807"/>
    <mergeCell ref="J808:K808"/>
    <mergeCell ref="J809:K809"/>
    <mergeCell ref="J810:K810"/>
    <mergeCell ref="J811:K811"/>
    <mergeCell ref="J812:K812"/>
    <mergeCell ref="J813:K813"/>
    <mergeCell ref="J814:K814"/>
    <mergeCell ref="J815:K815"/>
    <mergeCell ref="J816:K816"/>
    <mergeCell ref="J817:K817"/>
    <mergeCell ref="J818:K818"/>
    <mergeCell ref="J819:K819"/>
    <mergeCell ref="J820:K820"/>
    <mergeCell ref="J787:K787"/>
    <mergeCell ref="J788:K788"/>
    <mergeCell ref="J789:K789"/>
    <mergeCell ref="J790:K790"/>
    <mergeCell ref="J791:K791"/>
    <mergeCell ref="J792:K792"/>
    <mergeCell ref="J793:K793"/>
    <mergeCell ref="J794:K794"/>
    <mergeCell ref="J795:K795"/>
    <mergeCell ref="J796:K796"/>
    <mergeCell ref="J797:K797"/>
    <mergeCell ref="J798:K798"/>
    <mergeCell ref="J799:K799"/>
    <mergeCell ref="J800:K800"/>
    <mergeCell ref="J801:K801"/>
    <mergeCell ref="J802:K802"/>
    <mergeCell ref="J803:K803"/>
    <mergeCell ref="J770:K770"/>
    <mergeCell ref="J771:K771"/>
    <mergeCell ref="J772:K772"/>
    <mergeCell ref="J773:K773"/>
    <mergeCell ref="J774:K774"/>
    <mergeCell ref="J775:K775"/>
    <mergeCell ref="J776:K776"/>
    <mergeCell ref="J777:K777"/>
    <mergeCell ref="J778:K778"/>
    <mergeCell ref="J779:K779"/>
    <mergeCell ref="J780:K780"/>
    <mergeCell ref="J781:K781"/>
    <mergeCell ref="J782:K782"/>
    <mergeCell ref="J783:K783"/>
    <mergeCell ref="J784:K784"/>
    <mergeCell ref="J785:K785"/>
    <mergeCell ref="J786:K786"/>
    <mergeCell ref="J753:K753"/>
    <mergeCell ref="J754:K754"/>
    <mergeCell ref="J755:K755"/>
    <mergeCell ref="J756:K756"/>
    <mergeCell ref="J757:K757"/>
    <mergeCell ref="J758:K758"/>
    <mergeCell ref="J759:K759"/>
    <mergeCell ref="J760:K760"/>
    <mergeCell ref="J761:K761"/>
    <mergeCell ref="J762:K762"/>
    <mergeCell ref="J763:K763"/>
    <mergeCell ref="J764:K764"/>
    <mergeCell ref="J765:K765"/>
    <mergeCell ref="J766:K766"/>
    <mergeCell ref="J767:K767"/>
    <mergeCell ref="J768:K768"/>
    <mergeCell ref="J769:K769"/>
    <mergeCell ref="J736:K736"/>
    <mergeCell ref="J737:K737"/>
    <mergeCell ref="J738:K738"/>
    <mergeCell ref="J739:K739"/>
    <mergeCell ref="J740:K740"/>
    <mergeCell ref="J741:K741"/>
    <mergeCell ref="J742:K742"/>
    <mergeCell ref="J743:K743"/>
    <mergeCell ref="J744:K744"/>
    <mergeCell ref="J745:K745"/>
    <mergeCell ref="J746:K746"/>
    <mergeCell ref="J747:K747"/>
    <mergeCell ref="J748:K748"/>
    <mergeCell ref="J749:K749"/>
    <mergeCell ref="J750:K750"/>
    <mergeCell ref="J751:K751"/>
    <mergeCell ref="J752:K752"/>
    <mergeCell ref="J719:K719"/>
    <mergeCell ref="J720:K720"/>
    <mergeCell ref="J721:K721"/>
    <mergeCell ref="J722:K722"/>
    <mergeCell ref="J723:K723"/>
    <mergeCell ref="J724:K724"/>
    <mergeCell ref="J725:K725"/>
    <mergeCell ref="J726:K726"/>
    <mergeCell ref="J727:K727"/>
    <mergeCell ref="J728:K728"/>
    <mergeCell ref="J729:K729"/>
    <mergeCell ref="J730:K730"/>
    <mergeCell ref="J731:K731"/>
    <mergeCell ref="J732:K732"/>
    <mergeCell ref="J733:K733"/>
    <mergeCell ref="J734:K734"/>
    <mergeCell ref="J735:K735"/>
    <mergeCell ref="J702:K702"/>
    <mergeCell ref="J703:K703"/>
    <mergeCell ref="J704:K704"/>
    <mergeCell ref="J705:K705"/>
    <mergeCell ref="J706:K706"/>
    <mergeCell ref="J707:K707"/>
    <mergeCell ref="J708:K708"/>
    <mergeCell ref="J709:K709"/>
    <mergeCell ref="J710:K710"/>
    <mergeCell ref="J711:K711"/>
    <mergeCell ref="J712:K712"/>
    <mergeCell ref="J713:K713"/>
    <mergeCell ref="J714:K714"/>
    <mergeCell ref="J715:K715"/>
    <mergeCell ref="J716:K716"/>
    <mergeCell ref="J717:K717"/>
    <mergeCell ref="J718:K718"/>
    <mergeCell ref="J685:K685"/>
    <mergeCell ref="J686:K686"/>
    <mergeCell ref="J687:K687"/>
    <mergeCell ref="J688:K688"/>
    <mergeCell ref="J689:K689"/>
    <mergeCell ref="J690:K690"/>
    <mergeCell ref="J691:K691"/>
    <mergeCell ref="J692:K692"/>
    <mergeCell ref="J693:K693"/>
    <mergeCell ref="J694:K694"/>
    <mergeCell ref="J695:K695"/>
    <mergeCell ref="J696:K696"/>
    <mergeCell ref="J697:K697"/>
    <mergeCell ref="J698:K698"/>
    <mergeCell ref="J699:K699"/>
    <mergeCell ref="J700:K700"/>
    <mergeCell ref="J701:K701"/>
    <mergeCell ref="J668:K668"/>
    <mergeCell ref="J669:K669"/>
    <mergeCell ref="J670:K670"/>
    <mergeCell ref="J671:K671"/>
    <mergeCell ref="J672:K672"/>
    <mergeCell ref="J673:K673"/>
    <mergeCell ref="J674:K674"/>
    <mergeCell ref="J675:K675"/>
    <mergeCell ref="J676:K676"/>
    <mergeCell ref="J677:K677"/>
    <mergeCell ref="J678:K678"/>
    <mergeCell ref="J679:K679"/>
    <mergeCell ref="J680:K680"/>
    <mergeCell ref="J681:K681"/>
    <mergeCell ref="J682:K682"/>
    <mergeCell ref="J683:K683"/>
    <mergeCell ref="J684:K684"/>
    <mergeCell ref="J651:K651"/>
    <mergeCell ref="J652:K652"/>
    <mergeCell ref="J653:K653"/>
    <mergeCell ref="J654:K654"/>
    <mergeCell ref="J655:K655"/>
    <mergeCell ref="J656:K656"/>
    <mergeCell ref="J657:K657"/>
    <mergeCell ref="J658:K658"/>
    <mergeCell ref="J659:K659"/>
    <mergeCell ref="J660:K660"/>
    <mergeCell ref="J661:K661"/>
    <mergeCell ref="J662:K662"/>
    <mergeCell ref="J663:K663"/>
    <mergeCell ref="J664:K664"/>
    <mergeCell ref="J665:K665"/>
    <mergeCell ref="J666:K666"/>
    <mergeCell ref="J667:K667"/>
    <mergeCell ref="J634:K634"/>
    <mergeCell ref="J635:K635"/>
    <mergeCell ref="J636:K636"/>
    <mergeCell ref="J637:K637"/>
    <mergeCell ref="J638:K638"/>
    <mergeCell ref="J639:K639"/>
    <mergeCell ref="J640:K640"/>
    <mergeCell ref="J641:K641"/>
    <mergeCell ref="J642:K642"/>
    <mergeCell ref="J643:K643"/>
    <mergeCell ref="J644:K644"/>
    <mergeCell ref="J645:K645"/>
    <mergeCell ref="J646:K646"/>
    <mergeCell ref="J647:K647"/>
    <mergeCell ref="J648:K648"/>
    <mergeCell ref="J649:K649"/>
    <mergeCell ref="J650:K650"/>
    <mergeCell ref="J617:K617"/>
    <mergeCell ref="J618:K618"/>
    <mergeCell ref="J619:K619"/>
    <mergeCell ref="J620:K620"/>
    <mergeCell ref="J621:K621"/>
    <mergeCell ref="J622:K622"/>
    <mergeCell ref="J623:K623"/>
    <mergeCell ref="J624:K624"/>
    <mergeCell ref="J625:K625"/>
    <mergeCell ref="J626:K626"/>
    <mergeCell ref="J627:K627"/>
    <mergeCell ref="J628:K628"/>
    <mergeCell ref="J629:K629"/>
    <mergeCell ref="J630:K630"/>
    <mergeCell ref="J631:K631"/>
    <mergeCell ref="J632:K632"/>
    <mergeCell ref="J633:K633"/>
    <mergeCell ref="J600:K600"/>
    <mergeCell ref="J601:K601"/>
    <mergeCell ref="J602:K602"/>
    <mergeCell ref="J603:K603"/>
    <mergeCell ref="J604:K604"/>
    <mergeCell ref="J605:K605"/>
    <mergeCell ref="J606:K606"/>
    <mergeCell ref="J607:K607"/>
    <mergeCell ref="J608:K608"/>
    <mergeCell ref="J609:K609"/>
    <mergeCell ref="J610:K610"/>
    <mergeCell ref="J611:K611"/>
    <mergeCell ref="J612:K612"/>
    <mergeCell ref="J613:K613"/>
    <mergeCell ref="J614:K614"/>
    <mergeCell ref="J615:K615"/>
    <mergeCell ref="J616:K616"/>
    <mergeCell ref="J583:K583"/>
    <mergeCell ref="J584:K584"/>
    <mergeCell ref="J585:K585"/>
    <mergeCell ref="J586:K586"/>
    <mergeCell ref="J587:K587"/>
    <mergeCell ref="J588:K588"/>
    <mergeCell ref="J589:K589"/>
    <mergeCell ref="J590:K590"/>
    <mergeCell ref="J591:K591"/>
    <mergeCell ref="J592:K592"/>
    <mergeCell ref="J593:K593"/>
    <mergeCell ref="J594:K594"/>
    <mergeCell ref="J595:K595"/>
    <mergeCell ref="J596:K596"/>
    <mergeCell ref="J597:K597"/>
    <mergeCell ref="J598:K598"/>
    <mergeCell ref="J599:K599"/>
    <mergeCell ref="J566:K566"/>
    <mergeCell ref="J567:K567"/>
    <mergeCell ref="J568:K568"/>
    <mergeCell ref="J569:K569"/>
    <mergeCell ref="J570:K570"/>
    <mergeCell ref="J571:K571"/>
    <mergeCell ref="J572:K572"/>
    <mergeCell ref="J573:K573"/>
    <mergeCell ref="J574:K574"/>
    <mergeCell ref="J575:K575"/>
    <mergeCell ref="J576:K576"/>
    <mergeCell ref="J577:K577"/>
    <mergeCell ref="J578:K578"/>
    <mergeCell ref="J579:K579"/>
    <mergeCell ref="J580:K580"/>
    <mergeCell ref="J581:K581"/>
    <mergeCell ref="J582:K582"/>
    <mergeCell ref="J549:K549"/>
    <mergeCell ref="J550:K550"/>
    <mergeCell ref="J551:K551"/>
    <mergeCell ref="J552:K552"/>
    <mergeCell ref="J553:K553"/>
    <mergeCell ref="J554:K554"/>
    <mergeCell ref="J555:K555"/>
    <mergeCell ref="J556:K556"/>
    <mergeCell ref="J557:K557"/>
    <mergeCell ref="J558:K558"/>
    <mergeCell ref="J559:K559"/>
    <mergeCell ref="J560:K560"/>
    <mergeCell ref="J561:K561"/>
    <mergeCell ref="J562:K562"/>
    <mergeCell ref="J563:K563"/>
    <mergeCell ref="J564:K564"/>
    <mergeCell ref="J565:K565"/>
    <mergeCell ref="J532:K532"/>
    <mergeCell ref="J533:K533"/>
    <mergeCell ref="J534:K534"/>
    <mergeCell ref="J535:K535"/>
    <mergeCell ref="J536:K536"/>
    <mergeCell ref="J537:K537"/>
    <mergeCell ref="J538:K538"/>
    <mergeCell ref="J539:K539"/>
    <mergeCell ref="J540:K540"/>
    <mergeCell ref="J541:K541"/>
    <mergeCell ref="J542:K542"/>
    <mergeCell ref="J543:K543"/>
    <mergeCell ref="J544:K544"/>
    <mergeCell ref="J545:K545"/>
    <mergeCell ref="J546:K546"/>
    <mergeCell ref="J547:K547"/>
    <mergeCell ref="J548:K548"/>
    <mergeCell ref="J515:K515"/>
    <mergeCell ref="J516:K516"/>
    <mergeCell ref="J517:K517"/>
    <mergeCell ref="J518:K518"/>
    <mergeCell ref="J519:K519"/>
    <mergeCell ref="J520:K520"/>
    <mergeCell ref="J521:K521"/>
    <mergeCell ref="J522:K522"/>
    <mergeCell ref="J523:K523"/>
    <mergeCell ref="J524:K524"/>
    <mergeCell ref="J525:K525"/>
    <mergeCell ref="J526:K526"/>
    <mergeCell ref="J527:K527"/>
    <mergeCell ref="J528:K528"/>
    <mergeCell ref="J529:K529"/>
    <mergeCell ref="J530:K530"/>
    <mergeCell ref="J531:K531"/>
    <mergeCell ref="J498:K498"/>
    <mergeCell ref="J499:K499"/>
    <mergeCell ref="J500:K500"/>
    <mergeCell ref="J501:K501"/>
    <mergeCell ref="J502:K502"/>
    <mergeCell ref="J503:K503"/>
    <mergeCell ref="J504:K504"/>
    <mergeCell ref="J505:K505"/>
    <mergeCell ref="J506:K506"/>
    <mergeCell ref="J507:K507"/>
    <mergeCell ref="J508:K508"/>
    <mergeCell ref="J509:K509"/>
    <mergeCell ref="J510:K510"/>
    <mergeCell ref="J511:K511"/>
    <mergeCell ref="J512:K512"/>
    <mergeCell ref="J513:K513"/>
    <mergeCell ref="J514:K514"/>
    <mergeCell ref="J481:K481"/>
    <mergeCell ref="J482:K482"/>
    <mergeCell ref="J483:K483"/>
    <mergeCell ref="J484:K484"/>
    <mergeCell ref="J485:K485"/>
    <mergeCell ref="J486:K486"/>
    <mergeCell ref="J487:K487"/>
    <mergeCell ref="J488:K488"/>
    <mergeCell ref="J489:K489"/>
    <mergeCell ref="J490:K490"/>
    <mergeCell ref="J491:K491"/>
    <mergeCell ref="J492:K492"/>
    <mergeCell ref="J493:K493"/>
    <mergeCell ref="J494:K494"/>
    <mergeCell ref="J495:K495"/>
    <mergeCell ref="J496:K496"/>
    <mergeCell ref="J497:K497"/>
    <mergeCell ref="J464:K464"/>
    <mergeCell ref="J465:K465"/>
    <mergeCell ref="J466:K466"/>
    <mergeCell ref="J467:K467"/>
    <mergeCell ref="J468:K468"/>
    <mergeCell ref="J469:K469"/>
    <mergeCell ref="J470:K470"/>
    <mergeCell ref="J471:K471"/>
    <mergeCell ref="J472:K472"/>
    <mergeCell ref="J473:K473"/>
    <mergeCell ref="J474:K474"/>
    <mergeCell ref="J475:K475"/>
    <mergeCell ref="J476:K476"/>
    <mergeCell ref="J477:K477"/>
    <mergeCell ref="J478:K478"/>
    <mergeCell ref="J479:K479"/>
    <mergeCell ref="J480:K480"/>
    <mergeCell ref="J447:K447"/>
    <mergeCell ref="J448:K448"/>
    <mergeCell ref="J449:K449"/>
    <mergeCell ref="J450:K450"/>
    <mergeCell ref="J451:K451"/>
    <mergeCell ref="J452:K452"/>
    <mergeCell ref="J453:K453"/>
    <mergeCell ref="J454:K454"/>
    <mergeCell ref="J455:K455"/>
    <mergeCell ref="J456:K456"/>
    <mergeCell ref="J457:K457"/>
    <mergeCell ref="J458:K458"/>
    <mergeCell ref="J459:K459"/>
    <mergeCell ref="J460:K460"/>
    <mergeCell ref="J461:K461"/>
    <mergeCell ref="J462:K462"/>
    <mergeCell ref="J463:K463"/>
    <mergeCell ref="J430:K430"/>
    <mergeCell ref="J431:K431"/>
    <mergeCell ref="J432:K432"/>
    <mergeCell ref="J433:K433"/>
    <mergeCell ref="J434:K434"/>
    <mergeCell ref="J435:K435"/>
    <mergeCell ref="J436:K436"/>
    <mergeCell ref="J437:K437"/>
    <mergeCell ref="J438:K438"/>
    <mergeCell ref="J439:K439"/>
    <mergeCell ref="J440:K440"/>
    <mergeCell ref="J441:K441"/>
    <mergeCell ref="J442:K442"/>
    <mergeCell ref="J443:K443"/>
    <mergeCell ref="J444:K444"/>
    <mergeCell ref="J445:K445"/>
    <mergeCell ref="J446:K446"/>
    <mergeCell ref="J413:K413"/>
    <mergeCell ref="J414:K414"/>
    <mergeCell ref="J415:K415"/>
    <mergeCell ref="J416:K416"/>
    <mergeCell ref="J417:K417"/>
    <mergeCell ref="J418:K418"/>
    <mergeCell ref="J419:K419"/>
    <mergeCell ref="J420:K420"/>
    <mergeCell ref="J421:K421"/>
    <mergeCell ref="J422:K422"/>
    <mergeCell ref="J423:K423"/>
    <mergeCell ref="J424:K424"/>
    <mergeCell ref="J425:K425"/>
    <mergeCell ref="J426:K426"/>
    <mergeCell ref="J427:K427"/>
    <mergeCell ref="J428:K428"/>
    <mergeCell ref="J429:K429"/>
    <mergeCell ref="J396:K396"/>
    <mergeCell ref="J397:K397"/>
    <mergeCell ref="J398:K398"/>
    <mergeCell ref="J399:K399"/>
    <mergeCell ref="J400:K400"/>
    <mergeCell ref="J401:K401"/>
    <mergeCell ref="J402:K402"/>
    <mergeCell ref="J403:K403"/>
    <mergeCell ref="J404:K404"/>
    <mergeCell ref="J405:K405"/>
    <mergeCell ref="J406:K406"/>
    <mergeCell ref="J407:K407"/>
    <mergeCell ref="J408:K408"/>
    <mergeCell ref="J409:K409"/>
    <mergeCell ref="J410:K410"/>
    <mergeCell ref="J411:K411"/>
    <mergeCell ref="J412:K412"/>
    <mergeCell ref="J379:K379"/>
    <mergeCell ref="J380:K380"/>
    <mergeCell ref="J381:K381"/>
    <mergeCell ref="J382:K382"/>
    <mergeCell ref="J383:K383"/>
    <mergeCell ref="J384:K384"/>
    <mergeCell ref="J385:K385"/>
    <mergeCell ref="J386:K386"/>
    <mergeCell ref="J387:K387"/>
    <mergeCell ref="J388:K388"/>
    <mergeCell ref="J389:K389"/>
    <mergeCell ref="J390:K390"/>
    <mergeCell ref="J391:K391"/>
    <mergeCell ref="J392:K392"/>
    <mergeCell ref="J393:K393"/>
    <mergeCell ref="J394:K394"/>
    <mergeCell ref="J395:K395"/>
    <mergeCell ref="J362:K362"/>
    <mergeCell ref="J363:K363"/>
    <mergeCell ref="J364:K364"/>
    <mergeCell ref="J365:K365"/>
    <mergeCell ref="J366:K366"/>
    <mergeCell ref="J367:K367"/>
    <mergeCell ref="J368:K368"/>
    <mergeCell ref="J369:K369"/>
    <mergeCell ref="J370:K370"/>
    <mergeCell ref="J371:K371"/>
    <mergeCell ref="J372:K372"/>
    <mergeCell ref="J373:K373"/>
    <mergeCell ref="J374:K374"/>
    <mergeCell ref="J375:K375"/>
    <mergeCell ref="J376:K376"/>
    <mergeCell ref="J377:K377"/>
    <mergeCell ref="J378:K378"/>
    <mergeCell ref="J345:K345"/>
    <mergeCell ref="J346:K346"/>
    <mergeCell ref="J347:K347"/>
    <mergeCell ref="J348:K348"/>
    <mergeCell ref="J349:K349"/>
    <mergeCell ref="J350:K350"/>
    <mergeCell ref="J351:K351"/>
    <mergeCell ref="J352:K352"/>
    <mergeCell ref="J353:K353"/>
    <mergeCell ref="J354:K354"/>
    <mergeCell ref="J355:K355"/>
    <mergeCell ref="J356:K356"/>
    <mergeCell ref="J357:K357"/>
    <mergeCell ref="J358:K358"/>
    <mergeCell ref="J359:K359"/>
    <mergeCell ref="J360:K360"/>
    <mergeCell ref="J361:K361"/>
    <mergeCell ref="J252:K252"/>
    <mergeCell ref="J253:K253"/>
    <mergeCell ref="J254:K254"/>
    <mergeCell ref="J255:K255"/>
    <mergeCell ref="J256:K256"/>
    <mergeCell ref="J257:K257"/>
    <mergeCell ref="J258:K258"/>
    <mergeCell ref="J259:K259"/>
    <mergeCell ref="J260:K260"/>
    <mergeCell ref="J261:K261"/>
    <mergeCell ref="J262:K262"/>
    <mergeCell ref="J339:K339"/>
    <mergeCell ref="J340:K340"/>
    <mergeCell ref="J341:K341"/>
    <mergeCell ref="J342:K342"/>
    <mergeCell ref="J343:K343"/>
    <mergeCell ref="J344:K344"/>
    <mergeCell ref="J280:K280"/>
    <mergeCell ref="J278:K278"/>
    <mergeCell ref="J299:K299"/>
    <mergeCell ref="J300:K300"/>
    <mergeCell ref="J301:K301"/>
    <mergeCell ref="J302:K302"/>
    <mergeCell ref="J283:K283"/>
    <mergeCell ref="J284:K284"/>
    <mergeCell ref="J285:K285"/>
    <mergeCell ref="J286:K286"/>
    <mergeCell ref="J287:K287"/>
    <mergeCell ref="J288:K288"/>
    <mergeCell ref="J289:K289"/>
    <mergeCell ref="J311:K311"/>
    <mergeCell ref="J312:K312"/>
    <mergeCell ref="J249:K249"/>
    <mergeCell ref="J250:K250"/>
    <mergeCell ref="J251:K251"/>
    <mergeCell ref="J210:L210"/>
    <mergeCell ref="J211:L211"/>
    <mergeCell ref="J212:L212"/>
    <mergeCell ref="J213:L213"/>
    <mergeCell ref="J214:L214"/>
    <mergeCell ref="J215:L215"/>
    <mergeCell ref="J216:L216"/>
    <mergeCell ref="J217:L217"/>
    <mergeCell ref="J218:L218"/>
    <mergeCell ref="J219:L219"/>
    <mergeCell ref="J220:L220"/>
    <mergeCell ref="J221:L221"/>
    <mergeCell ref="J222:L222"/>
    <mergeCell ref="J223:L223"/>
    <mergeCell ref="J224:L224"/>
    <mergeCell ref="J208:L208"/>
    <mergeCell ref="J209:L209"/>
    <mergeCell ref="J176:L176"/>
    <mergeCell ref="J177:L177"/>
    <mergeCell ref="J178:L178"/>
    <mergeCell ref="J179:L179"/>
    <mergeCell ref="J180:L180"/>
    <mergeCell ref="J181:L181"/>
    <mergeCell ref="J182:L182"/>
    <mergeCell ref="J183:L183"/>
    <mergeCell ref="J184:L184"/>
    <mergeCell ref="J185:L185"/>
    <mergeCell ref="J186:L186"/>
    <mergeCell ref="J187:L187"/>
    <mergeCell ref="J188:L188"/>
    <mergeCell ref="J189:L189"/>
    <mergeCell ref="J190:L190"/>
    <mergeCell ref="J191:L191"/>
    <mergeCell ref="J192:L192"/>
    <mergeCell ref="J193:L193"/>
    <mergeCell ref="J194:L194"/>
    <mergeCell ref="J195:L195"/>
    <mergeCell ref="J196:L196"/>
    <mergeCell ref="J197:L197"/>
    <mergeCell ref="J198:L198"/>
    <mergeCell ref="J199:L199"/>
    <mergeCell ref="J200:L200"/>
    <mergeCell ref="J201:L201"/>
    <mergeCell ref="J202:L202"/>
    <mergeCell ref="J203:L203"/>
    <mergeCell ref="J204:L204"/>
    <mergeCell ref="J205:L205"/>
    <mergeCell ref="J174:L174"/>
    <mergeCell ref="J175:L175"/>
    <mergeCell ref="J142:L142"/>
    <mergeCell ref="J143:L143"/>
    <mergeCell ref="J144:L144"/>
    <mergeCell ref="J145:L145"/>
    <mergeCell ref="J146:L146"/>
    <mergeCell ref="J147:L147"/>
    <mergeCell ref="J148:L148"/>
    <mergeCell ref="J149:L149"/>
    <mergeCell ref="J150:L150"/>
    <mergeCell ref="J151:L151"/>
    <mergeCell ref="J152:L152"/>
    <mergeCell ref="J153:L153"/>
    <mergeCell ref="J154:L154"/>
    <mergeCell ref="J155:L155"/>
    <mergeCell ref="J156:L156"/>
    <mergeCell ref="J172:L172"/>
    <mergeCell ref="J173:L173"/>
    <mergeCell ref="J129:L129"/>
    <mergeCell ref="J130:L130"/>
    <mergeCell ref="J131:L131"/>
    <mergeCell ref="J132:L132"/>
    <mergeCell ref="J133:L133"/>
    <mergeCell ref="J134:L134"/>
    <mergeCell ref="J135:L135"/>
    <mergeCell ref="J136:L136"/>
    <mergeCell ref="J137:L137"/>
    <mergeCell ref="J106:L106"/>
    <mergeCell ref="J107:L107"/>
    <mergeCell ref="J74:L74"/>
    <mergeCell ref="J75:L75"/>
    <mergeCell ref="J76:L76"/>
    <mergeCell ref="J77:L77"/>
    <mergeCell ref="J78:L78"/>
    <mergeCell ref="J79:L79"/>
    <mergeCell ref="J80:L80"/>
    <mergeCell ref="J81:L81"/>
    <mergeCell ref="J82:L82"/>
    <mergeCell ref="J83:L83"/>
    <mergeCell ref="J84:L84"/>
    <mergeCell ref="J85:L85"/>
    <mergeCell ref="J86:L86"/>
    <mergeCell ref="J87:L87"/>
    <mergeCell ref="J88:L88"/>
    <mergeCell ref="J104:L104"/>
    <mergeCell ref="J105:L105"/>
    <mergeCell ref="J108:L108"/>
    <mergeCell ref="J109:L109"/>
    <mergeCell ref="J110:L110"/>
    <mergeCell ref="J111:L111"/>
    <mergeCell ref="J44:L44"/>
    <mergeCell ref="J45:L45"/>
    <mergeCell ref="J46:L46"/>
    <mergeCell ref="J47:L47"/>
    <mergeCell ref="J48:L48"/>
    <mergeCell ref="J49:L49"/>
    <mergeCell ref="J50:L50"/>
    <mergeCell ref="J51:L51"/>
    <mergeCell ref="J52:L52"/>
    <mergeCell ref="J53:L53"/>
    <mergeCell ref="J54:L54"/>
    <mergeCell ref="J55:L55"/>
    <mergeCell ref="J56:L56"/>
    <mergeCell ref="J125:L125"/>
    <mergeCell ref="J126:L126"/>
    <mergeCell ref="J127:L127"/>
    <mergeCell ref="J128:L128"/>
    <mergeCell ref="J112:L112"/>
    <mergeCell ref="J113:L113"/>
    <mergeCell ref="J114:L114"/>
    <mergeCell ref="J115:L115"/>
    <mergeCell ref="J116:L116"/>
    <mergeCell ref="J117:L117"/>
    <mergeCell ref="J118:L118"/>
    <mergeCell ref="J119:L119"/>
    <mergeCell ref="J120:L120"/>
    <mergeCell ref="J121:L121"/>
    <mergeCell ref="J122:L122"/>
    <mergeCell ref="J123:L123"/>
    <mergeCell ref="J124:L124"/>
    <mergeCell ref="J70:L70"/>
    <mergeCell ref="J71:L71"/>
    <mergeCell ref="J57:L57"/>
    <mergeCell ref="J58:L58"/>
    <mergeCell ref="J59:L59"/>
    <mergeCell ref="J60:L60"/>
    <mergeCell ref="J61:L61"/>
    <mergeCell ref="J62:L62"/>
    <mergeCell ref="J63:L63"/>
    <mergeCell ref="J64:L64"/>
    <mergeCell ref="J65:L65"/>
    <mergeCell ref="J66:L66"/>
    <mergeCell ref="J67:L67"/>
    <mergeCell ref="J68:L68"/>
    <mergeCell ref="J69:L69"/>
    <mergeCell ref="J25:L25"/>
    <mergeCell ref="J26:L26"/>
    <mergeCell ref="J27:L27"/>
    <mergeCell ref="J28:L28"/>
    <mergeCell ref="J29:L29"/>
    <mergeCell ref="J30:L30"/>
    <mergeCell ref="J31:L31"/>
    <mergeCell ref="J32:L32"/>
    <mergeCell ref="J33:L33"/>
    <mergeCell ref="J34:L34"/>
    <mergeCell ref="J35:L35"/>
    <mergeCell ref="J36:L36"/>
    <mergeCell ref="J37:L37"/>
    <mergeCell ref="J38:L38"/>
    <mergeCell ref="J39:L39"/>
    <mergeCell ref="J40:L40"/>
    <mergeCell ref="J41:L41"/>
    <mergeCell ref="J42:L42"/>
    <mergeCell ref="J43:L43"/>
    <mergeCell ref="F1435:I1435"/>
    <mergeCell ref="F1436:I1436"/>
    <mergeCell ref="F1437:I1437"/>
    <mergeCell ref="F1438:I1438"/>
    <mergeCell ref="F1439:I1439"/>
    <mergeCell ref="F1440:I1440"/>
    <mergeCell ref="F1441:I1441"/>
    <mergeCell ref="F1442:I1442"/>
    <mergeCell ref="F1443:I1443"/>
    <mergeCell ref="F1444:I1444"/>
    <mergeCell ref="F1445:I1445"/>
    <mergeCell ref="F1446:I1446"/>
    <mergeCell ref="F1447:I1447"/>
    <mergeCell ref="F1448:I1448"/>
    <mergeCell ref="F1449:I1449"/>
    <mergeCell ref="F1450:I1450"/>
    <mergeCell ref="F1451:I1451"/>
    <mergeCell ref="F1471:I1471"/>
    <mergeCell ref="F1472:I1472"/>
    <mergeCell ref="F1473:I1473"/>
    <mergeCell ref="F1474:I1474"/>
    <mergeCell ref="F1475:I1475"/>
    <mergeCell ref="F1476:I1476"/>
    <mergeCell ref="F1452:I1452"/>
    <mergeCell ref="F1453:I1453"/>
    <mergeCell ref="F1454:I1454"/>
    <mergeCell ref="F1455:I1455"/>
    <mergeCell ref="F1456:I1456"/>
    <mergeCell ref="F1457:I1457"/>
    <mergeCell ref="F1458:I1458"/>
    <mergeCell ref="F1459:I1459"/>
    <mergeCell ref="F1460:I1460"/>
    <mergeCell ref="F1461:I1461"/>
    <mergeCell ref="F1462:I1462"/>
    <mergeCell ref="F1463:I1463"/>
    <mergeCell ref="F1464:I1464"/>
    <mergeCell ref="F1465:I1465"/>
    <mergeCell ref="F1466:I1466"/>
    <mergeCell ref="F1467:I1467"/>
    <mergeCell ref="F1468:I1468"/>
    <mergeCell ref="F1469:I1469"/>
    <mergeCell ref="F1470:I1470"/>
    <mergeCell ref="F1418:I1418"/>
    <mergeCell ref="F1419:I1419"/>
    <mergeCell ref="F1420:I1420"/>
    <mergeCell ref="F1421:I1421"/>
    <mergeCell ref="F1422:I1422"/>
    <mergeCell ref="F1423:I1423"/>
    <mergeCell ref="F1424:I1424"/>
    <mergeCell ref="F1425:I1425"/>
    <mergeCell ref="F1426:I1426"/>
    <mergeCell ref="F1427:I1427"/>
    <mergeCell ref="F1428:I1428"/>
    <mergeCell ref="F1429:I1429"/>
    <mergeCell ref="F1430:I1430"/>
    <mergeCell ref="F1431:I1431"/>
    <mergeCell ref="F1432:I1432"/>
    <mergeCell ref="F1433:I1433"/>
    <mergeCell ref="F1434:I1434"/>
    <mergeCell ref="F1401:I1401"/>
    <mergeCell ref="F1402:I1402"/>
    <mergeCell ref="F1403:I1403"/>
    <mergeCell ref="F1404:I1404"/>
    <mergeCell ref="F1405:I1405"/>
    <mergeCell ref="F1406:I1406"/>
    <mergeCell ref="F1407:I1407"/>
    <mergeCell ref="F1408:I1408"/>
    <mergeCell ref="F1409:I1409"/>
    <mergeCell ref="F1410:I1410"/>
    <mergeCell ref="F1411:I1411"/>
    <mergeCell ref="F1412:I1412"/>
    <mergeCell ref="F1413:I1413"/>
    <mergeCell ref="F1414:I1414"/>
    <mergeCell ref="F1415:I1415"/>
    <mergeCell ref="F1416:I1416"/>
    <mergeCell ref="F1417:I1417"/>
    <mergeCell ref="F1384:I1384"/>
    <mergeCell ref="F1385:I1385"/>
    <mergeCell ref="F1386:I1386"/>
    <mergeCell ref="F1387:I1387"/>
    <mergeCell ref="F1388:I1388"/>
    <mergeCell ref="F1389:I1389"/>
    <mergeCell ref="F1390:I1390"/>
    <mergeCell ref="F1391:I1391"/>
    <mergeCell ref="F1392:I1392"/>
    <mergeCell ref="F1393:I1393"/>
    <mergeCell ref="F1394:I1394"/>
    <mergeCell ref="F1395:I1395"/>
    <mergeCell ref="F1396:I1396"/>
    <mergeCell ref="F1397:I1397"/>
    <mergeCell ref="F1398:I1398"/>
    <mergeCell ref="F1399:I1399"/>
    <mergeCell ref="F1400:I1400"/>
    <mergeCell ref="F1367:I1367"/>
    <mergeCell ref="F1368:I1368"/>
    <mergeCell ref="F1369:I1369"/>
    <mergeCell ref="F1370:I1370"/>
    <mergeCell ref="F1371:I1371"/>
    <mergeCell ref="F1372:I1372"/>
    <mergeCell ref="F1373:I1373"/>
    <mergeCell ref="F1374:I1374"/>
    <mergeCell ref="F1375:I1375"/>
    <mergeCell ref="F1376:I1376"/>
    <mergeCell ref="F1377:I1377"/>
    <mergeCell ref="F1378:I1378"/>
    <mergeCell ref="F1379:I1379"/>
    <mergeCell ref="F1380:I1380"/>
    <mergeCell ref="F1381:I1381"/>
    <mergeCell ref="F1382:I1382"/>
    <mergeCell ref="F1383:I1383"/>
    <mergeCell ref="F1350:I1350"/>
    <mergeCell ref="F1351:I1351"/>
    <mergeCell ref="F1352:I1352"/>
    <mergeCell ref="F1353:I1353"/>
    <mergeCell ref="F1354:I1354"/>
    <mergeCell ref="F1355:I1355"/>
    <mergeCell ref="F1356:I1356"/>
    <mergeCell ref="F1357:I1357"/>
    <mergeCell ref="F1358:I1358"/>
    <mergeCell ref="F1359:I1359"/>
    <mergeCell ref="F1360:I1360"/>
    <mergeCell ref="F1361:I1361"/>
    <mergeCell ref="F1362:I1362"/>
    <mergeCell ref="F1363:I1363"/>
    <mergeCell ref="F1364:I1364"/>
    <mergeCell ref="F1365:I1365"/>
    <mergeCell ref="F1366:I1366"/>
    <mergeCell ref="F1333:I1333"/>
    <mergeCell ref="F1334:I1334"/>
    <mergeCell ref="F1335:I1335"/>
    <mergeCell ref="F1336:I1336"/>
    <mergeCell ref="F1337:I1337"/>
    <mergeCell ref="F1338:I1338"/>
    <mergeCell ref="F1339:I1339"/>
    <mergeCell ref="F1340:I1340"/>
    <mergeCell ref="F1341:I1341"/>
    <mergeCell ref="F1342:I1342"/>
    <mergeCell ref="F1343:I1343"/>
    <mergeCell ref="F1344:I1344"/>
    <mergeCell ref="F1345:I1345"/>
    <mergeCell ref="F1346:I1346"/>
    <mergeCell ref="F1347:I1347"/>
    <mergeCell ref="F1348:I1348"/>
    <mergeCell ref="F1349:I1349"/>
    <mergeCell ref="F1316:I1316"/>
    <mergeCell ref="F1317:I1317"/>
    <mergeCell ref="F1318:I1318"/>
    <mergeCell ref="F1319:I1319"/>
    <mergeCell ref="F1320:I1320"/>
    <mergeCell ref="F1321:I1321"/>
    <mergeCell ref="F1322:I1322"/>
    <mergeCell ref="F1323:I1323"/>
    <mergeCell ref="F1324:I1324"/>
    <mergeCell ref="F1325:I1325"/>
    <mergeCell ref="F1326:I1326"/>
    <mergeCell ref="F1327:I1327"/>
    <mergeCell ref="F1328:I1328"/>
    <mergeCell ref="F1329:I1329"/>
    <mergeCell ref="F1330:I1330"/>
    <mergeCell ref="F1331:I1331"/>
    <mergeCell ref="F1332:I1332"/>
    <mergeCell ref="F1299:I1299"/>
    <mergeCell ref="F1300:I1300"/>
    <mergeCell ref="F1301:I1301"/>
    <mergeCell ref="F1302:I1302"/>
    <mergeCell ref="F1303:I1303"/>
    <mergeCell ref="F1304:I1304"/>
    <mergeCell ref="F1305:I1305"/>
    <mergeCell ref="F1306:I1306"/>
    <mergeCell ref="F1307:I1307"/>
    <mergeCell ref="F1308:I1308"/>
    <mergeCell ref="F1309:I1309"/>
    <mergeCell ref="F1310:I1310"/>
    <mergeCell ref="F1311:I1311"/>
    <mergeCell ref="F1312:I1312"/>
    <mergeCell ref="F1313:I1313"/>
    <mergeCell ref="F1314:I1314"/>
    <mergeCell ref="F1315:I1315"/>
    <mergeCell ref="F1282:I1282"/>
    <mergeCell ref="F1283:I1283"/>
    <mergeCell ref="F1284:I1284"/>
    <mergeCell ref="F1285:I1285"/>
    <mergeCell ref="F1286:I1286"/>
    <mergeCell ref="F1287:I1287"/>
    <mergeCell ref="F1288:I1288"/>
    <mergeCell ref="F1289:I1289"/>
    <mergeCell ref="F1290:I1290"/>
    <mergeCell ref="F1291:I1291"/>
    <mergeCell ref="F1292:I1292"/>
    <mergeCell ref="F1293:I1293"/>
    <mergeCell ref="F1294:I1294"/>
    <mergeCell ref="F1295:I1295"/>
    <mergeCell ref="F1296:I1296"/>
    <mergeCell ref="F1297:I1297"/>
    <mergeCell ref="F1298:I1298"/>
    <mergeCell ref="F1265:I1265"/>
    <mergeCell ref="F1266:I1266"/>
    <mergeCell ref="F1267:I1267"/>
    <mergeCell ref="F1268:I1268"/>
    <mergeCell ref="F1269:I1269"/>
    <mergeCell ref="F1270:I1270"/>
    <mergeCell ref="F1271:I1271"/>
    <mergeCell ref="F1272:I1272"/>
    <mergeCell ref="F1273:I1273"/>
    <mergeCell ref="F1274:I1274"/>
    <mergeCell ref="F1275:I1275"/>
    <mergeCell ref="F1276:I1276"/>
    <mergeCell ref="F1277:I1277"/>
    <mergeCell ref="F1278:I1278"/>
    <mergeCell ref="F1279:I1279"/>
    <mergeCell ref="F1280:I1280"/>
    <mergeCell ref="F1281:I1281"/>
    <mergeCell ref="F1248:I1248"/>
    <mergeCell ref="F1249:I1249"/>
    <mergeCell ref="F1250:I1250"/>
    <mergeCell ref="F1251:I1251"/>
    <mergeCell ref="F1252:I1252"/>
    <mergeCell ref="F1253:I1253"/>
    <mergeCell ref="F1254:I1254"/>
    <mergeCell ref="F1255:I1255"/>
    <mergeCell ref="F1256:I1256"/>
    <mergeCell ref="F1257:I1257"/>
    <mergeCell ref="F1258:I1258"/>
    <mergeCell ref="F1259:I1259"/>
    <mergeCell ref="F1260:I1260"/>
    <mergeCell ref="F1261:I1261"/>
    <mergeCell ref="F1262:I1262"/>
    <mergeCell ref="F1263:I1263"/>
    <mergeCell ref="F1264:I1264"/>
    <mergeCell ref="F1231:I1231"/>
    <mergeCell ref="F1232:I1232"/>
    <mergeCell ref="F1233:I1233"/>
    <mergeCell ref="F1234:I1234"/>
    <mergeCell ref="F1235:I1235"/>
    <mergeCell ref="F1236:I1236"/>
    <mergeCell ref="F1237:I1237"/>
    <mergeCell ref="F1238:I1238"/>
    <mergeCell ref="F1239:I1239"/>
    <mergeCell ref="F1240:I1240"/>
    <mergeCell ref="F1241:I1241"/>
    <mergeCell ref="F1242:I1242"/>
    <mergeCell ref="F1243:I1243"/>
    <mergeCell ref="F1244:I1244"/>
    <mergeCell ref="F1245:I1245"/>
    <mergeCell ref="F1246:I1246"/>
    <mergeCell ref="F1247:I1247"/>
    <mergeCell ref="F1214:I1214"/>
    <mergeCell ref="F1215:I1215"/>
    <mergeCell ref="F1216:I1216"/>
    <mergeCell ref="F1217:I1217"/>
    <mergeCell ref="F1218:I1218"/>
    <mergeCell ref="F1219:I1219"/>
    <mergeCell ref="F1220:I1220"/>
    <mergeCell ref="F1221:I1221"/>
    <mergeCell ref="F1222:I1222"/>
    <mergeCell ref="F1223:I1223"/>
    <mergeCell ref="F1224:I1224"/>
    <mergeCell ref="F1225:I1225"/>
    <mergeCell ref="F1226:I1226"/>
    <mergeCell ref="F1227:I1227"/>
    <mergeCell ref="F1228:I1228"/>
    <mergeCell ref="F1229:I1229"/>
    <mergeCell ref="F1230:I1230"/>
    <mergeCell ref="F1197:I1197"/>
    <mergeCell ref="F1198:I1198"/>
    <mergeCell ref="F1199:I1199"/>
    <mergeCell ref="F1200:I1200"/>
    <mergeCell ref="F1201:I1201"/>
    <mergeCell ref="F1202:I1202"/>
    <mergeCell ref="F1203:I1203"/>
    <mergeCell ref="F1204:I1204"/>
    <mergeCell ref="F1205:I1205"/>
    <mergeCell ref="F1206:I1206"/>
    <mergeCell ref="F1207:I1207"/>
    <mergeCell ref="F1208:I1208"/>
    <mergeCell ref="F1209:I1209"/>
    <mergeCell ref="F1210:I1210"/>
    <mergeCell ref="F1211:I1211"/>
    <mergeCell ref="F1212:I1212"/>
    <mergeCell ref="F1213:I1213"/>
    <mergeCell ref="F1180:I1180"/>
    <mergeCell ref="F1181:I1181"/>
    <mergeCell ref="F1182:I1182"/>
    <mergeCell ref="F1183:I1183"/>
    <mergeCell ref="F1184:I1184"/>
    <mergeCell ref="F1185:I1185"/>
    <mergeCell ref="F1186:I1186"/>
    <mergeCell ref="F1187:I1187"/>
    <mergeCell ref="F1188:I1188"/>
    <mergeCell ref="F1189:I1189"/>
    <mergeCell ref="F1190:I1190"/>
    <mergeCell ref="F1191:I1191"/>
    <mergeCell ref="F1192:I1192"/>
    <mergeCell ref="F1193:I1193"/>
    <mergeCell ref="F1194:I1194"/>
    <mergeCell ref="F1195:I1195"/>
    <mergeCell ref="F1196:I1196"/>
    <mergeCell ref="F1163:I1163"/>
    <mergeCell ref="F1164:I1164"/>
    <mergeCell ref="F1165:I1165"/>
    <mergeCell ref="F1166:I1166"/>
    <mergeCell ref="F1167:I1167"/>
    <mergeCell ref="F1168:I1168"/>
    <mergeCell ref="F1169:I1169"/>
    <mergeCell ref="F1170:I1170"/>
    <mergeCell ref="F1171:I1171"/>
    <mergeCell ref="F1172:I1172"/>
    <mergeCell ref="F1173:I1173"/>
    <mergeCell ref="F1174:I1174"/>
    <mergeCell ref="F1175:I1175"/>
    <mergeCell ref="F1176:I1176"/>
    <mergeCell ref="F1177:I1177"/>
    <mergeCell ref="F1178:I1178"/>
    <mergeCell ref="F1179:I1179"/>
    <mergeCell ref="F1146:I1146"/>
    <mergeCell ref="F1147:I1147"/>
    <mergeCell ref="F1148:I1148"/>
    <mergeCell ref="F1149:I1149"/>
    <mergeCell ref="F1150:I1150"/>
    <mergeCell ref="F1151:I1151"/>
    <mergeCell ref="F1152:I1152"/>
    <mergeCell ref="F1153:I1153"/>
    <mergeCell ref="F1154:I1154"/>
    <mergeCell ref="F1155:I1155"/>
    <mergeCell ref="F1156:I1156"/>
    <mergeCell ref="F1157:I1157"/>
    <mergeCell ref="F1158:I1158"/>
    <mergeCell ref="F1159:I1159"/>
    <mergeCell ref="F1160:I1160"/>
    <mergeCell ref="F1161:I1161"/>
    <mergeCell ref="F1162:I1162"/>
    <mergeCell ref="F1129:I1129"/>
    <mergeCell ref="F1130:I1130"/>
    <mergeCell ref="F1131:I1131"/>
    <mergeCell ref="F1132:I1132"/>
    <mergeCell ref="F1133:I1133"/>
    <mergeCell ref="F1134:I1134"/>
    <mergeCell ref="F1135:I1135"/>
    <mergeCell ref="F1136:I1136"/>
    <mergeCell ref="F1137:I1137"/>
    <mergeCell ref="F1138:I1138"/>
    <mergeCell ref="F1139:I1139"/>
    <mergeCell ref="F1140:I1140"/>
    <mergeCell ref="F1141:I1141"/>
    <mergeCell ref="F1142:I1142"/>
    <mergeCell ref="F1143:I1143"/>
    <mergeCell ref="F1144:I1144"/>
    <mergeCell ref="F1145:I1145"/>
    <mergeCell ref="F1112:I1112"/>
    <mergeCell ref="F1113:I1113"/>
    <mergeCell ref="F1114:I1114"/>
    <mergeCell ref="F1115:I1115"/>
    <mergeCell ref="F1116:I1116"/>
    <mergeCell ref="F1117:I1117"/>
    <mergeCell ref="F1118:I1118"/>
    <mergeCell ref="F1119:I1119"/>
    <mergeCell ref="F1120:I1120"/>
    <mergeCell ref="F1121:I1121"/>
    <mergeCell ref="F1122:I1122"/>
    <mergeCell ref="F1123:I1123"/>
    <mergeCell ref="F1124:I1124"/>
    <mergeCell ref="F1125:I1125"/>
    <mergeCell ref="F1126:I1126"/>
    <mergeCell ref="F1127:I1127"/>
    <mergeCell ref="F1128:I1128"/>
    <mergeCell ref="F1095:I1095"/>
    <mergeCell ref="F1096:I1096"/>
    <mergeCell ref="F1097:I1097"/>
    <mergeCell ref="F1098:I1098"/>
    <mergeCell ref="F1099:I1099"/>
    <mergeCell ref="F1100:I1100"/>
    <mergeCell ref="F1101:I1101"/>
    <mergeCell ref="F1102:I1102"/>
    <mergeCell ref="F1103:I1103"/>
    <mergeCell ref="F1104:I1104"/>
    <mergeCell ref="F1105:I1105"/>
    <mergeCell ref="F1106:I1106"/>
    <mergeCell ref="F1107:I1107"/>
    <mergeCell ref="F1108:I1108"/>
    <mergeCell ref="F1109:I1109"/>
    <mergeCell ref="F1110:I1110"/>
    <mergeCell ref="F1111:I1111"/>
    <mergeCell ref="F1078:I1078"/>
    <mergeCell ref="F1079:I1079"/>
    <mergeCell ref="F1080:I1080"/>
    <mergeCell ref="F1081:I1081"/>
    <mergeCell ref="F1082:I1082"/>
    <mergeCell ref="F1083:I1083"/>
    <mergeCell ref="F1084:I1084"/>
    <mergeCell ref="F1085:I1085"/>
    <mergeCell ref="F1086:I1086"/>
    <mergeCell ref="F1087:I1087"/>
    <mergeCell ref="F1088:I1088"/>
    <mergeCell ref="F1089:I1089"/>
    <mergeCell ref="F1090:I1090"/>
    <mergeCell ref="F1091:I1091"/>
    <mergeCell ref="F1092:I1092"/>
    <mergeCell ref="F1093:I1093"/>
    <mergeCell ref="F1094:I1094"/>
    <mergeCell ref="F1061:I1061"/>
    <mergeCell ref="F1062:I1062"/>
    <mergeCell ref="F1063:I1063"/>
    <mergeCell ref="F1064:I1064"/>
    <mergeCell ref="F1065:I1065"/>
    <mergeCell ref="F1066:I1066"/>
    <mergeCell ref="F1067:I1067"/>
    <mergeCell ref="F1068:I1068"/>
    <mergeCell ref="F1069:I1069"/>
    <mergeCell ref="F1070:I1070"/>
    <mergeCell ref="F1071:I1071"/>
    <mergeCell ref="F1072:I1072"/>
    <mergeCell ref="F1073:I1073"/>
    <mergeCell ref="F1074:I1074"/>
    <mergeCell ref="F1075:I1075"/>
    <mergeCell ref="F1076:I1076"/>
    <mergeCell ref="F1077:I1077"/>
    <mergeCell ref="F1044:I1044"/>
    <mergeCell ref="F1045:I1045"/>
    <mergeCell ref="F1046:I1046"/>
    <mergeCell ref="F1047:I1047"/>
    <mergeCell ref="F1048:I1048"/>
    <mergeCell ref="F1049:I1049"/>
    <mergeCell ref="F1050:I1050"/>
    <mergeCell ref="F1051:I1051"/>
    <mergeCell ref="F1052:I1052"/>
    <mergeCell ref="F1053:I1053"/>
    <mergeCell ref="F1054:I1054"/>
    <mergeCell ref="F1055:I1055"/>
    <mergeCell ref="F1056:I1056"/>
    <mergeCell ref="F1057:I1057"/>
    <mergeCell ref="F1058:I1058"/>
    <mergeCell ref="F1059:I1059"/>
    <mergeCell ref="F1060:I1060"/>
    <mergeCell ref="F1027:I1027"/>
    <mergeCell ref="F1028:I1028"/>
    <mergeCell ref="F1029:I1029"/>
    <mergeCell ref="F1030:I1030"/>
    <mergeCell ref="F1031:I1031"/>
    <mergeCell ref="F1032:I1032"/>
    <mergeCell ref="F1033:I1033"/>
    <mergeCell ref="F1034:I1034"/>
    <mergeCell ref="F1035:I1035"/>
    <mergeCell ref="F1036:I1036"/>
    <mergeCell ref="F1037:I1037"/>
    <mergeCell ref="F1038:I1038"/>
    <mergeCell ref="F1039:I1039"/>
    <mergeCell ref="F1040:I1040"/>
    <mergeCell ref="F1041:I1041"/>
    <mergeCell ref="F1042:I1042"/>
    <mergeCell ref="F1043:I1043"/>
    <mergeCell ref="F1010:I1010"/>
    <mergeCell ref="F1011:I1011"/>
    <mergeCell ref="F1012:I1012"/>
    <mergeCell ref="F1013:I1013"/>
    <mergeCell ref="F1014:I1014"/>
    <mergeCell ref="F1015:I1015"/>
    <mergeCell ref="F1016:I1016"/>
    <mergeCell ref="F1017:I1017"/>
    <mergeCell ref="F1018:I1018"/>
    <mergeCell ref="F1019:I1019"/>
    <mergeCell ref="F1020:I1020"/>
    <mergeCell ref="F1021:I1021"/>
    <mergeCell ref="F1022:I1022"/>
    <mergeCell ref="F1023:I1023"/>
    <mergeCell ref="F1024:I1024"/>
    <mergeCell ref="F1025:I1025"/>
    <mergeCell ref="F1026:I1026"/>
    <mergeCell ref="F993:I993"/>
    <mergeCell ref="F994:I994"/>
    <mergeCell ref="F995:I995"/>
    <mergeCell ref="F996:I996"/>
    <mergeCell ref="F997:I997"/>
    <mergeCell ref="F998:I998"/>
    <mergeCell ref="F999:I999"/>
    <mergeCell ref="F1000:I1000"/>
    <mergeCell ref="F1001:I1001"/>
    <mergeCell ref="F1002:I1002"/>
    <mergeCell ref="F1003:I1003"/>
    <mergeCell ref="F1004:I1004"/>
    <mergeCell ref="F1005:I1005"/>
    <mergeCell ref="F1006:I1006"/>
    <mergeCell ref="F1007:I1007"/>
    <mergeCell ref="F1008:I1008"/>
    <mergeCell ref="F1009:I1009"/>
    <mergeCell ref="F976:I976"/>
    <mergeCell ref="F977:I977"/>
    <mergeCell ref="F978:I978"/>
    <mergeCell ref="F979:I979"/>
    <mergeCell ref="F980:I980"/>
    <mergeCell ref="F981:I981"/>
    <mergeCell ref="F982:I982"/>
    <mergeCell ref="F983:I983"/>
    <mergeCell ref="F984:I984"/>
    <mergeCell ref="F985:I985"/>
    <mergeCell ref="F986:I986"/>
    <mergeCell ref="F987:I987"/>
    <mergeCell ref="F988:I988"/>
    <mergeCell ref="F989:I989"/>
    <mergeCell ref="F990:I990"/>
    <mergeCell ref="F991:I991"/>
    <mergeCell ref="F992:I992"/>
    <mergeCell ref="F959:I959"/>
    <mergeCell ref="F960:I960"/>
    <mergeCell ref="F961:I961"/>
    <mergeCell ref="F962:I962"/>
    <mergeCell ref="F963:I963"/>
    <mergeCell ref="F964:I964"/>
    <mergeCell ref="F965:I965"/>
    <mergeCell ref="F966:I966"/>
    <mergeCell ref="F967:I967"/>
    <mergeCell ref="F968:I968"/>
    <mergeCell ref="F969:I969"/>
    <mergeCell ref="F970:I970"/>
    <mergeCell ref="F971:I971"/>
    <mergeCell ref="F972:I972"/>
    <mergeCell ref="F973:I973"/>
    <mergeCell ref="F974:I974"/>
    <mergeCell ref="F975:I975"/>
    <mergeCell ref="F942:I942"/>
    <mergeCell ref="F943:I943"/>
    <mergeCell ref="F944:I944"/>
    <mergeCell ref="F945:I945"/>
    <mergeCell ref="F946:I946"/>
    <mergeCell ref="F947:I947"/>
    <mergeCell ref="F948:I948"/>
    <mergeCell ref="F949:I949"/>
    <mergeCell ref="F950:I950"/>
    <mergeCell ref="F951:I951"/>
    <mergeCell ref="F952:I952"/>
    <mergeCell ref="F953:I953"/>
    <mergeCell ref="F954:I954"/>
    <mergeCell ref="F955:I955"/>
    <mergeCell ref="F956:I956"/>
    <mergeCell ref="F957:I957"/>
    <mergeCell ref="F958:I958"/>
    <mergeCell ref="F925:I925"/>
    <mergeCell ref="F926:I926"/>
    <mergeCell ref="F927:I927"/>
    <mergeCell ref="F928:I928"/>
    <mergeCell ref="F929:I929"/>
    <mergeCell ref="F930:I930"/>
    <mergeCell ref="F931:I931"/>
    <mergeCell ref="F932:I932"/>
    <mergeCell ref="F933:I933"/>
    <mergeCell ref="F934:I934"/>
    <mergeCell ref="F935:I935"/>
    <mergeCell ref="F936:I936"/>
    <mergeCell ref="F937:I937"/>
    <mergeCell ref="F938:I938"/>
    <mergeCell ref="F939:I939"/>
    <mergeCell ref="F940:I940"/>
    <mergeCell ref="F941:I941"/>
    <mergeCell ref="F908:I908"/>
    <mergeCell ref="F909:I909"/>
    <mergeCell ref="F910:I910"/>
    <mergeCell ref="F911:I911"/>
    <mergeCell ref="F912:I912"/>
    <mergeCell ref="F913:I913"/>
    <mergeCell ref="F914:I914"/>
    <mergeCell ref="F915:I915"/>
    <mergeCell ref="F916:I916"/>
    <mergeCell ref="F917:I917"/>
    <mergeCell ref="F918:I918"/>
    <mergeCell ref="F919:I919"/>
    <mergeCell ref="F920:I920"/>
    <mergeCell ref="F921:I921"/>
    <mergeCell ref="F922:I922"/>
    <mergeCell ref="F923:I923"/>
    <mergeCell ref="F924:I924"/>
    <mergeCell ref="F891:I891"/>
    <mergeCell ref="F892:I892"/>
    <mergeCell ref="F893:I893"/>
    <mergeCell ref="F894:I894"/>
    <mergeCell ref="F895:I895"/>
    <mergeCell ref="F896:I896"/>
    <mergeCell ref="F897:I897"/>
    <mergeCell ref="F898:I898"/>
    <mergeCell ref="F899:I899"/>
    <mergeCell ref="F900:I900"/>
    <mergeCell ref="F901:I901"/>
    <mergeCell ref="F902:I902"/>
    <mergeCell ref="F903:I903"/>
    <mergeCell ref="F904:I904"/>
    <mergeCell ref="F905:I905"/>
    <mergeCell ref="F906:I906"/>
    <mergeCell ref="F907:I907"/>
    <mergeCell ref="F874:I874"/>
    <mergeCell ref="F875:I875"/>
    <mergeCell ref="F876:I876"/>
    <mergeCell ref="F877:I877"/>
    <mergeCell ref="F878:I878"/>
    <mergeCell ref="F879:I879"/>
    <mergeCell ref="F880:I880"/>
    <mergeCell ref="F881:I881"/>
    <mergeCell ref="F882:I882"/>
    <mergeCell ref="F883:I883"/>
    <mergeCell ref="F884:I884"/>
    <mergeCell ref="F885:I885"/>
    <mergeCell ref="F886:I886"/>
    <mergeCell ref="F887:I887"/>
    <mergeCell ref="F888:I888"/>
    <mergeCell ref="F889:I889"/>
    <mergeCell ref="F890:I890"/>
    <mergeCell ref="F857:I857"/>
    <mergeCell ref="F858:I858"/>
    <mergeCell ref="F859:I859"/>
    <mergeCell ref="F860:I860"/>
    <mergeCell ref="F861:I861"/>
    <mergeCell ref="F862:I862"/>
    <mergeCell ref="F863:I863"/>
    <mergeCell ref="F864:I864"/>
    <mergeCell ref="F865:I865"/>
    <mergeCell ref="F866:I866"/>
    <mergeCell ref="F867:I867"/>
    <mergeCell ref="F868:I868"/>
    <mergeCell ref="F869:I869"/>
    <mergeCell ref="F870:I870"/>
    <mergeCell ref="F871:I871"/>
    <mergeCell ref="F872:I872"/>
    <mergeCell ref="F873:I873"/>
    <mergeCell ref="F840:I840"/>
    <mergeCell ref="F841:I841"/>
    <mergeCell ref="F842:I842"/>
    <mergeCell ref="F843:I843"/>
    <mergeCell ref="F844:I844"/>
    <mergeCell ref="F845:I845"/>
    <mergeCell ref="F846:I846"/>
    <mergeCell ref="F847:I847"/>
    <mergeCell ref="F848:I848"/>
    <mergeCell ref="F849:I849"/>
    <mergeCell ref="F850:I850"/>
    <mergeCell ref="F851:I851"/>
    <mergeCell ref="F852:I852"/>
    <mergeCell ref="F853:I853"/>
    <mergeCell ref="F854:I854"/>
    <mergeCell ref="F855:I855"/>
    <mergeCell ref="F856:I856"/>
    <mergeCell ref="F823:I823"/>
    <mergeCell ref="F824:I824"/>
    <mergeCell ref="F825:I825"/>
    <mergeCell ref="F826:I826"/>
    <mergeCell ref="F827:I827"/>
    <mergeCell ref="F828:I828"/>
    <mergeCell ref="F829:I829"/>
    <mergeCell ref="F830:I830"/>
    <mergeCell ref="F831:I831"/>
    <mergeCell ref="F832:I832"/>
    <mergeCell ref="F833:I833"/>
    <mergeCell ref="F834:I834"/>
    <mergeCell ref="F835:I835"/>
    <mergeCell ref="F836:I836"/>
    <mergeCell ref="F837:I837"/>
    <mergeCell ref="F838:I838"/>
    <mergeCell ref="F839:I839"/>
    <mergeCell ref="F806:I806"/>
    <mergeCell ref="F807:I807"/>
    <mergeCell ref="F808:I808"/>
    <mergeCell ref="F809:I809"/>
    <mergeCell ref="F810:I810"/>
    <mergeCell ref="F811:I811"/>
    <mergeCell ref="F812:I812"/>
    <mergeCell ref="F813:I813"/>
    <mergeCell ref="F814:I814"/>
    <mergeCell ref="F815:I815"/>
    <mergeCell ref="F816:I816"/>
    <mergeCell ref="F817:I817"/>
    <mergeCell ref="F818:I818"/>
    <mergeCell ref="F819:I819"/>
    <mergeCell ref="F820:I820"/>
    <mergeCell ref="F821:I821"/>
    <mergeCell ref="F822:I822"/>
    <mergeCell ref="F789:I789"/>
    <mergeCell ref="F790:I790"/>
    <mergeCell ref="F791:I791"/>
    <mergeCell ref="F792:I792"/>
    <mergeCell ref="F793:I793"/>
    <mergeCell ref="F794:I794"/>
    <mergeCell ref="F795:I795"/>
    <mergeCell ref="F796:I796"/>
    <mergeCell ref="F797:I797"/>
    <mergeCell ref="F798:I798"/>
    <mergeCell ref="F799:I799"/>
    <mergeCell ref="F800:I800"/>
    <mergeCell ref="F801:I801"/>
    <mergeCell ref="F802:I802"/>
    <mergeCell ref="F803:I803"/>
    <mergeCell ref="F804:I804"/>
    <mergeCell ref="F805:I805"/>
    <mergeCell ref="F772:I772"/>
    <mergeCell ref="F773:I773"/>
    <mergeCell ref="F774:I774"/>
    <mergeCell ref="F775:I775"/>
    <mergeCell ref="F776:I776"/>
    <mergeCell ref="F777:I777"/>
    <mergeCell ref="F778:I778"/>
    <mergeCell ref="F779:I779"/>
    <mergeCell ref="F780:I780"/>
    <mergeCell ref="F781:I781"/>
    <mergeCell ref="F782:I782"/>
    <mergeCell ref="F783:I783"/>
    <mergeCell ref="F784:I784"/>
    <mergeCell ref="F785:I785"/>
    <mergeCell ref="F786:I786"/>
    <mergeCell ref="F787:I787"/>
    <mergeCell ref="F788:I788"/>
    <mergeCell ref="F755:I755"/>
    <mergeCell ref="F756:I756"/>
    <mergeCell ref="F757:I757"/>
    <mergeCell ref="F758:I758"/>
    <mergeCell ref="F759:I759"/>
    <mergeCell ref="F760:I760"/>
    <mergeCell ref="F761:I761"/>
    <mergeCell ref="F762:I762"/>
    <mergeCell ref="F763:I763"/>
    <mergeCell ref="F764:I764"/>
    <mergeCell ref="F765:I765"/>
    <mergeCell ref="F766:I766"/>
    <mergeCell ref="F767:I767"/>
    <mergeCell ref="F768:I768"/>
    <mergeCell ref="F769:I769"/>
    <mergeCell ref="F770:I770"/>
    <mergeCell ref="F771:I771"/>
    <mergeCell ref="F738:I738"/>
    <mergeCell ref="F739:I739"/>
    <mergeCell ref="F740:I740"/>
    <mergeCell ref="F741:I741"/>
    <mergeCell ref="F742:I742"/>
    <mergeCell ref="F743:I743"/>
    <mergeCell ref="F744:I744"/>
    <mergeCell ref="F745:I745"/>
    <mergeCell ref="F746:I746"/>
    <mergeCell ref="F747:I747"/>
    <mergeCell ref="F748:I748"/>
    <mergeCell ref="F749:I749"/>
    <mergeCell ref="F750:I750"/>
    <mergeCell ref="F751:I751"/>
    <mergeCell ref="F752:I752"/>
    <mergeCell ref="F753:I753"/>
    <mergeCell ref="F754:I754"/>
    <mergeCell ref="F721:I721"/>
    <mergeCell ref="F722:I722"/>
    <mergeCell ref="F723:I723"/>
    <mergeCell ref="F724:I724"/>
    <mergeCell ref="F725:I725"/>
    <mergeCell ref="F726:I726"/>
    <mergeCell ref="F727:I727"/>
    <mergeCell ref="F728:I728"/>
    <mergeCell ref="F729:I729"/>
    <mergeCell ref="F730:I730"/>
    <mergeCell ref="F731:I731"/>
    <mergeCell ref="F732:I732"/>
    <mergeCell ref="F733:I733"/>
    <mergeCell ref="F734:I734"/>
    <mergeCell ref="F735:I735"/>
    <mergeCell ref="F736:I736"/>
    <mergeCell ref="F737:I737"/>
    <mergeCell ref="F704:I704"/>
    <mergeCell ref="F705:I705"/>
    <mergeCell ref="F706:I706"/>
    <mergeCell ref="F707:I707"/>
    <mergeCell ref="F708:I708"/>
    <mergeCell ref="F709:I709"/>
    <mergeCell ref="F710:I710"/>
    <mergeCell ref="F711:I711"/>
    <mergeCell ref="F712:I712"/>
    <mergeCell ref="F713:I713"/>
    <mergeCell ref="F714:I714"/>
    <mergeCell ref="F715:I715"/>
    <mergeCell ref="F716:I716"/>
    <mergeCell ref="F717:I717"/>
    <mergeCell ref="F718:I718"/>
    <mergeCell ref="F719:I719"/>
    <mergeCell ref="F720:I720"/>
    <mergeCell ref="F687:I687"/>
    <mergeCell ref="F688:I688"/>
    <mergeCell ref="F689:I689"/>
    <mergeCell ref="F690:I690"/>
    <mergeCell ref="F691:I691"/>
    <mergeCell ref="F692:I692"/>
    <mergeCell ref="F693:I693"/>
    <mergeCell ref="F694:I694"/>
    <mergeCell ref="F695:I695"/>
    <mergeCell ref="F696:I696"/>
    <mergeCell ref="F697:I697"/>
    <mergeCell ref="F698:I698"/>
    <mergeCell ref="F699:I699"/>
    <mergeCell ref="F700:I700"/>
    <mergeCell ref="F701:I701"/>
    <mergeCell ref="F702:I702"/>
    <mergeCell ref="F703:I703"/>
    <mergeCell ref="F670:I670"/>
    <mergeCell ref="F671:I671"/>
    <mergeCell ref="F672:I672"/>
    <mergeCell ref="F673:I673"/>
    <mergeCell ref="F674:I674"/>
    <mergeCell ref="F675:I675"/>
    <mergeCell ref="F676:I676"/>
    <mergeCell ref="F677:I677"/>
    <mergeCell ref="F678:I678"/>
    <mergeCell ref="F679:I679"/>
    <mergeCell ref="F680:I680"/>
    <mergeCell ref="F681:I681"/>
    <mergeCell ref="F682:I682"/>
    <mergeCell ref="F683:I683"/>
    <mergeCell ref="F684:I684"/>
    <mergeCell ref="F685:I685"/>
    <mergeCell ref="F686:I686"/>
    <mergeCell ref="F653:I653"/>
    <mergeCell ref="F654:I654"/>
    <mergeCell ref="F655:I655"/>
    <mergeCell ref="F656:I656"/>
    <mergeCell ref="F657:I657"/>
    <mergeCell ref="F658:I658"/>
    <mergeCell ref="F659:I659"/>
    <mergeCell ref="F660:I660"/>
    <mergeCell ref="F661:I661"/>
    <mergeCell ref="F662:I662"/>
    <mergeCell ref="F663:I663"/>
    <mergeCell ref="F664:I664"/>
    <mergeCell ref="F665:I665"/>
    <mergeCell ref="F666:I666"/>
    <mergeCell ref="F667:I667"/>
    <mergeCell ref="F668:I668"/>
    <mergeCell ref="F669:I669"/>
    <mergeCell ref="F636:I636"/>
    <mergeCell ref="F637:I637"/>
    <mergeCell ref="F638:I638"/>
    <mergeCell ref="F639:I639"/>
    <mergeCell ref="F640:I640"/>
    <mergeCell ref="F641:I641"/>
    <mergeCell ref="F642:I642"/>
    <mergeCell ref="F643:I643"/>
    <mergeCell ref="F644:I644"/>
    <mergeCell ref="F645:I645"/>
    <mergeCell ref="F646:I646"/>
    <mergeCell ref="F647:I647"/>
    <mergeCell ref="F648:I648"/>
    <mergeCell ref="F649:I649"/>
    <mergeCell ref="F650:I650"/>
    <mergeCell ref="F651:I651"/>
    <mergeCell ref="F652:I652"/>
    <mergeCell ref="F619:I619"/>
    <mergeCell ref="F620:I620"/>
    <mergeCell ref="F621:I621"/>
    <mergeCell ref="F622:I622"/>
    <mergeCell ref="F623:I623"/>
    <mergeCell ref="F624:I624"/>
    <mergeCell ref="F625:I625"/>
    <mergeCell ref="F626:I626"/>
    <mergeCell ref="F627:I627"/>
    <mergeCell ref="F628:I628"/>
    <mergeCell ref="F629:I629"/>
    <mergeCell ref="F630:I630"/>
    <mergeCell ref="F631:I631"/>
    <mergeCell ref="F632:I632"/>
    <mergeCell ref="F633:I633"/>
    <mergeCell ref="F634:I634"/>
    <mergeCell ref="F635:I635"/>
    <mergeCell ref="F602:I602"/>
    <mergeCell ref="F603:I603"/>
    <mergeCell ref="F604:I604"/>
    <mergeCell ref="F605:I605"/>
    <mergeCell ref="F606:I606"/>
    <mergeCell ref="F607:I607"/>
    <mergeCell ref="F608:I608"/>
    <mergeCell ref="F609:I609"/>
    <mergeCell ref="F610:I610"/>
    <mergeCell ref="F611:I611"/>
    <mergeCell ref="F612:I612"/>
    <mergeCell ref="F613:I613"/>
    <mergeCell ref="F614:I614"/>
    <mergeCell ref="F615:I615"/>
    <mergeCell ref="F616:I616"/>
    <mergeCell ref="F617:I617"/>
    <mergeCell ref="F618:I618"/>
    <mergeCell ref="F585:I585"/>
    <mergeCell ref="F586:I586"/>
    <mergeCell ref="F587:I587"/>
    <mergeCell ref="F588:I588"/>
    <mergeCell ref="F589:I589"/>
    <mergeCell ref="F590:I590"/>
    <mergeCell ref="F591:I591"/>
    <mergeCell ref="F592:I592"/>
    <mergeCell ref="F593:I593"/>
    <mergeCell ref="F594:I594"/>
    <mergeCell ref="F595:I595"/>
    <mergeCell ref="F596:I596"/>
    <mergeCell ref="F597:I597"/>
    <mergeCell ref="F598:I598"/>
    <mergeCell ref="F599:I599"/>
    <mergeCell ref="F600:I600"/>
    <mergeCell ref="F601:I601"/>
    <mergeCell ref="F568:I568"/>
    <mergeCell ref="F569:I569"/>
    <mergeCell ref="F570:I570"/>
    <mergeCell ref="F571:I571"/>
    <mergeCell ref="F572:I572"/>
    <mergeCell ref="F573:I573"/>
    <mergeCell ref="F574:I574"/>
    <mergeCell ref="F575:I575"/>
    <mergeCell ref="F576:I576"/>
    <mergeCell ref="F577:I577"/>
    <mergeCell ref="F578:I578"/>
    <mergeCell ref="F579:I579"/>
    <mergeCell ref="F580:I580"/>
    <mergeCell ref="F581:I581"/>
    <mergeCell ref="F582:I582"/>
    <mergeCell ref="F583:I583"/>
    <mergeCell ref="F584:I584"/>
    <mergeCell ref="F551:I551"/>
    <mergeCell ref="F552:I552"/>
    <mergeCell ref="F553:I553"/>
    <mergeCell ref="F554:I554"/>
    <mergeCell ref="F555:I555"/>
    <mergeCell ref="F556:I556"/>
    <mergeCell ref="F557:I557"/>
    <mergeCell ref="F558:I558"/>
    <mergeCell ref="F559:I559"/>
    <mergeCell ref="F560:I560"/>
    <mergeCell ref="F561:I561"/>
    <mergeCell ref="F562:I562"/>
    <mergeCell ref="F563:I563"/>
    <mergeCell ref="F564:I564"/>
    <mergeCell ref="F565:I565"/>
    <mergeCell ref="F566:I566"/>
    <mergeCell ref="F567:I567"/>
    <mergeCell ref="F534:I534"/>
    <mergeCell ref="F535:I535"/>
    <mergeCell ref="F536:I536"/>
    <mergeCell ref="F537:I537"/>
    <mergeCell ref="F538:I538"/>
    <mergeCell ref="F539:I539"/>
    <mergeCell ref="F540:I540"/>
    <mergeCell ref="F541:I541"/>
    <mergeCell ref="F542:I542"/>
    <mergeCell ref="F543:I543"/>
    <mergeCell ref="F544:I544"/>
    <mergeCell ref="F545:I545"/>
    <mergeCell ref="F546:I546"/>
    <mergeCell ref="F547:I547"/>
    <mergeCell ref="F548:I548"/>
    <mergeCell ref="F549:I549"/>
    <mergeCell ref="F550:I550"/>
    <mergeCell ref="F517:I517"/>
    <mergeCell ref="F518:I518"/>
    <mergeCell ref="F519:I519"/>
    <mergeCell ref="F520:I520"/>
    <mergeCell ref="F521:I521"/>
    <mergeCell ref="F522:I522"/>
    <mergeCell ref="F523:I523"/>
    <mergeCell ref="F524:I524"/>
    <mergeCell ref="F525:I525"/>
    <mergeCell ref="F526:I526"/>
    <mergeCell ref="F527:I527"/>
    <mergeCell ref="F528:I528"/>
    <mergeCell ref="F529:I529"/>
    <mergeCell ref="F530:I530"/>
    <mergeCell ref="F531:I531"/>
    <mergeCell ref="F532:I532"/>
    <mergeCell ref="F533:I533"/>
    <mergeCell ref="F500:I500"/>
    <mergeCell ref="F501:I501"/>
    <mergeCell ref="F502:I502"/>
    <mergeCell ref="F503:I503"/>
    <mergeCell ref="F504:I504"/>
    <mergeCell ref="F505:I505"/>
    <mergeCell ref="F506:I506"/>
    <mergeCell ref="F507:I507"/>
    <mergeCell ref="F508:I508"/>
    <mergeCell ref="F509:I509"/>
    <mergeCell ref="F510:I510"/>
    <mergeCell ref="F511:I511"/>
    <mergeCell ref="F512:I512"/>
    <mergeCell ref="F513:I513"/>
    <mergeCell ref="F514:I514"/>
    <mergeCell ref="F515:I515"/>
    <mergeCell ref="F516:I516"/>
    <mergeCell ref="F483:I483"/>
    <mergeCell ref="F484:I484"/>
    <mergeCell ref="F485:I485"/>
    <mergeCell ref="F486:I486"/>
    <mergeCell ref="F487:I487"/>
    <mergeCell ref="F488:I488"/>
    <mergeCell ref="F489:I489"/>
    <mergeCell ref="F490:I490"/>
    <mergeCell ref="F491:I491"/>
    <mergeCell ref="F492:I492"/>
    <mergeCell ref="F493:I493"/>
    <mergeCell ref="F494:I494"/>
    <mergeCell ref="F495:I495"/>
    <mergeCell ref="F496:I496"/>
    <mergeCell ref="F497:I497"/>
    <mergeCell ref="F498:I498"/>
    <mergeCell ref="F499:I499"/>
    <mergeCell ref="F466:I466"/>
    <mergeCell ref="F467:I467"/>
    <mergeCell ref="F468:I468"/>
    <mergeCell ref="F469:I469"/>
    <mergeCell ref="F470:I470"/>
    <mergeCell ref="F471:I471"/>
    <mergeCell ref="F472:I472"/>
    <mergeCell ref="F473:I473"/>
    <mergeCell ref="F474:I474"/>
    <mergeCell ref="F475:I475"/>
    <mergeCell ref="F476:I476"/>
    <mergeCell ref="F477:I477"/>
    <mergeCell ref="F478:I478"/>
    <mergeCell ref="F479:I479"/>
    <mergeCell ref="F480:I480"/>
    <mergeCell ref="F481:I481"/>
    <mergeCell ref="F482:I482"/>
    <mergeCell ref="F449:I449"/>
    <mergeCell ref="F450:I450"/>
    <mergeCell ref="F451:I451"/>
    <mergeCell ref="F452:I452"/>
    <mergeCell ref="F453:I453"/>
    <mergeCell ref="F454:I454"/>
    <mergeCell ref="F455:I455"/>
    <mergeCell ref="F456:I456"/>
    <mergeCell ref="F457:I457"/>
    <mergeCell ref="F458:I458"/>
    <mergeCell ref="F459:I459"/>
    <mergeCell ref="F460:I460"/>
    <mergeCell ref="F461:I461"/>
    <mergeCell ref="F462:I462"/>
    <mergeCell ref="F463:I463"/>
    <mergeCell ref="F464:I464"/>
    <mergeCell ref="F465:I465"/>
    <mergeCell ref="F432:I432"/>
    <mergeCell ref="F433:I433"/>
    <mergeCell ref="F434:I434"/>
    <mergeCell ref="F435:I435"/>
    <mergeCell ref="F436:I436"/>
    <mergeCell ref="F437:I437"/>
    <mergeCell ref="F438:I438"/>
    <mergeCell ref="F439:I439"/>
    <mergeCell ref="F440:I440"/>
    <mergeCell ref="F441:I441"/>
    <mergeCell ref="F442:I442"/>
    <mergeCell ref="F443:I443"/>
    <mergeCell ref="F444:I444"/>
    <mergeCell ref="F445:I445"/>
    <mergeCell ref="F446:I446"/>
    <mergeCell ref="F447:I447"/>
    <mergeCell ref="F448:I448"/>
    <mergeCell ref="F415:I415"/>
    <mergeCell ref="F416:I416"/>
    <mergeCell ref="F417:I417"/>
    <mergeCell ref="F418:I418"/>
    <mergeCell ref="F419:I419"/>
    <mergeCell ref="F420:I420"/>
    <mergeCell ref="F421:I421"/>
    <mergeCell ref="F422:I422"/>
    <mergeCell ref="F423:I423"/>
    <mergeCell ref="F424:I424"/>
    <mergeCell ref="F425:I425"/>
    <mergeCell ref="F426:I426"/>
    <mergeCell ref="F427:I427"/>
    <mergeCell ref="F428:I428"/>
    <mergeCell ref="F429:I429"/>
    <mergeCell ref="F430:I430"/>
    <mergeCell ref="F431:I431"/>
    <mergeCell ref="F398:I398"/>
    <mergeCell ref="F399:I399"/>
    <mergeCell ref="F400:I400"/>
    <mergeCell ref="F401:I401"/>
    <mergeCell ref="F402:I402"/>
    <mergeCell ref="F403:I403"/>
    <mergeCell ref="F404:I404"/>
    <mergeCell ref="F405:I405"/>
    <mergeCell ref="F406:I406"/>
    <mergeCell ref="F407:I407"/>
    <mergeCell ref="F408:I408"/>
    <mergeCell ref="F409:I409"/>
    <mergeCell ref="F410:I410"/>
    <mergeCell ref="F411:I411"/>
    <mergeCell ref="F412:I412"/>
    <mergeCell ref="F413:I413"/>
    <mergeCell ref="F414:I414"/>
    <mergeCell ref="F381:I381"/>
    <mergeCell ref="F382:I382"/>
    <mergeCell ref="F383:I383"/>
    <mergeCell ref="F384:I384"/>
    <mergeCell ref="F385:I385"/>
    <mergeCell ref="F386:I386"/>
    <mergeCell ref="F387:I387"/>
    <mergeCell ref="F388:I388"/>
    <mergeCell ref="F389:I389"/>
    <mergeCell ref="F390:I390"/>
    <mergeCell ref="F391:I391"/>
    <mergeCell ref="F392:I392"/>
    <mergeCell ref="F393:I393"/>
    <mergeCell ref="F394:I394"/>
    <mergeCell ref="F395:I395"/>
    <mergeCell ref="F396:I396"/>
    <mergeCell ref="F397:I397"/>
    <mergeCell ref="F364:I364"/>
    <mergeCell ref="F365:I365"/>
    <mergeCell ref="F366:I366"/>
    <mergeCell ref="F367:I367"/>
    <mergeCell ref="F368:I368"/>
    <mergeCell ref="F369:I369"/>
    <mergeCell ref="F370:I370"/>
    <mergeCell ref="F371:I371"/>
    <mergeCell ref="F372:I372"/>
    <mergeCell ref="F373:I373"/>
    <mergeCell ref="F374:I374"/>
    <mergeCell ref="F375:I375"/>
    <mergeCell ref="F376:I376"/>
    <mergeCell ref="F377:I377"/>
    <mergeCell ref="F378:I378"/>
    <mergeCell ref="F379:I379"/>
    <mergeCell ref="F380:I380"/>
    <mergeCell ref="F347:I347"/>
    <mergeCell ref="F348:I348"/>
    <mergeCell ref="F349:I349"/>
    <mergeCell ref="F350:I350"/>
    <mergeCell ref="F351:I351"/>
    <mergeCell ref="F352:I352"/>
    <mergeCell ref="F353:I353"/>
    <mergeCell ref="F354:I354"/>
    <mergeCell ref="F355:I355"/>
    <mergeCell ref="F356:I356"/>
    <mergeCell ref="F357:I357"/>
    <mergeCell ref="F358:I358"/>
    <mergeCell ref="F359:I359"/>
    <mergeCell ref="F360:I360"/>
    <mergeCell ref="F361:I361"/>
    <mergeCell ref="F362:I362"/>
    <mergeCell ref="F363:I363"/>
    <mergeCell ref="F330:I330"/>
    <mergeCell ref="F331:I331"/>
    <mergeCell ref="F332:I332"/>
    <mergeCell ref="F333:I333"/>
    <mergeCell ref="F334:I334"/>
    <mergeCell ref="F335:I335"/>
    <mergeCell ref="F336:I336"/>
    <mergeCell ref="F337:I337"/>
    <mergeCell ref="F338:I338"/>
    <mergeCell ref="F339:I339"/>
    <mergeCell ref="F340:I340"/>
    <mergeCell ref="F341:I341"/>
    <mergeCell ref="F342:I342"/>
    <mergeCell ref="F343:I343"/>
    <mergeCell ref="F344:I344"/>
    <mergeCell ref="F345:I345"/>
    <mergeCell ref="F346:I346"/>
    <mergeCell ref="F313:I313"/>
    <mergeCell ref="F314:I314"/>
    <mergeCell ref="F315:I315"/>
    <mergeCell ref="F316:I316"/>
    <mergeCell ref="F317:I317"/>
    <mergeCell ref="F318:I318"/>
    <mergeCell ref="F319:I319"/>
    <mergeCell ref="F320:I320"/>
    <mergeCell ref="F321:I321"/>
    <mergeCell ref="F322:I322"/>
    <mergeCell ref="F323:I323"/>
    <mergeCell ref="F324:I324"/>
    <mergeCell ref="F325:I325"/>
    <mergeCell ref="F326:I326"/>
    <mergeCell ref="F327:I327"/>
    <mergeCell ref="F328:I328"/>
    <mergeCell ref="F329:I329"/>
    <mergeCell ref="F296:I296"/>
    <mergeCell ref="F297:I297"/>
    <mergeCell ref="F298:I298"/>
    <mergeCell ref="F299:I299"/>
    <mergeCell ref="F300:I300"/>
    <mergeCell ref="F301:I301"/>
    <mergeCell ref="F302:I302"/>
    <mergeCell ref="F303:I303"/>
    <mergeCell ref="F304:I304"/>
    <mergeCell ref="F305:I305"/>
    <mergeCell ref="F306:I306"/>
    <mergeCell ref="F307:I307"/>
    <mergeCell ref="F308:I308"/>
    <mergeCell ref="F309:I309"/>
    <mergeCell ref="F310:I310"/>
    <mergeCell ref="F311:I311"/>
    <mergeCell ref="F312:I312"/>
    <mergeCell ref="F279:I279"/>
    <mergeCell ref="F280:I280"/>
    <mergeCell ref="F281:I281"/>
    <mergeCell ref="F282:I282"/>
    <mergeCell ref="F283:I283"/>
    <mergeCell ref="F284:I284"/>
    <mergeCell ref="F285:I285"/>
    <mergeCell ref="F286:I286"/>
    <mergeCell ref="F287:I287"/>
    <mergeCell ref="F288:I288"/>
    <mergeCell ref="F289:I289"/>
    <mergeCell ref="F290:I290"/>
    <mergeCell ref="F291:I291"/>
    <mergeCell ref="F292:I292"/>
    <mergeCell ref="F293:I293"/>
    <mergeCell ref="F294:I294"/>
    <mergeCell ref="F295:I295"/>
    <mergeCell ref="F262:I262"/>
    <mergeCell ref="F263:I263"/>
    <mergeCell ref="F264:I264"/>
    <mergeCell ref="F265:I265"/>
    <mergeCell ref="F266:I266"/>
    <mergeCell ref="F267:I267"/>
    <mergeCell ref="F268:I268"/>
    <mergeCell ref="F269:I269"/>
    <mergeCell ref="F270:I270"/>
    <mergeCell ref="F271:I271"/>
    <mergeCell ref="F272:I272"/>
    <mergeCell ref="F273:I273"/>
    <mergeCell ref="F274:I274"/>
    <mergeCell ref="F275:I275"/>
    <mergeCell ref="F276:I276"/>
    <mergeCell ref="F277:I277"/>
    <mergeCell ref="F278:I278"/>
    <mergeCell ref="F245:I245"/>
    <mergeCell ref="F246:I246"/>
    <mergeCell ref="F247:I247"/>
    <mergeCell ref="F248:I248"/>
    <mergeCell ref="F249:I249"/>
    <mergeCell ref="F250:I250"/>
    <mergeCell ref="F251:I251"/>
    <mergeCell ref="F252:I252"/>
    <mergeCell ref="F253:I253"/>
    <mergeCell ref="F254:I254"/>
    <mergeCell ref="F255:I255"/>
    <mergeCell ref="F256:I256"/>
    <mergeCell ref="F257:I257"/>
    <mergeCell ref="F258:I258"/>
    <mergeCell ref="F259:I259"/>
    <mergeCell ref="F260:I260"/>
    <mergeCell ref="F261:I261"/>
    <mergeCell ref="F214:I214"/>
    <mergeCell ref="F215:I215"/>
    <mergeCell ref="F216:I216"/>
    <mergeCell ref="F217:I217"/>
    <mergeCell ref="F218:I218"/>
    <mergeCell ref="F219:I219"/>
    <mergeCell ref="F237:I237"/>
    <mergeCell ref="F238:I238"/>
    <mergeCell ref="F239:I239"/>
    <mergeCell ref="F240:I240"/>
    <mergeCell ref="F241:I241"/>
    <mergeCell ref="F242:I242"/>
    <mergeCell ref="F243:I243"/>
    <mergeCell ref="F244:I244"/>
    <mergeCell ref="F220:I220"/>
    <mergeCell ref="F221:I221"/>
    <mergeCell ref="F222:I222"/>
    <mergeCell ref="F223:I223"/>
    <mergeCell ref="F224:I224"/>
    <mergeCell ref="F225:I225"/>
    <mergeCell ref="F226:I226"/>
    <mergeCell ref="F227:I227"/>
    <mergeCell ref="F228:I228"/>
    <mergeCell ref="F229:I229"/>
    <mergeCell ref="F230:I230"/>
    <mergeCell ref="F231:I231"/>
    <mergeCell ref="F232:I232"/>
    <mergeCell ref="F233:I233"/>
    <mergeCell ref="F234:I234"/>
    <mergeCell ref="F235:I235"/>
    <mergeCell ref="F236:I236"/>
    <mergeCell ref="F197:I197"/>
    <mergeCell ref="F198:I198"/>
    <mergeCell ref="F199:I199"/>
    <mergeCell ref="F200:I200"/>
    <mergeCell ref="F201:I201"/>
    <mergeCell ref="F202:I202"/>
    <mergeCell ref="F203:I203"/>
    <mergeCell ref="F204:I204"/>
    <mergeCell ref="F205:I205"/>
    <mergeCell ref="F206:I206"/>
    <mergeCell ref="F207:I207"/>
    <mergeCell ref="F208:I208"/>
    <mergeCell ref="F209:I209"/>
    <mergeCell ref="F210:I210"/>
    <mergeCell ref="F211:I211"/>
    <mergeCell ref="F212:I212"/>
    <mergeCell ref="F213:I213"/>
    <mergeCell ref="F180:I180"/>
    <mergeCell ref="F181:I181"/>
    <mergeCell ref="F182:I182"/>
    <mergeCell ref="F183:I183"/>
    <mergeCell ref="F184:I184"/>
    <mergeCell ref="F185:I185"/>
    <mergeCell ref="F186:I186"/>
    <mergeCell ref="F187:I187"/>
    <mergeCell ref="F188:I188"/>
    <mergeCell ref="F189:I189"/>
    <mergeCell ref="F190:I190"/>
    <mergeCell ref="F191:I191"/>
    <mergeCell ref="F192:I192"/>
    <mergeCell ref="F193:I193"/>
    <mergeCell ref="F194:I194"/>
    <mergeCell ref="F195:I195"/>
    <mergeCell ref="F196:I196"/>
    <mergeCell ref="F163:I163"/>
    <mergeCell ref="F164:I164"/>
    <mergeCell ref="F165:I165"/>
    <mergeCell ref="F166:I166"/>
    <mergeCell ref="F167:I167"/>
    <mergeCell ref="F168:I168"/>
    <mergeCell ref="F169:I169"/>
    <mergeCell ref="F170:I170"/>
    <mergeCell ref="F171:I171"/>
    <mergeCell ref="F172:I172"/>
    <mergeCell ref="F173:I173"/>
    <mergeCell ref="F174:I174"/>
    <mergeCell ref="F175:I175"/>
    <mergeCell ref="F176:I176"/>
    <mergeCell ref="F177:I177"/>
    <mergeCell ref="F178:I178"/>
    <mergeCell ref="F179:I179"/>
    <mergeCell ref="F146:I146"/>
    <mergeCell ref="F147:I147"/>
    <mergeCell ref="F148:I148"/>
    <mergeCell ref="F149:I149"/>
    <mergeCell ref="F150:I150"/>
    <mergeCell ref="F151:I151"/>
    <mergeCell ref="F152:I152"/>
    <mergeCell ref="F153:I153"/>
    <mergeCell ref="F154:I154"/>
    <mergeCell ref="F155:I155"/>
    <mergeCell ref="F156:I156"/>
    <mergeCell ref="F157:I157"/>
    <mergeCell ref="F158:I158"/>
    <mergeCell ref="F159:I159"/>
    <mergeCell ref="F160:I160"/>
    <mergeCell ref="F161:I161"/>
    <mergeCell ref="F162:I162"/>
    <mergeCell ref="F129:I129"/>
    <mergeCell ref="F130:I130"/>
    <mergeCell ref="F131:I131"/>
    <mergeCell ref="F132:I132"/>
    <mergeCell ref="F133:I133"/>
    <mergeCell ref="F134:I134"/>
    <mergeCell ref="F135:I135"/>
    <mergeCell ref="F136:I136"/>
    <mergeCell ref="F137:I137"/>
    <mergeCell ref="F138:I138"/>
    <mergeCell ref="F139:I139"/>
    <mergeCell ref="F140:I140"/>
    <mergeCell ref="F141:I141"/>
    <mergeCell ref="F142:I142"/>
    <mergeCell ref="F143:I143"/>
    <mergeCell ref="F144:I144"/>
    <mergeCell ref="F145:I145"/>
    <mergeCell ref="F112:I112"/>
    <mergeCell ref="F113:I113"/>
    <mergeCell ref="F114:I114"/>
    <mergeCell ref="F115:I115"/>
    <mergeCell ref="F116:I116"/>
    <mergeCell ref="F117:I117"/>
    <mergeCell ref="F118:I118"/>
    <mergeCell ref="F119:I119"/>
    <mergeCell ref="F120:I120"/>
    <mergeCell ref="F121:I121"/>
    <mergeCell ref="F122:I122"/>
    <mergeCell ref="F123:I123"/>
    <mergeCell ref="F124:I124"/>
    <mergeCell ref="F125:I125"/>
    <mergeCell ref="F126:I126"/>
    <mergeCell ref="F127:I127"/>
    <mergeCell ref="F128:I128"/>
    <mergeCell ref="F95:I95"/>
    <mergeCell ref="F96:I96"/>
    <mergeCell ref="F97:I97"/>
    <mergeCell ref="F98:I98"/>
    <mergeCell ref="F99:I99"/>
    <mergeCell ref="F100:I100"/>
    <mergeCell ref="F101:I101"/>
    <mergeCell ref="F102:I102"/>
    <mergeCell ref="F103:I103"/>
    <mergeCell ref="F104:I104"/>
    <mergeCell ref="F105:I105"/>
    <mergeCell ref="F106:I106"/>
    <mergeCell ref="F107:I107"/>
    <mergeCell ref="F108:I108"/>
    <mergeCell ref="F109:I109"/>
    <mergeCell ref="F110:I110"/>
    <mergeCell ref="F111:I111"/>
    <mergeCell ref="F78:I78"/>
    <mergeCell ref="F79:I79"/>
    <mergeCell ref="F80:I80"/>
    <mergeCell ref="F81:I81"/>
    <mergeCell ref="F82:I82"/>
    <mergeCell ref="F83:I83"/>
    <mergeCell ref="F84:I84"/>
    <mergeCell ref="F85:I85"/>
    <mergeCell ref="F86:I86"/>
    <mergeCell ref="F87:I87"/>
    <mergeCell ref="F88:I88"/>
    <mergeCell ref="F89:I89"/>
    <mergeCell ref="F90:I90"/>
    <mergeCell ref="F91:I91"/>
    <mergeCell ref="F92:I92"/>
    <mergeCell ref="F93:I93"/>
    <mergeCell ref="F94:I94"/>
    <mergeCell ref="F61:I61"/>
    <mergeCell ref="F62:I62"/>
    <mergeCell ref="F63:I63"/>
    <mergeCell ref="F64:I64"/>
    <mergeCell ref="F65:I65"/>
    <mergeCell ref="F66:I66"/>
    <mergeCell ref="F67:I67"/>
    <mergeCell ref="F68:I68"/>
    <mergeCell ref="F69:I69"/>
    <mergeCell ref="F70:I70"/>
    <mergeCell ref="F71:I71"/>
    <mergeCell ref="F72:I72"/>
    <mergeCell ref="F73:I73"/>
    <mergeCell ref="F74:I74"/>
    <mergeCell ref="F75:I75"/>
    <mergeCell ref="F76:I76"/>
    <mergeCell ref="F77:I77"/>
    <mergeCell ref="F44:I44"/>
    <mergeCell ref="F45:I45"/>
    <mergeCell ref="F46:I46"/>
    <mergeCell ref="F47:I47"/>
    <mergeCell ref="F48:I48"/>
    <mergeCell ref="F49:I49"/>
    <mergeCell ref="F50:I50"/>
    <mergeCell ref="F51:I51"/>
    <mergeCell ref="F52:I52"/>
    <mergeCell ref="F53:I53"/>
    <mergeCell ref="F54:I54"/>
    <mergeCell ref="F55:I55"/>
    <mergeCell ref="F56:I56"/>
    <mergeCell ref="F57:I57"/>
    <mergeCell ref="F58:I58"/>
    <mergeCell ref="F59:I59"/>
    <mergeCell ref="F60:I60"/>
    <mergeCell ref="F16:I16"/>
    <mergeCell ref="F17:I17"/>
    <mergeCell ref="F18:I18"/>
    <mergeCell ref="F19:I19"/>
    <mergeCell ref="F20:I20"/>
    <mergeCell ref="F21:I21"/>
    <mergeCell ref="F22:I22"/>
    <mergeCell ref="F23:I23"/>
    <mergeCell ref="F24:I24"/>
    <mergeCell ref="F25:I25"/>
    <mergeCell ref="F26:I26"/>
    <mergeCell ref="F27:I27"/>
    <mergeCell ref="F28:I28"/>
    <mergeCell ref="F29:I29"/>
    <mergeCell ref="F30:I30"/>
    <mergeCell ref="F31:I31"/>
    <mergeCell ref="F32:I32"/>
    <mergeCell ref="F33:I33"/>
    <mergeCell ref="F34:I34"/>
    <mergeCell ref="F35:I35"/>
    <mergeCell ref="F36:I36"/>
    <mergeCell ref="F37:I37"/>
    <mergeCell ref="F38:I38"/>
    <mergeCell ref="F39:I39"/>
    <mergeCell ref="F40:I40"/>
    <mergeCell ref="F41:I41"/>
    <mergeCell ref="F42:I42"/>
    <mergeCell ref="F43:I43"/>
    <mergeCell ref="M309:O309"/>
    <mergeCell ref="M310:O310"/>
    <mergeCell ref="M311:O311"/>
    <mergeCell ref="M312:O312"/>
    <mergeCell ref="J324:K324"/>
    <mergeCell ref="F9:I9"/>
    <mergeCell ref="F10:I10"/>
    <mergeCell ref="F11:I11"/>
    <mergeCell ref="F12:I12"/>
    <mergeCell ref="F13:I13"/>
    <mergeCell ref="F14:I14"/>
    <mergeCell ref="F15:I15"/>
    <mergeCell ref="M93:P93"/>
    <mergeCell ref="M94:P94"/>
    <mergeCell ref="M95:P95"/>
    <mergeCell ref="M96:P96"/>
    <mergeCell ref="M97:P97"/>
    <mergeCell ref="M98:P98"/>
    <mergeCell ref="M99:P99"/>
    <mergeCell ref="M100:P100"/>
    <mergeCell ref="M101:P101"/>
    <mergeCell ref="J326:K326"/>
    <mergeCell ref="J322:K322"/>
    <mergeCell ref="J323:K323"/>
    <mergeCell ref="M308:O308"/>
    <mergeCell ref="M324:O324"/>
    <mergeCell ref="J338:K338"/>
    <mergeCell ref="M332:O332"/>
    <mergeCell ref="M333:O333"/>
    <mergeCell ref="M334:O334"/>
    <mergeCell ref="M335:O335"/>
    <mergeCell ref="M336:O336"/>
    <mergeCell ref="M337:O337"/>
    <mergeCell ref="M338:O338"/>
    <mergeCell ref="M330:O330"/>
    <mergeCell ref="M331:O331"/>
    <mergeCell ref="J330:K330"/>
    <mergeCell ref="J331:K331"/>
    <mergeCell ref="J332:K332"/>
    <mergeCell ref="J333:K333"/>
    <mergeCell ref="J334:K334"/>
    <mergeCell ref="J335:K335"/>
    <mergeCell ref="J336:K336"/>
    <mergeCell ref="J337:K337"/>
    <mergeCell ref="J329:K329"/>
    <mergeCell ref="M322:O322"/>
    <mergeCell ref="M323:O323"/>
    <mergeCell ref="M329:O329"/>
    <mergeCell ref="M327:O327"/>
    <mergeCell ref="M328:O328"/>
    <mergeCell ref="M325:O325"/>
    <mergeCell ref="M255:O255"/>
    <mergeCell ref="M256:O256"/>
    <mergeCell ref="M263:O263"/>
    <mergeCell ref="J279:K279"/>
    <mergeCell ref="M279:O279"/>
    <mergeCell ref="J267:K267"/>
    <mergeCell ref="J327:K327"/>
    <mergeCell ref="J328:K328"/>
    <mergeCell ref="J320:K320"/>
    <mergeCell ref="J314:K314"/>
    <mergeCell ref="J315:K315"/>
    <mergeCell ref="J316:K316"/>
    <mergeCell ref="J317:K317"/>
    <mergeCell ref="J318:K318"/>
    <mergeCell ref="J319:K319"/>
    <mergeCell ref="J305:K305"/>
    <mergeCell ref="J306:K306"/>
    <mergeCell ref="J307:K307"/>
    <mergeCell ref="J308:K308"/>
    <mergeCell ref="J309:K309"/>
    <mergeCell ref="J310:K310"/>
    <mergeCell ref="J263:K263"/>
    <mergeCell ref="J264:K264"/>
    <mergeCell ref="J265:K265"/>
    <mergeCell ref="J266:K266"/>
    <mergeCell ref="J269:K269"/>
    <mergeCell ref="J271:K271"/>
    <mergeCell ref="J313:K313"/>
    <mergeCell ref="J321:K321"/>
    <mergeCell ref="M315:O315"/>
    <mergeCell ref="M285:O285"/>
    <mergeCell ref="J325:K325"/>
    <mergeCell ref="M222:P222"/>
    <mergeCell ref="M223:P223"/>
    <mergeCell ref="M224:P224"/>
    <mergeCell ref="M225:P225"/>
    <mergeCell ref="M226:P226"/>
    <mergeCell ref="M227:P227"/>
    <mergeCell ref="M228:P228"/>
    <mergeCell ref="M229:P229"/>
    <mergeCell ref="M230:P230"/>
    <mergeCell ref="M231:P231"/>
    <mergeCell ref="M251:O251"/>
    <mergeCell ref="M252:O252"/>
    <mergeCell ref="M253:O253"/>
    <mergeCell ref="M254:O254"/>
    <mergeCell ref="M232:P232"/>
    <mergeCell ref="M233:P233"/>
    <mergeCell ref="M234:P234"/>
    <mergeCell ref="M180:P180"/>
    <mergeCell ref="M181:P181"/>
    <mergeCell ref="M182:P182"/>
    <mergeCell ref="M183:P183"/>
    <mergeCell ref="M184:P184"/>
    <mergeCell ref="M185:P185"/>
    <mergeCell ref="M186:P186"/>
    <mergeCell ref="M187:P187"/>
    <mergeCell ref="M188:P188"/>
    <mergeCell ref="M189:P189"/>
    <mergeCell ref="M235:P235"/>
    <mergeCell ref="M236:P236"/>
    <mergeCell ref="M237:P237"/>
    <mergeCell ref="M238:P238"/>
    <mergeCell ref="M204:P204"/>
    <mergeCell ref="M205:P205"/>
    <mergeCell ref="M206:P206"/>
    <mergeCell ref="M207:P207"/>
    <mergeCell ref="M208:P208"/>
    <mergeCell ref="M209:P209"/>
    <mergeCell ref="M210:P210"/>
    <mergeCell ref="M211:P211"/>
    <mergeCell ref="M212:P212"/>
    <mergeCell ref="M213:P213"/>
    <mergeCell ref="M214:P214"/>
    <mergeCell ref="M215:P215"/>
    <mergeCell ref="M216:P216"/>
    <mergeCell ref="M217:P217"/>
    <mergeCell ref="M218:P218"/>
    <mergeCell ref="M219:P219"/>
    <mergeCell ref="M220:P220"/>
    <mergeCell ref="M221:P221"/>
    <mergeCell ref="M125:P125"/>
    <mergeCell ref="M126:P126"/>
    <mergeCell ref="M127:P127"/>
    <mergeCell ref="M128:P128"/>
    <mergeCell ref="M129:P129"/>
    <mergeCell ref="M326:O326"/>
    <mergeCell ref="M162:P162"/>
    <mergeCell ref="M163:P163"/>
    <mergeCell ref="M164:P164"/>
    <mergeCell ref="M190:P190"/>
    <mergeCell ref="M191:P191"/>
    <mergeCell ref="M192:P192"/>
    <mergeCell ref="M165:P165"/>
    <mergeCell ref="M130:P130"/>
    <mergeCell ref="M131:P131"/>
    <mergeCell ref="M132:P132"/>
    <mergeCell ref="M133:P133"/>
    <mergeCell ref="M134:P134"/>
    <mergeCell ref="M135:P135"/>
    <mergeCell ref="M136:P136"/>
    <mergeCell ref="M137:P137"/>
    <mergeCell ref="M138:P138"/>
    <mergeCell ref="M139:P139"/>
    <mergeCell ref="M140:P140"/>
    <mergeCell ref="M141:P141"/>
    <mergeCell ref="M142:P142"/>
    <mergeCell ref="M143:P143"/>
    <mergeCell ref="M144:P144"/>
    <mergeCell ref="M173:P173"/>
    <mergeCell ref="M174:P174"/>
    <mergeCell ref="M175:P175"/>
    <mergeCell ref="M176:P176"/>
    <mergeCell ref="M297:O297"/>
    <mergeCell ref="M298:O298"/>
    <mergeCell ref="M299:O299"/>
    <mergeCell ref="M300:O300"/>
    <mergeCell ref="M301:O301"/>
    <mergeCell ref="M302:O302"/>
    <mergeCell ref="M268:O268"/>
    <mergeCell ref="M269:O269"/>
    <mergeCell ref="M316:O316"/>
    <mergeCell ref="M317:O317"/>
    <mergeCell ref="M318:O318"/>
    <mergeCell ref="M319:O319"/>
    <mergeCell ref="M320:O320"/>
    <mergeCell ref="M321:O321"/>
    <mergeCell ref="M314:O314"/>
    <mergeCell ref="M313:O313"/>
    <mergeCell ref="M304:O304"/>
    <mergeCell ref="M293:O293"/>
    <mergeCell ref="M305:O305"/>
    <mergeCell ref="M280:O280"/>
    <mergeCell ref="M281:O281"/>
    <mergeCell ref="M286:O286"/>
    <mergeCell ref="M287:O287"/>
    <mergeCell ref="M288:O288"/>
    <mergeCell ref="M289:O289"/>
    <mergeCell ref="M290:O290"/>
    <mergeCell ref="M291:O291"/>
    <mergeCell ref="M292:O292"/>
    <mergeCell ref="M273:O273"/>
    <mergeCell ref="R1:T1"/>
    <mergeCell ref="R2:T2"/>
    <mergeCell ref="R3:T3"/>
    <mergeCell ref="R4:T4"/>
    <mergeCell ref="F8:I8"/>
    <mergeCell ref="A1:F4"/>
    <mergeCell ref="M8:P8"/>
    <mergeCell ref="G3:G4"/>
    <mergeCell ref="H3:K4"/>
    <mergeCell ref="L3:L4"/>
    <mergeCell ref="M3:Q4"/>
    <mergeCell ref="G1:Q2"/>
    <mergeCell ref="M271:O271"/>
    <mergeCell ref="J272:K272"/>
    <mergeCell ref="M272:O272"/>
    <mergeCell ref="J270:K270"/>
    <mergeCell ref="M270:O270"/>
    <mergeCell ref="M250:O250"/>
    <mergeCell ref="M257:O257"/>
    <mergeCell ref="M258:O258"/>
    <mergeCell ref="M249:O249"/>
    <mergeCell ref="M198:P198"/>
    <mergeCell ref="M160:P160"/>
    <mergeCell ref="M161:P161"/>
    <mergeCell ref="M193:P193"/>
    <mergeCell ref="M194:P194"/>
    <mergeCell ref="M195:P195"/>
    <mergeCell ref="M196:P196"/>
    <mergeCell ref="M197:P197"/>
    <mergeCell ref="M122:P122"/>
    <mergeCell ref="M123:P123"/>
    <mergeCell ref="M124:P124"/>
    <mergeCell ref="J290:K290"/>
    <mergeCell ref="J291:K291"/>
    <mergeCell ref="M119:P119"/>
    <mergeCell ref="M120:P120"/>
    <mergeCell ref="M121:P121"/>
    <mergeCell ref="J303:K303"/>
    <mergeCell ref="J281:K281"/>
    <mergeCell ref="M264:O264"/>
    <mergeCell ref="M265:O265"/>
    <mergeCell ref="M266:O266"/>
    <mergeCell ref="M259:O259"/>
    <mergeCell ref="M260:O260"/>
    <mergeCell ref="M261:O261"/>
    <mergeCell ref="M262:O262"/>
    <mergeCell ref="M306:O306"/>
    <mergeCell ref="M307:O307"/>
    <mergeCell ref="M282:O282"/>
    <mergeCell ref="M283:O283"/>
    <mergeCell ref="M284:O284"/>
    <mergeCell ref="J276:K276"/>
    <mergeCell ref="M276:O276"/>
    <mergeCell ref="J277:K277"/>
    <mergeCell ref="M277:O277"/>
    <mergeCell ref="J274:K274"/>
    <mergeCell ref="M274:O274"/>
    <mergeCell ref="J275:K275"/>
    <mergeCell ref="M275:O275"/>
    <mergeCell ref="M267:O267"/>
    <mergeCell ref="J293:K293"/>
    <mergeCell ref="J294:K294"/>
    <mergeCell ref="J295:K295"/>
    <mergeCell ref="J296:K296"/>
    <mergeCell ref="J297:K297"/>
    <mergeCell ref="J282:K282"/>
    <mergeCell ref="M303:O303"/>
    <mergeCell ref="J304:K304"/>
    <mergeCell ref="J298:K298"/>
    <mergeCell ref="M294:O294"/>
    <mergeCell ref="M295:O295"/>
    <mergeCell ref="M296:O296"/>
    <mergeCell ref="J268:K268"/>
    <mergeCell ref="M278:O278"/>
    <mergeCell ref="J239:L239"/>
    <mergeCell ref="J240:L240"/>
    <mergeCell ref="J241:L241"/>
    <mergeCell ref="J242:L242"/>
    <mergeCell ref="J243:L243"/>
    <mergeCell ref="J244:L244"/>
    <mergeCell ref="J245:L245"/>
    <mergeCell ref="J246:L246"/>
    <mergeCell ref="J247:L247"/>
    <mergeCell ref="J248:L248"/>
    <mergeCell ref="M239:P239"/>
    <mergeCell ref="M240:P240"/>
    <mergeCell ref="M241:P241"/>
    <mergeCell ref="M242:P242"/>
    <mergeCell ref="M243:P243"/>
    <mergeCell ref="M244:P244"/>
    <mergeCell ref="M245:P245"/>
    <mergeCell ref="M246:P246"/>
    <mergeCell ref="M247:P247"/>
    <mergeCell ref="M248:P248"/>
    <mergeCell ref="J292:K292"/>
    <mergeCell ref="J273:K273"/>
  </mergeCells>
  <phoneticPr fontId="46" type="noConversion"/>
  <printOptions horizontalCentered="1"/>
  <pageMargins left="0.23622047244094491" right="0.23622047244094491" top="0.35433070866141736" bottom="0.35433070866141736" header="0.31496062992125984" footer="0.31496062992125984"/>
  <pageSetup paperSize="9" scale="46"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00B050"/>
    <pageSetUpPr fitToPage="1"/>
  </sheetPr>
  <dimension ref="A1:Y51"/>
  <sheetViews>
    <sheetView zoomScale="69" zoomScaleNormal="69" workbookViewId="0">
      <selection activeCell="M17" sqref="M17"/>
    </sheetView>
  </sheetViews>
  <sheetFormatPr baseColWidth="10" defaultColWidth="0" defaultRowHeight="15" zeroHeight="1" x14ac:dyDescent="0.25"/>
  <cols>
    <col min="1" max="8" width="11.42578125" customWidth="1"/>
    <col min="9" max="9" width="11.5703125" bestFit="1" customWidth="1"/>
    <col min="10" max="21" width="11.42578125" customWidth="1"/>
    <col min="22" max="25" width="0" hidden="1" customWidth="1"/>
    <col min="26" max="16384" width="11.42578125" hidden="1"/>
  </cols>
  <sheetData>
    <row r="1" spans="1:25" ht="18" customHeight="1" x14ac:dyDescent="0.25">
      <c r="A1" s="515"/>
      <c r="B1" s="516"/>
      <c r="C1" s="516"/>
      <c r="D1" s="518"/>
      <c r="E1" s="542" t="s">
        <v>124</v>
      </c>
      <c r="F1" s="543"/>
      <c r="G1" s="543"/>
      <c r="H1" s="543"/>
      <c r="I1" s="543"/>
      <c r="J1" s="543"/>
      <c r="K1" s="543"/>
      <c r="L1" s="543"/>
      <c r="M1" s="543"/>
      <c r="N1" s="543"/>
      <c r="O1" s="543"/>
      <c r="P1" s="543"/>
      <c r="Q1" s="544"/>
      <c r="R1" s="706" t="s">
        <v>1</v>
      </c>
      <c r="S1" s="707"/>
      <c r="T1" s="501"/>
      <c r="U1" s="708"/>
    </row>
    <row r="2" spans="1:25" ht="18" customHeight="1" thickBot="1" x14ac:dyDescent="0.3">
      <c r="A2" s="519"/>
      <c r="B2" s="520"/>
      <c r="C2" s="520"/>
      <c r="D2" s="522"/>
      <c r="E2" s="545"/>
      <c r="F2" s="546"/>
      <c r="G2" s="546"/>
      <c r="H2" s="546"/>
      <c r="I2" s="546"/>
      <c r="J2" s="546"/>
      <c r="K2" s="546"/>
      <c r="L2" s="546"/>
      <c r="M2" s="546"/>
      <c r="N2" s="546"/>
      <c r="O2" s="546"/>
      <c r="P2" s="546"/>
      <c r="Q2" s="547"/>
      <c r="R2" s="709" t="s">
        <v>1143</v>
      </c>
      <c r="S2" s="710"/>
      <c r="T2" s="504"/>
      <c r="U2" s="711"/>
    </row>
    <row r="3" spans="1:25" ht="18" customHeight="1" x14ac:dyDescent="0.25">
      <c r="A3" s="519"/>
      <c r="B3" s="520"/>
      <c r="C3" s="520"/>
      <c r="D3" s="522"/>
      <c r="E3" s="530" t="s">
        <v>5</v>
      </c>
      <c r="F3" s="532" t="str">
        <f>'INFORME AUDIT INTERNA'!C3</f>
        <v>MARCILLA</v>
      </c>
      <c r="G3" s="532"/>
      <c r="H3" s="532"/>
      <c r="I3" s="533"/>
      <c r="J3" s="536" t="s">
        <v>7</v>
      </c>
      <c r="K3" s="538">
        <v>2026</v>
      </c>
      <c r="L3" s="538"/>
      <c r="M3" s="538"/>
      <c r="N3" s="538"/>
      <c r="O3" s="538"/>
      <c r="P3" s="538"/>
      <c r="Q3" s="712"/>
      <c r="R3" s="714" t="s">
        <v>1144</v>
      </c>
      <c r="S3" s="715"/>
      <c r="T3" s="507"/>
      <c r="U3" s="716"/>
      <c r="X3" s="1"/>
      <c r="Y3" s="1"/>
    </row>
    <row r="4" spans="1:25" ht="18" customHeight="1" thickBot="1" x14ac:dyDescent="0.3">
      <c r="A4" s="523"/>
      <c r="B4" s="524"/>
      <c r="C4" s="524"/>
      <c r="D4" s="526"/>
      <c r="E4" s="531"/>
      <c r="F4" s="534"/>
      <c r="G4" s="534"/>
      <c r="H4" s="534"/>
      <c r="I4" s="535"/>
      <c r="J4" s="537"/>
      <c r="K4" s="540"/>
      <c r="L4" s="540"/>
      <c r="M4" s="540"/>
      <c r="N4" s="540"/>
      <c r="O4" s="540"/>
      <c r="P4" s="540"/>
      <c r="Q4" s="713"/>
      <c r="R4" s="717" t="s">
        <v>1145</v>
      </c>
      <c r="S4" s="718"/>
      <c r="T4" s="510"/>
      <c r="U4" s="719"/>
      <c r="X4" s="43"/>
    </row>
    <row r="5" spans="1:25" x14ac:dyDescent="0.25"/>
    <row r="6" spans="1:25" ht="36" x14ac:dyDescent="0.55000000000000004">
      <c r="I6" s="128" t="s">
        <v>1146</v>
      </c>
    </row>
    <row r="7" spans="1:25" x14ac:dyDescent="0.25">
      <c r="H7" s="130" t="s">
        <v>1147</v>
      </c>
      <c r="O7" s="130"/>
    </row>
    <row r="8" spans="1:25" x14ac:dyDescent="0.25"/>
    <row r="9" spans="1:25" x14ac:dyDescent="0.25"/>
    <row r="10" spans="1:25" x14ac:dyDescent="0.25"/>
    <row r="11" spans="1:25" x14ac:dyDescent="0.25"/>
    <row r="12" spans="1:25" x14ac:dyDescent="0.25"/>
    <row r="13" spans="1:25" x14ac:dyDescent="0.25"/>
    <row r="14" spans="1:25" x14ac:dyDescent="0.25">
      <c r="I14" s="129"/>
    </row>
    <row r="15" spans="1:25" x14ac:dyDescent="0.25"/>
    <row r="16" spans="1:25" x14ac:dyDescent="0.25"/>
    <row r="17" spans="5:16" x14ac:dyDescent="0.25">
      <c r="H17" s="129" t="s">
        <v>1148</v>
      </c>
    </row>
    <row r="18" spans="5:16" x14ac:dyDescent="0.25"/>
    <row r="19" spans="5:16" x14ac:dyDescent="0.25"/>
    <row r="20" spans="5:16" x14ac:dyDescent="0.25"/>
    <row r="21" spans="5:16" x14ac:dyDescent="0.25"/>
    <row r="22" spans="5:16" x14ac:dyDescent="0.25"/>
    <row r="23" spans="5:16" x14ac:dyDescent="0.25"/>
    <row r="24" spans="5:16" x14ac:dyDescent="0.25"/>
    <row r="25" spans="5:16" x14ac:dyDescent="0.25"/>
    <row r="26" spans="5:16" x14ac:dyDescent="0.25"/>
    <row r="27" spans="5:16" x14ac:dyDescent="0.25"/>
    <row r="28" spans="5:16" x14ac:dyDescent="0.25"/>
    <row r="29" spans="5:16" ht="15.75" thickBot="1" x14ac:dyDescent="0.3"/>
    <row r="30" spans="5:16" ht="15.75" thickBot="1" x14ac:dyDescent="0.3">
      <c r="E30" s="860" t="s">
        <v>1149</v>
      </c>
      <c r="F30" s="861"/>
      <c r="G30" s="861"/>
      <c r="H30" s="861"/>
      <c r="I30" s="861"/>
      <c r="J30" s="861"/>
      <c r="K30" s="861"/>
      <c r="L30" s="861"/>
      <c r="M30" s="861"/>
      <c r="N30" s="861"/>
      <c r="O30" s="861"/>
      <c r="P30" s="862"/>
    </row>
    <row r="31" spans="5:16" ht="15.75" thickBot="1" x14ac:dyDescent="0.3">
      <c r="E31" s="863" t="s">
        <v>1150</v>
      </c>
      <c r="F31" s="864"/>
      <c r="G31" s="864"/>
      <c r="H31" s="865"/>
      <c r="I31" s="863" t="s">
        <v>1151</v>
      </c>
      <c r="J31" s="864"/>
      <c r="K31" s="864"/>
      <c r="L31" s="865"/>
      <c r="M31" s="863" t="s">
        <v>1152</v>
      </c>
      <c r="N31" s="864"/>
      <c r="O31" s="864"/>
      <c r="P31" s="865"/>
    </row>
    <row r="32" spans="5:16" x14ac:dyDescent="0.25">
      <c r="E32" s="866"/>
      <c r="F32" s="579"/>
      <c r="G32" s="579"/>
      <c r="H32" s="867"/>
      <c r="I32" s="866"/>
      <c r="J32" s="579"/>
      <c r="K32" s="579"/>
      <c r="L32" s="867"/>
      <c r="M32" s="866"/>
      <c r="N32" s="579"/>
      <c r="O32" s="579"/>
      <c r="P32" s="867"/>
    </row>
    <row r="33" spans="5:16" x14ac:dyDescent="0.25">
      <c r="E33" s="868"/>
      <c r="F33" s="869"/>
      <c r="G33" s="869"/>
      <c r="H33" s="870"/>
      <c r="I33" s="868"/>
      <c r="J33" s="869"/>
      <c r="K33" s="869"/>
      <c r="L33" s="870"/>
      <c r="M33" s="868"/>
      <c r="N33" s="869"/>
      <c r="O33" s="869"/>
      <c r="P33" s="870"/>
    </row>
    <row r="34" spans="5:16" x14ac:dyDescent="0.25">
      <c r="E34" s="868"/>
      <c r="F34" s="869"/>
      <c r="G34" s="869"/>
      <c r="H34" s="870"/>
      <c r="I34" s="868"/>
      <c r="J34" s="869"/>
      <c r="K34" s="869"/>
      <c r="L34" s="870"/>
      <c r="M34" s="868"/>
      <c r="N34" s="869"/>
      <c r="O34" s="869"/>
      <c r="P34" s="870"/>
    </row>
    <row r="35" spans="5:16" x14ac:dyDescent="0.25">
      <c r="E35" s="868"/>
      <c r="F35" s="869"/>
      <c r="G35" s="869"/>
      <c r="H35" s="870"/>
      <c r="I35" s="868"/>
      <c r="J35" s="869"/>
      <c r="K35" s="869"/>
      <c r="L35" s="870"/>
      <c r="M35" s="868"/>
      <c r="N35" s="869"/>
      <c r="O35" s="869"/>
      <c r="P35" s="870"/>
    </row>
    <row r="36" spans="5:16" x14ac:dyDescent="0.25">
      <c r="E36" s="868"/>
      <c r="F36" s="869"/>
      <c r="G36" s="869"/>
      <c r="H36" s="870"/>
      <c r="I36" s="868"/>
      <c r="J36" s="869"/>
      <c r="K36" s="869"/>
      <c r="L36" s="870"/>
      <c r="M36" s="868"/>
      <c r="N36" s="869"/>
      <c r="O36" s="869"/>
      <c r="P36" s="870"/>
    </row>
    <row r="37" spans="5:16" x14ac:dyDescent="0.25">
      <c r="E37" s="868"/>
      <c r="F37" s="869"/>
      <c r="G37" s="869"/>
      <c r="H37" s="870"/>
      <c r="I37" s="868"/>
      <c r="J37" s="869"/>
      <c r="K37" s="869"/>
      <c r="L37" s="870"/>
      <c r="M37" s="868"/>
      <c r="N37" s="869"/>
      <c r="O37" s="869"/>
      <c r="P37" s="870"/>
    </row>
    <row r="38" spans="5:16" x14ac:dyDescent="0.25">
      <c r="E38" s="868"/>
      <c r="F38" s="869"/>
      <c r="G38" s="869"/>
      <c r="H38" s="870"/>
      <c r="I38" s="868"/>
      <c r="J38" s="869"/>
      <c r="K38" s="869"/>
      <c r="L38" s="870"/>
      <c r="M38" s="868"/>
      <c r="N38" s="869"/>
      <c r="O38" s="869"/>
      <c r="P38" s="870"/>
    </row>
    <row r="39" spans="5:16" x14ac:dyDescent="0.25">
      <c r="E39" s="868"/>
      <c r="F39" s="869"/>
      <c r="G39" s="869"/>
      <c r="H39" s="870"/>
      <c r="I39" s="868"/>
      <c r="J39" s="869"/>
      <c r="K39" s="869"/>
      <c r="L39" s="870"/>
      <c r="M39" s="868"/>
      <c r="N39" s="869"/>
      <c r="O39" s="869"/>
      <c r="P39" s="870"/>
    </row>
    <row r="40" spans="5:16" ht="15.75" thickBot="1" x14ac:dyDescent="0.3">
      <c r="E40" s="124" t="s">
        <v>1153</v>
      </c>
      <c r="F40" s="125" t="s">
        <v>202</v>
      </c>
      <c r="G40" s="125" t="s">
        <v>1154</v>
      </c>
      <c r="H40" s="126" t="s">
        <v>1155</v>
      </c>
      <c r="I40" s="124" t="s">
        <v>1153</v>
      </c>
      <c r="J40" s="125" t="s">
        <v>202</v>
      </c>
      <c r="K40" s="125" t="s">
        <v>1154</v>
      </c>
      <c r="L40" s="126" t="s">
        <v>1155</v>
      </c>
      <c r="M40" s="124" t="s">
        <v>1153</v>
      </c>
      <c r="N40" s="125" t="s">
        <v>202</v>
      </c>
      <c r="O40" s="125" t="s">
        <v>1154</v>
      </c>
      <c r="P40" s="126" t="s">
        <v>1155</v>
      </c>
    </row>
    <row r="41" spans="5:16" ht="15.75" thickBot="1" x14ac:dyDescent="0.3">
      <c r="E41" s="863" t="s">
        <v>1156</v>
      </c>
      <c r="F41" s="864"/>
      <c r="G41" s="864"/>
      <c r="H41" s="865"/>
      <c r="I41" s="863" t="s">
        <v>1157</v>
      </c>
      <c r="J41" s="864"/>
      <c r="K41" s="864"/>
      <c r="L41" s="865"/>
      <c r="M41" s="863" t="s">
        <v>1158</v>
      </c>
      <c r="N41" s="864"/>
      <c r="O41" s="864"/>
      <c r="P41" s="865"/>
    </row>
    <row r="42" spans="5:16" x14ac:dyDescent="0.25">
      <c r="E42" s="866"/>
      <c r="F42" s="579"/>
      <c r="G42" s="579"/>
      <c r="H42" s="867"/>
      <c r="I42" s="866"/>
      <c r="J42" s="579"/>
      <c r="K42" s="579"/>
      <c r="L42" s="867"/>
      <c r="M42" s="866"/>
      <c r="N42" s="579"/>
      <c r="O42" s="579"/>
      <c r="P42" s="867"/>
    </row>
    <row r="43" spans="5:16" x14ac:dyDescent="0.25">
      <c r="E43" s="868"/>
      <c r="F43" s="869"/>
      <c r="G43" s="869"/>
      <c r="H43" s="870"/>
      <c r="I43" s="868"/>
      <c r="J43" s="869"/>
      <c r="K43" s="869"/>
      <c r="L43" s="870"/>
      <c r="M43" s="868"/>
      <c r="N43" s="869"/>
      <c r="O43" s="869"/>
      <c r="P43" s="870"/>
    </row>
    <row r="44" spans="5:16" x14ac:dyDescent="0.25">
      <c r="E44" s="868"/>
      <c r="F44" s="869"/>
      <c r="G44" s="869"/>
      <c r="H44" s="870"/>
      <c r="I44" s="868"/>
      <c r="J44" s="869"/>
      <c r="K44" s="869"/>
      <c r="L44" s="870"/>
      <c r="M44" s="868"/>
      <c r="N44" s="869"/>
      <c r="O44" s="869"/>
      <c r="P44" s="870"/>
    </row>
    <row r="45" spans="5:16" x14ac:dyDescent="0.25">
      <c r="E45" s="868"/>
      <c r="F45" s="869"/>
      <c r="G45" s="869"/>
      <c r="H45" s="870"/>
      <c r="I45" s="868"/>
      <c r="J45" s="869"/>
      <c r="K45" s="869"/>
      <c r="L45" s="870"/>
      <c r="M45" s="868"/>
      <c r="N45" s="869"/>
      <c r="O45" s="869"/>
      <c r="P45" s="870"/>
    </row>
    <row r="46" spans="5:16" x14ac:dyDescent="0.25">
      <c r="E46" s="868"/>
      <c r="F46" s="869"/>
      <c r="G46" s="869"/>
      <c r="H46" s="870"/>
      <c r="I46" s="868"/>
      <c r="J46" s="869"/>
      <c r="K46" s="869"/>
      <c r="L46" s="870"/>
      <c r="M46" s="868"/>
      <c r="N46" s="869"/>
      <c r="O46" s="869"/>
      <c r="P46" s="870"/>
    </row>
    <row r="47" spans="5:16" x14ac:dyDescent="0.25">
      <c r="E47" s="868"/>
      <c r="F47" s="869"/>
      <c r="G47" s="869"/>
      <c r="H47" s="870"/>
      <c r="I47" s="868"/>
      <c r="J47" s="869"/>
      <c r="K47" s="869"/>
      <c r="L47" s="870"/>
      <c r="M47" s="868"/>
      <c r="N47" s="869"/>
      <c r="O47" s="869"/>
      <c r="P47" s="870"/>
    </row>
    <row r="48" spans="5:16" x14ac:dyDescent="0.25">
      <c r="E48" s="868"/>
      <c r="F48" s="869"/>
      <c r="G48" s="869"/>
      <c r="H48" s="870"/>
      <c r="I48" s="868"/>
      <c r="J48" s="869"/>
      <c r="K48" s="869"/>
      <c r="L48" s="870"/>
      <c r="M48" s="868"/>
      <c r="N48" s="869"/>
      <c r="O48" s="869"/>
      <c r="P48" s="870"/>
    </row>
    <row r="49" spans="5:16" x14ac:dyDescent="0.25">
      <c r="E49" s="868"/>
      <c r="F49" s="869"/>
      <c r="G49" s="869"/>
      <c r="H49" s="870"/>
      <c r="I49" s="868"/>
      <c r="J49" s="869"/>
      <c r="K49" s="869"/>
      <c r="L49" s="870"/>
      <c r="M49" s="868"/>
      <c r="N49" s="869"/>
      <c r="O49" s="869"/>
      <c r="P49" s="870"/>
    </row>
    <row r="50" spans="5:16" ht="15.75" thickBot="1" x14ac:dyDescent="0.3">
      <c r="E50" s="124" t="s">
        <v>1153</v>
      </c>
      <c r="F50" s="125" t="s">
        <v>202</v>
      </c>
      <c r="G50" s="125" t="s">
        <v>1154</v>
      </c>
      <c r="H50" s="126" t="s">
        <v>1155</v>
      </c>
      <c r="I50" s="124" t="s">
        <v>1153</v>
      </c>
      <c r="J50" s="125" t="s">
        <v>202</v>
      </c>
      <c r="K50" s="125" t="s">
        <v>1154</v>
      </c>
      <c r="L50" s="126" t="s">
        <v>1155</v>
      </c>
      <c r="M50" s="124" t="s">
        <v>1153</v>
      </c>
      <c r="N50" s="125" t="s">
        <v>202</v>
      </c>
      <c r="O50" s="125" t="s">
        <v>1154</v>
      </c>
      <c r="P50" s="126" t="s">
        <v>1155</v>
      </c>
    </row>
    <row r="51" spans="5:16" x14ac:dyDescent="0.25"/>
  </sheetData>
  <mergeCells count="47">
    <mergeCell ref="R1:U1"/>
    <mergeCell ref="R2:U2"/>
    <mergeCell ref="E3:E4"/>
    <mergeCell ref="F3:I4"/>
    <mergeCell ref="J3:J4"/>
    <mergeCell ref="K3:Q4"/>
    <mergeCell ref="R3:U3"/>
    <mergeCell ref="R4:U4"/>
    <mergeCell ref="M47:M49"/>
    <mergeCell ref="N47:N49"/>
    <mergeCell ref="O47:O49"/>
    <mergeCell ref="P47:P49"/>
    <mergeCell ref="A1:D4"/>
    <mergeCell ref="E1:Q2"/>
    <mergeCell ref="E47:E49"/>
    <mergeCell ref="F47:F49"/>
    <mergeCell ref="G47:G49"/>
    <mergeCell ref="H47:H49"/>
    <mergeCell ref="I41:L41"/>
    <mergeCell ref="I42:L46"/>
    <mergeCell ref="I47:I49"/>
    <mergeCell ref="J47:J49"/>
    <mergeCell ref="K47:K49"/>
    <mergeCell ref="L47:L49"/>
    <mergeCell ref="M37:M39"/>
    <mergeCell ref="N37:N39"/>
    <mergeCell ref="O37:O39"/>
    <mergeCell ref="P37:P39"/>
    <mergeCell ref="E42:H46"/>
    <mergeCell ref="M41:P41"/>
    <mergeCell ref="M42:P46"/>
    <mergeCell ref="E30:P30"/>
    <mergeCell ref="E31:H31"/>
    <mergeCell ref="I31:L31"/>
    <mergeCell ref="M31:P31"/>
    <mergeCell ref="E41:H41"/>
    <mergeCell ref="E32:H36"/>
    <mergeCell ref="E37:E39"/>
    <mergeCell ref="F37:F39"/>
    <mergeCell ref="G37:G39"/>
    <mergeCell ref="H37:H39"/>
    <mergeCell ref="I32:L36"/>
    <mergeCell ref="I37:I39"/>
    <mergeCell ref="J37:J39"/>
    <mergeCell ref="K37:K39"/>
    <mergeCell ref="L37:L39"/>
    <mergeCell ref="M32:P36"/>
  </mergeCells>
  <printOptions horizontalCentered="1"/>
  <pageMargins left="0.23622047244094491" right="0.23622047244094491" top="0.39370078740157483" bottom="0.35433070866141736" header="0.31496062992125984" footer="0.31496062992125984"/>
  <pageSetup paperSize="9" scale="59"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B984-98DA-4D3C-A594-88563A66C5D8}">
  <sheetPr codeName="Hoja5">
    <tabColor rgb="FF00B050"/>
    <pageSetUpPr fitToPage="1"/>
  </sheetPr>
  <dimension ref="A1:Y59"/>
  <sheetViews>
    <sheetView zoomScale="70" zoomScaleNormal="70" workbookViewId="0">
      <selection activeCell="M33" sqref="M33"/>
    </sheetView>
  </sheetViews>
  <sheetFormatPr baseColWidth="10" defaultColWidth="0" defaultRowHeight="15" customHeight="1" zeroHeight="1" x14ac:dyDescent="0.25"/>
  <cols>
    <col min="1" max="4" width="11.42578125" customWidth="1"/>
    <col min="5" max="5" width="14.42578125" customWidth="1"/>
    <col min="6" max="7" width="13.5703125" customWidth="1"/>
    <col min="8" max="8" width="12.5703125" customWidth="1"/>
    <col min="9" max="9" width="2.5703125" customWidth="1"/>
    <col min="10" max="10" width="15.42578125" customWidth="1"/>
    <col min="11" max="11" width="13" customWidth="1"/>
    <col min="12" max="12" width="19.5703125" customWidth="1"/>
    <col min="13" max="13" width="31.42578125" customWidth="1"/>
    <col min="14" max="14" width="5" customWidth="1"/>
    <col min="15" max="19" width="11.42578125" customWidth="1"/>
    <col min="20" max="20" width="2.5703125" customWidth="1"/>
    <col min="21" max="21" width="11.42578125" customWidth="1"/>
    <col min="22" max="25" width="0" hidden="1" customWidth="1"/>
    <col min="26" max="16384" width="11.42578125" hidden="1"/>
  </cols>
  <sheetData>
    <row r="1" spans="1:25" ht="18" customHeight="1" x14ac:dyDescent="0.25">
      <c r="A1" s="515"/>
      <c r="B1" s="516"/>
      <c r="C1" s="516"/>
      <c r="D1" s="518"/>
      <c r="E1" s="542" t="s">
        <v>1159</v>
      </c>
      <c r="F1" s="543"/>
      <c r="G1" s="543"/>
      <c r="H1" s="543"/>
      <c r="I1" s="543"/>
      <c r="J1" s="543"/>
      <c r="K1" s="543"/>
      <c r="L1" s="543"/>
      <c r="M1" s="543"/>
      <c r="N1" s="543"/>
      <c r="O1" s="543"/>
      <c r="P1" s="543"/>
      <c r="Q1" s="544"/>
      <c r="R1" s="706" t="s">
        <v>1</v>
      </c>
      <c r="S1" s="707"/>
      <c r="T1" s="501"/>
      <c r="U1" s="708"/>
    </row>
    <row r="2" spans="1:25" ht="18" customHeight="1" thickBot="1" x14ac:dyDescent="0.3">
      <c r="A2" s="519"/>
      <c r="B2" s="520"/>
      <c r="C2" s="520"/>
      <c r="D2" s="522"/>
      <c r="E2" s="545"/>
      <c r="F2" s="546"/>
      <c r="G2" s="546"/>
      <c r="H2" s="546"/>
      <c r="I2" s="546"/>
      <c r="J2" s="546"/>
      <c r="K2" s="546"/>
      <c r="L2" s="546"/>
      <c r="M2" s="546"/>
      <c r="N2" s="546"/>
      <c r="O2" s="546"/>
      <c r="P2" s="546"/>
      <c r="Q2" s="547"/>
      <c r="R2" s="709" t="s">
        <v>4</v>
      </c>
      <c r="S2" s="710"/>
      <c r="T2" s="504"/>
      <c r="U2" s="711"/>
    </row>
    <row r="3" spans="1:25" ht="18" customHeight="1" x14ac:dyDescent="0.25">
      <c r="A3" s="519"/>
      <c r="B3" s="520"/>
      <c r="C3" s="520"/>
      <c r="D3" s="522"/>
      <c r="E3" s="530" t="s">
        <v>5</v>
      </c>
      <c r="F3" s="532" t="s">
        <v>6</v>
      </c>
      <c r="G3" s="532"/>
      <c r="H3" s="532"/>
      <c r="I3" s="533"/>
      <c r="J3" s="536" t="s">
        <v>1160</v>
      </c>
      <c r="K3" s="532"/>
      <c r="L3" s="532"/>
      <c r="M3" s="532"/>
      <c r="N3" s="532"/>
      <c r="O3" s="532"/>
      <c r="P3" s="532"/>
      <c r="Q3" s="533"/>
      <c r="R3" s="714">
        <v>45567</v>
      </c>
      <c r="S3" s="715"/>
      <c r="T3" s="507"/>
      <c r="U3" s="716"/>
      <c r="X3" s="1"/>
      <c r="Y3" s="1"/>
    </row>
    <row r="4" spans="1:25" ht="15.75" thickBot="1" x14ac:dyDescent="0.3">
      <c r="A4" s="523"/>
      <c r="B4" s="524"/>
      <c r="C4" s="524"/>
      <c r="D4" s="526"/>
      <c r="E4" s="531"/>
      <c r="F4" s="534"/>
      <c r="G4" s="534"/>
      <c r="H4" s="534"/>
      <c r="I4" s="535"/>
      <c r="J4" s="537"/>
      <c r="K4" s="534"/>
      <c r="L4" s="534"/>
      <c r="M4" s="534"/>
      <c r="N4" s="534"/>
      <c r="O4" s="534"/>
      <c r="P4" s="534"/>
      <c r="Q4" s="535"/>
      <c r="R4" s="717" t="s">
        <v>1161</v>
      </c>
      <c r="S4" s="718"/>
      <c r="T4" s="510"/>
      <c r="U4" s="719"/>
      <c r="X4" s="43"/>
    </row>
    <row r="5" spans="1:25" x14ac:dyDescent="0.25"/>
    <row r="6" spans="1:25" ht="28.5" x14ac:dyDescent="0.45">
      <c r="G6" s="127" t="s">
        <v>1162</v>
      </c>
    </row>
    <row r="7" spans="1:25" ht="29.25" thickBot="1" x14ac:dyDescent="0.5">
      <c r="G7" s="127"/>
    </row>
    <row r="8" spans="1:25" ht="18" customHeight="1" thickBot="1" x14ac:dyDescent="0.3">
      <c r="E8" s="886" t="s">
        <v>1163</v>
      </c>
      <c r="F8" s="888"/>
      <c r="G8" s="886" t="s">
        <v>1164</v>
      </c>
      <c r="H8" s="888"/>
      <c r="I8" s="922" t="s">
        <v>1165</v>
      </c>
      <c r="J8" s="923"/>
      <c r="O8" s="924"/>
      <c r="P8" s="924"/>
      <c r="S8" s="924"/>
      <c r="T8" s="924"/>
    </row>
    <row r="9" spans="1:25" ht="15" customHeight="1" x14ac:dyDescent="0.25">
      <c r="B9" s="616" t="s">
        <v>14</v>
      </c>
      <c r="C9" s="617"/>
      <c r="D9" s="617"/>
      <c r="E9" s="616" t="s">
        <v>15</v>
      </c>
      <c r="F9" s="625"/>
      <c r="G9" s="616" t="s">
        <v>15</v>
      </c>
      <c r="H9" s="625"/>
      <c r="I9" s="616" t="s">
        <v>15</v>
      </c>
      <c r="J9" s="625"/>
    </row>
    <row r="10" spans="1:25" ht="15" customHeight="1" thickBot="1" x14ac:dyDescent="0.3">
      <c r="B10" s="618"/>
      <c r="C10" s="619"/>
      <c r="D10" s="619"/>
      <c r="E10" s="618"/>
      <c r="F10" s="626"/>
      <c r="G10" s="618"/>
      <c r="H10" s="626"/>
      <c r="I10" s="618"/>
      <c r="J10" s="626"/>
    </row>
    <row r="11" spans="1:25" ht="15.75" customHeight="1" thickBot="1" x14ac:dyDescent="0.3">
      <c r="B11" s="618"/>
      <c r="C11" s="619"/>
      <c r="D11" s="619"/>
      <c r="E11" s="620"/>
      <c r="F11" s="627"/>
      <c r="G11" s="620"/>
      <c r="H11" s="627"/>
      <c r="I11" s="620"/>
      <c r="J11" s="627"/>
      <c r="L11" s="925" t="s">
        <v>1166</v>
      </c>
      <c r="M11" s="926"/>
    </row>
    <row r="12" spans="1:25" ht="14.85" customHeight="1" thickBot="1" x14ac:dyDescent="0.3">
      <c r="B12" s="628" t="s">
        <v>17</v>
      </c>
      <c r="C12" s="629"/>
      <c r="D12" s="630"/>
      <c r="E12" s="929"/>
      <c r="F12" s="930"/>
      <c r="G12" s="929"/>
      <c r="H12" s="930"/>
      <c r="I12" s="908">
        <f>E12-G12</f>
        <v>0</v>
      </c>
      <c r="J12" s="909"/>
      <c r="L12" s="927"/>
      <c r="M12" s="928"/>
    </row>
    <row r="13" spans="1:25" ht="21" customHeight="1" thickBot="1" x14ac:dyDescent="0.3">
      <c r="B13" s="919"/>
      <c r="C13" s="920"/>
      <c r="D13" s="921"/>
      <c r="E13" s="931"/>
      <c r="F13" s="932"/>
      <c r="G13" s="931"/>
      <c r="H13" s="932"/>
      <c r="I13" s="910"/>
      <c r="J13" s="911"/>
      <c r="L13" s="417" t="s">
        <v>1167</v>
      </c>
      <c r="M13" s="418">
        <v>0.05</v>
      </c>
    </row>
    <row r="14" spans="1:25" ht="21" customHeight="1" thickBot="1" x14ac:dyDescent="0.3">
      <c r="B14" s="901" t="s">
        <v>18</v>
      </c>
      <c r="C14" s="902"/>
      <c r="D14" s="903"/>
      <c r="E14" s="904"/>
      <c r="F14" s="905"/>
      <c r="G14" s="904"/>
      <c r="H14" s="905"/>
      <c r="I14" s="908">
        <f>E14-G14</f>
        <v>0</v>
      </c>
      <c r="J14" s="909"/>
      <c r="L14" s="417" t="s">
        <v>1164</v>
      </c>
      <c r="M14" s="419"/>
    </row>
    <row r="15" spans="1:25" ht="20.25" customHeight="1" thickBot="1" x14ac:dyDescent="0.3">
      <c r="B15" s="919"/>
      <c r="C15" s="920"/>
      <c r="D15" s="921"/>
      <c r="E15" s="906"/>
      <c r="F15" s="907"/>
      <c r="G15" s="906"/>
      <c r="H15" s="907"/>
      <c r="I15" s="910"/>
      <c r="J15" s="911"/>
      <c r="L15" s="420" t="s">
        <v>1168</v>
      </c>
      <c r="M15" s="442"/>
    </row>
    <row r="16" spans="1:25" ht="24.75" customHeight="1" thickBot="1" x14ac:dyDescent="0.3">
      <c r="B16" s="901" t="s">
        <v>19</v>
      </c>
      <c r="C16" s="902"/>
      <c r="D16" s="903"/>
      <c r="E16" s="904"/>
      <c r="F16" s="905"/>
      <c r="G16" s="904"/>
      <c r="H16" s="905"/>
      <c r="I16" s="908">
        <f>E16-G16</f>
        <v>0</v>
      </c>
      <c r="J16" s="909"/>
      <c r="L16" s="417" t="s">
        <v>1169</v>
      </c>
      <c r="M16" s="433"/>
    </row>
    <row r="17" spans="1:12" ht="24.75" customHeight="1" thickBot="1" x14ac:dyDescent="0.3">
      <c r="B17" s="919"/>
      <c r="C17" s="920"/>
      <c r="D17" s="921"/>
      <c r="E17" s="906"/>
      <c r="F17" s="907"/>
      <c r="G17" s="906"/>
      <c r="H17" s="907"/>
      <c r="I17" s="910"/>
      <c r="J17" s="911"/>
    </row>
    <row r="18" spans="1:12" ht="14.85" customHeight="1" x14ac:dyDescent="0.25">
      <c r="B18" s="901" t="s">
        <v>21</v>
      </c>
      <c r="C18" s="902"/>
      <c r="D18" s="903"/>
      <c r="E18" s="904"/>
      <c r="F18" s="905"/>
      <c r="G18" s="904"/>
      <c r="H18" s="905"/>
      <c r="I18" s="908">
        <f>E18-G18</f>
        <v>0</v>
      </c>
      <c r="J18" s="909"/>
    </row>
    <row r="19" spans="1:12" ht="26.25" customHeight="1" thickBot="1" x14ac:dyDescent="0.3">
      <c r="B19" s="567"/>
      <c r="C19" s="568"/>
      <c r="D19" s="569"/>
      <c r="E19" s="906"/>
      <c r="F19" s="907"/>
      <c r="G19" s="906"/>
      <c r="H19" s="907"/>
      <c r="I19" s="910"/>
      <c r="J19" s="911"/>
    </row>
    <row r="20" spans="1:12" ht="39" customHeight="1" thickBot="1" x14ac:dyDescent="0.3">
      <c r="B20" s="912" t="s">
        <v>1170</v>
      </c>
      <c r="C20" s="913"/>
      <c r="D20" s="914"/>
      <c r="E20" s="915"/>
      <c r="F20" s="916"/>
      <c r="G20" s="915"/>
      <c r="H20" s="916"/>
      <c r="I20" s="917">
        <v>0</v>
      </c>
      <c r="J20" s="918"/>
      <c r="K20" s="1" t="s">
        <v>15</v>
      </c>
    </row>
    <row r="21" spans="1:12" ht="18.75" x14ac:dyDescent="0.25">
      <c r="E21" s="422"/>
      <c r="F21" s="423"/>
      <c r="G21" s="422"/>
      <c r="H21" s="424"/>
      <c r="I21" s="424"/>
      <c r="J21" s="424"/>
      <c r="L21" s="421"/>
    </row>
    <row r="22" spans="1:12" ht="18.75" x14ac:dyDescent="0.25">
      <c r="E22" s="422"/>
      <c r="F22" s="423"/>
      <c r="G22" s="422"/>
      <c r="H22" s="424"/>
      <c r="I22" s="424"/>
      <c r="J22" s="424"/>
      <c r="L22" s="421"/>
    </row>
    <row r="23" spans="1:12" x14ac:dyDescent="0.25"/>
    <row r="24" spans="1:12" ht="15.75" thickBot="1" x14ac:dyDescent="0.3"/>
    <row r="25" spans="1:12" ht="15.75" thickBot="1" x14ac:dyDescent="0.3">
      <c r="F25" s="886" t="s">
        <v>1163</v>
      </c>
      <c r="G25" s="887"/>
      <c r="H25" s="888"/>
      <c r="I25" s="56"/>
      <c r="J25" s="886" t="s">
        <v>1164</v>
      </c>
      <c r="K25" s="887"/>
      <c r="L25" s="888"/>
    </row>
    <row r="26" spans="1:12" ht="14.85" customHeight="1" x14ac:dyDescent="0.25">
      <c r="A26" s="889" t="s">
        <v>32</v>
      </c>
      <c r="B26" s="890"/>
      <c r="C26" s="890"/>
      <c r="D26" s="890"/>
      <c r="E26" s="891"/>
      <c r="F26" s="895" t="s">
        <v>1171</v>
      </c>
      <c r="G26" s="896"/>
      <c r="H26" s="897"/>
      <c r="J26" s="895" t="s">
        <v>1171</v>
      </c>
      <c r="K26" s="896"/>
      <c r="L26" s="897"/>
    </row>
    <row r="27" spans="1:12" ht="15" customHeight="1" thickBot="1" x14ac:dyDescent="0.3">
      <c r="A27" s="892"/>
      <c r="B27" s="893"/>
      <c r="C27" s="893"/>
      <c r="D27" s="893"/>
      <c r="E27" s="894"/>
      <c r="F27" s="898"/>
      <c r="G27" s="899"/>
      <c r="H27" s="900"/>
      <c r="J27" s="898"/>
      <c r="K27" s="899"/>
      <c r="L27" s="900"/>
    </row>
    <row r="28" spans="1:12" ht="15" customHeight="1" x14ac:dyDescent="0.25">
      <c r="A28" s="877" t="s">
        <v>1172</v>
      </c>
      <c r="B28" s="878"/>
      <c r="C28" s="878"/>
      <c r="D28" s="878"/>
      <c r="E28" s="879"/>
      <c r="F28" s="883"/>
      <c r="G28" s="884"/>
      <c r="H28" s="885"/>
      <c r="J28" s="883"/>
      <c r="K28" s="884"/>
      <c r="L28" s="885"/>
    </row>
    <row r="29" spans="1:12" ht="15" customHeight="1" x14ac:dyDescent="0.25">
      <c r="A29" s="877" t="s">
        <v>1173</v>
      </c>
      <c r="B29" s="878"/>
      <c r="C29" s="878"/>
      <c r="D29" s="878"/>
      <c r="E29" s="879"/>
      <c r="F29" s="880"/>
      <c r="G29" s="881"/>
      <c r="H29" s="882"/>
      <c r="J29" s="880"/>
      <c r="K29" s="881"/>
      <c r="L29" s="882"/>
    </row>
    <row r="30" spans="1:12" ht="15" customHeight="1" x14ac:dyDescent="0.25">
      <c r="A30" s="877" t="s">
        <v>1174</v>
      </c>
      <c r="B30" s="878"/>
      <c r="C30" s="878"/>
      <c r="D30" s="878"/>
      <c r="E30" s="879"/>
      <c r="F30" s="880"/>
      <c r="G30" s="881"/>
      <c r="H30" s="882"/>
      <c r="J30" s="880"/>
      <c r="K30" s="881"/>
      <c r="L30" s="882"/>
    </row>
    <row r="31" spans="1:12" ht="15.75" customHeight="1" x14ac:dyDescent="0.25">
      <c r="A31" s="877" t="s">
        <v>1175</v>
      </c>
      <c r="B31" s="878"/>
      <c r="C31" s="878"/>
      <c r="D31" s="878"/>
      <c r="E31" s="879"/>
      <c r="F31" s="880"/>
      <c r="G31" s="881"/>
      <c r="H31" s="882"/>
      <c r="J31" s="880"/>
      <c r="K31" s="881"/>
      <c r="L31" s="882"/>
    </row>
    <row r="32" spans="1:12" ht="15" customHeight="1" x14ac:dyDescent="0.25">
      <c r="A32" s="877" t="s">
        <v>1176</v>
      </c>
      <c r="B32" s="878"/>
      <c r="C32" s="878"/>
      <c r="D32" s="878"/>
      <c r="E32" s="879"/>
      <c r="F32" s="880"/>
      <c r="G32" s="881"/>
      <c r="H32" s="882"/>
      <c r="J32" s="880"/>
      <c r="K32" s="881"/>
      <c r="L32" s="882"/>
    </row>
    <row r="33" spans="1:12" ht="15.75" customHeight="1" x14ac:dyDescent="0.25">
      <c r="A33" s="877" t="s">
        <v>1177</v>
      </c>
      <c r="B33" s="878"/>
      <c r="C33" s="878"/>
      <c r="D33" s="878"/>
      <c r="E33" s="879"/>
      <c r="F33" s="880"/>
      <c r="G33" s="881"/>
      <c r="H33" s="882"/>
      <c r="J33" s="880"/>
      <c r="K33" s="881"/>
      <c r="L33" s="882"/>
    </row>
    <row r="34" spans="1:12" ht="15.75" thickBot="1" x14ac:dyDescent="0.3">
      <c r="A34" s="871" t="s">
        <v>1178</v>
      </c>
      <c r="B34" s="872"/>
      <c r="C34" s="872"/>
      <c r="D34" s="872"/>
      <c r="E34" s="873"/>
      <c r="F34" s="874"/>
      <c r="G34" s="875"/>
      <c r="H34" s="876"/>
      <c r="J34" s="874"/>
      <c r="K34" s="875"/>
      <c r="L34" s="876"/>
    </row>
    <row r="35" spans="1:12" x14ac:dyDescent="0.25">
      <c r="A35" s="425"/>
      <c r="B35" s="425"/>
      <c r="C35" s="425"/>
      <c r="D35" s="425"/>
      <c r="E35" s="425"/>
      <c r="F35" s="426"/>
      <c r="G35" s="427"/>
      <c r="H35" s="427"/>
      <c r="J35" s="426"/>
      <c r="K35" s="427"/>
      <c r="L35" s="427"/>
    </row>
    <row r="36" spans="1:12" x14ac:dyDescent="0.25">
      <c r="A36" s="425"/>
      <c r="B36" s="425"/>
      <c r="C36" s="425"/>
      <c r="D36" s="425"/>
      <c r="E36" s="425"/>
      <c r="F36" s="426"/>
      <c r="G36" s="427"/>
      <c r="H36" s="427"/>
      <c r="J36" s="426"/>
      <c r="K36" s="427"/>
      <c r="L36" s="427"/>
    </row>
    <row r="37" spans="1:12" x14ac:dyDescent="0.25">
      <c r="A37" s="425"/>
      <c r="B37" s="425"/>
      <c r="C37" s="425"/>
      <c r="D37" s="425"/>
      <c r="E37" s="425"/>
      <c r="F37" s="426"/>
      <c r="G37" s="427"/>
      <c r="H37" s="427"/>
      <c r="J37" s="426"/>
      <c r="K37" s="427"/>
      <c r="L37" s="427"/>
    </row>
    <row r="38" spans="1:12" x14ac:dyDescent="0.25"/>
    <row r="39" spans="1:12" x14ac:dyDescent="0.25"/>
    <row r="40" spans="1:12" x14ac:dyDescent="0.25"/>
    <row r="41" spans="1:12" x14ac:dyDescent="0.25"/>
    <row r="42" spans="1:12" x14ac:dyDescent="0.25"/>
    <row r="43" spans="1:12" x14ac:dyDescent="0.25"/>
    <row r="44" spans="1:12" x14ac:dyDescent="0.25"/>
    <row r="45" spans="1:12" x14ac:dyDescent="0.25"/>
    <row r="46" spans="1:12" x14ac:dyDescent="0.25"/>
    <row r="47" spans="1:12" x14ac:dyDescent="0.25"/>
    <row r="48" spans="1:12" x14ac:dyDescent="0.25"/>
    <row r="49" x14ac:dyDescent="0.25"/>
    <row r="50" x14ac:dyDescent="0.25"/>
    <row r="51" x14ac:dyDescent="0.25"/>
    <row r="52" x14ac:dyDescent="0.25"/>
    <row r="53" x14ac:dyDescent="0.25"/>
    <row r="54" ht="16.5" customHeight="1" x14ac:dyDescent="0.25"/>
    <row r="55" ht="15" customHeight="1" x14ac:dyDescent="0.25"/>
    <row r="56" ht="15" customHeight="1" x14ac:dyDescent="0.25"/>
    <row r="57" ht="15" customHeight="1" x14ac:dyDescent="0.25"/>
    <row r="58" ht="15" customHeight="1" x14ac:dyDescent="0.25"/>
    <row r="59" ht="15" customHeight="1" x14ac:dyDescent="0.25"/>
  </sheetData>
  <mergeCells count="66">
    <mergeCell ref="A1:D4"/>
    <mergeCell ref="E1:Q2"/>
    <mergeCell ref="R1:U1"/>
    <mergeCell ref="R2:U2"/>
    <mergeCell ref="E3:E4"/>
    <mergeCell ref="F3:I4"/>
    <mergeCell ref="J3:J4"/>
    <mergeCell ref="K3:Q4"/>
    <mergeCell ref="R3:U3"/>
    <mergeCell ref="R4:U4"/>
    <mergeCell ref="B9:D11"/>
    <mergeCell ref="E9:F11"/>
    <mergeCell ref="G9:H11"/>
    <mergeCell ref="I9:J11"/>
    <mergeCell ref="L11:M12"/>
    <mergeCell ref="B12:D13"/>
    <mergeCell ref="E12:F13"/>
    <mergeCell ref="G12:H13"/>
    <mergeCell ref="I12:J13"/>
    <mergeCell ref="E8:F8"/>
    <mergeCell ref="G8:H8"/>
    <mergeCell ref="I8:J8"/>
    <mergeCell ref="O8:P8"/>
    <mergeCell ref="S8:T8"/>
    <mergeCell ref="B14:D15"/>
    <mergeCell ref="E14:F15"/>
    <mergeCell ref="G14:H15"/>
    <mergeCell ref="I14:J15"/>
    <mergeCell ref="B16:D17"/>
    <mergeCell ref="E16:F17"/>
    <mergeCell ref="G16:H17"/>
    <mergeCell ref="I16:J17"/>
    <mergeCell ref="B18:D19"/>
    <mergeCell ref="E18:F19"/>
    <mergeCell ref="G18:H19"/>
    <mergeCell ref="I18:J19"/>
    <mergeCell ref="B20:D20"/>
    <mergeCell ref="E20:F20"/>
    <mergeCell ref="G20:H20"/>
    <mergeCell ref="I20:J20"/>
    <mergeCell ref="F25:H25"/>
    <mergeCell ref="J25:L25"/>
    <mergeCell ref="A26:E27"/>
    <mergeCell ref="F26:H27"/>
    <mergeCell ref="J26:L27"/>
    <mergeCell ref="A28:E28"/>
    <mergeCell ref="F28:H28"/>
    <mergeCell ref="J28:L28"/>
    <mergeCell ref="A29:E29"/>
    <mergeCell ref="F29:H29"/>
    <mergeCell ref="J29:L29"/>
    <mergeCell ref="A30:E30"/>
    <mergeCell ref="F30:H30"/>
    <mergeCell ref="J30:L30"/>
    <mergeCell ref="A31:E31"/>
    <mergeCell ref="F31:H31"/>
    <mergeCell ref="J31:L31"/>
    <mergeCell ref="A34:E34"/>
    <mergeCell ref="F34:H34"/>
    <mergeCell ref="J34:L34"/>
    <mergeCell ref="A32:E32"/>
    <mergeCell ref="F32:H32"/>
    <mergeCell ref="J32:L32"/>
    <mergeCell ref="A33:E33"/>
    <mergeCell ref="F33:H33"/>
    <mergeCell ref="J33:L33"/>
  </mergeCells>
  <conditionalFormatting sqref="E14 E12 F21:F22 E18 E16 H21:H22 G14 G12 G18 G16 G20 E20">
    <cfRule type="cellIs" dxfId="11" priority="11" operator="lessThan">
      <formula>0.8</formula>
    </cfRule>
    <cfRule type="cellIs" dxfId="10" priority="12" operator="greaterThanOrEqual">
      <formula>0.8</formula>
    </cfRule>
  </conditionalFormatting>
  <conditionalFormatting sqref="I21:J22">
    <cfRule type="cellIs" dxfId="9" priority="9" operator="lessThan">
      <formula>0.8</formula>
    </cfRule>
    <cfRule type="cellIs" dxfId="8" priority="10" operator="greaterThanOrEqual">
      <formula>0.8</formula>
    </cfRule>
  </conditionalFormatting>
  <conditionalFormatting sqref="G35:H37">
    <cfRule type="cellIs" dxfId="7" priority="7" operator="equal">
      <formula>1</formula>
    </cfRule>
    <cfRule type="cellIs" dxfId="6" priority="8" operator="greaterThan">
      <formula>1</formula>
    </cfRule>
  </conditionalFormatting>
  <conditionalFormatting sqref="H35:H37">
    <cfRule type="cellIs" dxfId="5" priority="5" operator="equal">
      <formula>1</formula>
    </cfRule>
    <cfRule type="cellIs" dxfId="4" priority="6" operator="greaterThan">
      <formula>1</formula>
    </cfRule>
  </conditionalFormatting>
  <conditionalFormatting sqref="K35:L37">
    <cfRule type="cellIs" dxfId="3" priority="3" operator="equal">
      <formula>1</formula>
    </cfRule>
    <cfRule type="cellIs" dxfId="2" priority="4" operator="greaterThan">
      <formula>1</formula>
    </cfRule>
  </conditionalFormatting>
  <conditionalFormatting sqref="L35:L37">
    <cfRule type="cellIs" dxfId="1" priority="1" operator="equal">
      <formula>1</formula>
    </cfRule>
    <cfRule type="cellIs" dxfId="0" priority="2" operator="greaterThan">
      <formula>1</formula>
    </cfRule>
  </conditionalFormatting>
  <printOptions horizontalCentered="1"/>
  <pageMargins left="0.23622047244094491" right="0.23622047244094491" top="0.39370078740157483" bottom="0.35433070866141736" header="0.31496062992125984" footer="0.31496062992125984"/>
  <pageSetup paperSize="9" scale="55"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tabColor theme="8"/>
    <outlinePr summaryBelow="0" summaryRight="0"/>
  </sheetPr>
  <dimension ref="A1:BK78"/>
  <sheetViews>
    <sheetView zoomScale="90" zoomScaleNormal="90" workbookViewId="0">
      <selection activeCell="D16" sqref="D16"/>
    </sheetView>
  </sheetViews>
  <sheetFormatPr baseColWidth="10" defaultColWidth="11.42578125" defaultRowHeight="15" x14ac:dyDescent="0.25"/>
  <cols>
    <col min="2" max="2" width="6.42578125" bestFit="1" customWidth="1"/>
    <col min="3" max="3" width="3" bestFit="1" customWidth="1"/>
    <col min="4" max="4" width="96" style="82" customWidth="1"/>
    <col min="5" max="5" width="9.42578125" style="82" bestFit="1" customWidth="1"/>
    <col min="6" max="6" width="7.5703125" bestFit="1" customWidth="1"/>
    <col min="7" max="11" width="7.42578125" bestFit="1" customWidth="1"/>
    <col min="12" max="12" width="7.5703125" bestFit="1" customWidth="1"/>
    <col min="13" max="13" width="11.42578125" bestFit="1" customWidth="1"/>
    <col min="14" max="14" width="8.42578125" bestFit="1" customWidth="1"/>
    <col min="15" max="15" width="11" bestFit="1" customWidth="1"/>
    <col min="16" max="16" width="10.28515625" bestFit="1" customWidth="1" collapsed="1"/>
    <col min="17" max="17" width="7.42578125" customWidth="1" collapsed="1"/>
    <col min="18" max="18" width="7.5703125" customWidth="1" collapsed="1"/>
    <col min="19" max="19" width="60.5703125" style="82" customWidth="1"/>
    <col min="20" max="20" width="6.5703125" style="82" bestFit="1" customWidth="1"/>
    <col min="21" max="21" width="7.5703125" bestFit="1" customWidth="1"/>
    <col min="22" max="22" width="7.42578125" customWidth="1"/>
    <col min="23" max="23" width="5.5703125" customWidth="1"/>
    <col min="24" max="24" width="6.5703125" bestFit="1" customWidth="1"/>
    <col min="25" max="25" width="6.42578125" bestFit="1" customWidth="1"/>
    <col min="26" max="26" width="6" bestFit="1" customWidth="1"/>
    <col min="27" max="27" width="7.5703125" bestFit="1" customWidth="1"/>
    <col min="28" max="28" width="11.42578125" bestFit="1" customWidth="1"/>
    <col min="29" max="29" width="8.42578125" bestFit="1" customWidth="1"/>
    <col min="30" max="30" width="11" bestFit="1" customWidth="1"/>
    <col min="31" max="31" width="10.28515625" bestFit="1" customWidth="1" collapsed="1"/>
    <col min="32" max="32" width="7.42578125" bestFit="1" customWidth="1"/>
    <col min="33" max="33" width="7.42578125" bestFit="1" customWidth="1" collapsed="1"/>
    <col min="34" max="34" width="44.42578125" style="82" customWidth="1"/>
    <col min="35" max="35" width="6.5703125" style="82" bestFit="1" customWidth="1"/>
    <col min="36" max="36" width="7.5703125" style="82" bestFit="1" customWidth="1"/>
    <col min="37" max="37" width="7.42578125" style="82" bestFit="1" customWidth="1"/>
    <col min="38" max="38" width="5.5703125" style="82" bestFit="1" customWidth="1"/>
    <col min="39" max="39" width="6.5703125" style="82" bestFit="1" customWidth="1"/>
    <col min="40" max="40" width="6.42578125" style="82" bestFit="1" customWidth="1"/>
    <col min="41" max="41" width="5.5703125" style="82" bestFit="1" customWidth="1"/>
    <col min="42" max="42" width="7.5703125" style="82" bestFit="1" customWidth="1"/>
    <col min="43" max="43" width="11.42578125" style="82" customWidth="1"/>
    <col min="44" max="44" width="8.42578125" style="82" bestFit="1" customWidth="1"/>
    <col min="45" max="45" width="11" style="82" bestFit="1" customWidth="1"/>
    <col min="46" max="46" width="10.28515625" style="82" bestFit="1" customWidth="1"/>
    <col min="47" max="47" width="9.42578125" style="82" customWidth="1"/>
    <col min="48" max="48" width="9.5703125" style="82" customWidth="1"/>
    <col min="49" max="49" width="55.42578125" style="82" customWidth="1"/>
    <col min="50" max="50" width="6.5703125" style="82" bestFit="1" customWidth="1"/>
    <col min="51" max="51" width="7.5703125" style="82" bestFit="1" customWidth="1"/>
    <col min="52" max="52" width="7.42578125" style="82" bestFit="1" customWidth="1"/>
    <col min="53" max="53" width="6" style="82" bestFit="1" customWidth="1"/>
    <col min="54" max="54" width="6.5703125" style="82" bestFit="1" customWidth="1"/>
    <col min="55" max="55" width="6.42578125" style="82" bestFit="1" customWidth="1"/>
    <col min="56" max="56" width="6" style="82" bestFit="1" customWidth="1"/>
    <col min="57" max="57" width="7.5703125" style="82" bestFit="1" customWidth="1"/>
    <col min="58" max="58" width="11.42578125" style="82" customWidth="1"/>
    <col min="59" max="59" width="8.42578125" style="82" bestFit="1" customWidth="1"/>
    <col min="60" max="60" width="11" style="82" bestFit="1" customWidth="1"/>
    <col min="61" max="61" width="10.28515625" style="82" bestFit="1" customWidth="1"/>
  </cols>
  <sheetData>
    <row r="1" spans="1:63" x14ac:dyDescent="0.25">
      <c r="A1" s="56" t="s">
        <v>1179</v>
      </c>
      <c r="D1" s="82" t="s">
        <v>1180</v>
      </c>
      <c r="E1" s="933" t="s">
        <v>13</v>
      </c>
      <c r="F1" s="934"/>
      <c r="G1" s="934"/>
      <c r="H1" s="934"/>
      <c r="I1" s="934"/>
      <c r="J1" s="934"/>
      <c r="K1" s="934"/>
      <c r="L1" s="934"/>
      <c r="M1" s="934"/>
      <c r="N1" s="934"/>
      <c r="O1" s="934"/>
      <c r="P1" s="935"/>
      <c r="Q1" s="89"/>
      <c r="R1" s="89"/>
      <c r="T1" s="933" t="s">
        <v>15</v>
      </c>
      <c r="U1" s="934"/>
      <c r="V1" s="934"/>
      <c r="W1" s="934"/>
      <c r="X1" s="934"/>
      <c r="Y1" s="934"/>
      <c r="Z1" s="934"/>
      <c r="AA1" s="934"/>
      <c r="AB1" s="934"/>
      <c r="AC1" s="934"/>
      <c r="AD1" s="934"/>
      <c r="AE1" s="935"/>
      <c r="AF1" s="89"/>
      <c r="AG1" s="89"/>
      <c r="AI1" s="66" t="s">
        <v>1181</v>
      </c>
      <c r="AJ1" s="66" t="s">
        <v>1181</v>
      </c>
      <c r="AK1" s="66" t="s">
        <v>1181</v>
      </c>
      <c r="AL1" s="66" t="s">
        <v>1181</v>
      </c>
      <c r="AM1" s="66" t="s">
        <v>1181</v>
      </c>
      <c r="AN1" s="66" t="s">
        <v>1181</v>
      </c>
      <c r="AO1" s="66" t="s">
        <v>1181</v>
      </c>
      <c r="AP1" s="66" t="s">
        <v>1181</v>
      </c>
      <c r="AQ1" s="66" t="s">
        <v>1181</v>
      </c>
      <c r="AR1" s="66" t="s">
        <v>1181</v>
      </c>
      <c r="AS1" s="66" t="s">
        <v>1181</v>
      </c>
      <c r="AT1" s="66" t="s">
        <v>1181</v>
      </c>
      <c r="AU1" s="89"/>
      <c r="AV1" s="89"/>
      <c r="AX1" s="66" t="s">
        <v>1182</v>
      </c>
      <c r="AY1" s="66" t="s">
        <v>1182</v>
      </c>
      <c r="AZ1" s="66" t="s">
        <v>1182</v>
      </c>
      <c r="BA1" s="66" t="s">
        <v>1182</v>
      </c>
      <c r="BB1" s="66" t="s">
        <v>1182</v>
      </c>
      <c r="BC1" s="66" t="s">
        <v>1182</v>
      </c>
      <c r="BD1" s="66" t="s">
        <v>1182</v>
      </c>
      <c r="BE1" s="66" t="s">
        <v>1182</v>
      </c>
      <c r="BF1" s="66" t="s">
        <v>1182</v>
      </c>
      <c r="BG1" s="66" t="s">
        <v>1182</v>
      </c>
      <c r="BH1" s="66" t="s">
        <v>1182</v>
      </c>
      <c r="BI1" s="66" t="s">
        <v>1182</v>
      </c>
      <c r="BJ1" s="89"/>
      <c r="BK1" s="89"/>
    </row>
    <row r="2" spans="1:63" ht="15" customHeight="1" thickBot="1" x14ac:dyDescent="0.3">
      <c r="A2" t="s">
        <v>1183</v>
      </c>
      <c r="D2" s="83" t="s">
        <v>12</v>
      </c>
      <c r="E2" s="66" t="s">
        <v>1183</v>
      </c>
      <c r="F2" s="66" t="s">
        <v>1184</v>
      </c>
      <c r="G2" s="66" t="s">
        <v>1185</v>
      </c>
      <c r="H2" s="66" t="s">
        <v>1186</v>
      </c>
      <c r="I2" s="66" t="s">
        <v>1187</v>
      </c>
      <c r="J2" s="66" t="s">
        <v>1188</v>
      </c>
      <c r="K2" s="66" t="s">
        <v>1189</v>
      </c>
      <c r="L2" s="66" t="s">
        <v>1190</v>
      </c>
      <c r="M2" s="66" t="s">
        <v>9</v>
      </c>
      <c r="N2" s="66" t="s">
        <v>1191</v>
      </c>
      <c r="O2" s="66" t="s">
        <v>1192</v>
      </c>
      <c r="P2" s="66" t="s">
        <v>1193</v>
      </c>
      <c r="Q2" s="66" t="s">
        <v>147</v>
      </c>
      <c r="R2" s="66" t="s">
        <v>148</v>
      </c>
      <c r="S2" s="83" t="s">
        <v>12</v>
      </c>
      <c r="T2" s="66" t="s">
        <v>1183</v>
      </c>
      <c r="U2" s="66" t="s">
        <v>1184</v>
      </c>
      <c r="V2" s="66" t="s">
        <v>1185</v>
      </c>
      <c r="W2" s="66" t="s">
        <v>1186</v>
      </c>
      <c r="X2" s="66" t="s">
        <v>1187</v>
      </c>
      <c r="Y2" s="66" t="s">
        <v>1188</v>
      </c>
      <c r="Z2" s="66" t="s">
        <v>1189</v>
      </c>
      <c r="AA2" s="66" t="s">
        <v>1190</v>
      </c>
      <c r="AB2" s="66" t="s">
        <v>9</v>
      </c>
      <c r="AC2" s="66" t="s">
        <v>1191</v>
      </c>
      <c r="AD2" s="66" t="s">
        <v>1192</v>
      </c>
      <c r="AE2" s="66" t="s">
        <v>1193</v>
      </c>
      <c r="AF2" s="66" t="s">
        <v>147</v>
      </c>
      <c r="AG2" s="66" t="s">
        <v>148</v>
      </c>
      <c r="AH2" s="83" t="s">
        <v>12</v>
      </c>
      <c r="AI2" s="66" t="s">
        <v>1183</v>
      </c>
      <c r="AJ2" s="66" t="s">
        <v>1184</v>
      </c>
      <c r="AK2" s="66" t="s">
        <v>1185</v>
      </c>
      <c r="AL2" s="66" t="s">
        <v>1186</v>
      </c>
      <c r="AM2" s="66" t="s">
        <v>1187</v>
      </c>
      <c r="AN2" s="66" t="s">
        <v>1188</v>
      </c>
      <c r="AO2" s="66" t="s">
        <v>1189</v>
      </c>
      <c r="AP2" s="66" t="s">
        <v>1190</v>
      </c>
      <c r="AQ2" s="66" t="s">
        <v>9</v>
      </c>
      <c r="AR2" s="66" t="s">
        <v>1191</v>
      </c>
      <c r="AS2" s="66" t="s">
        <v>1192</v>
      </c>
      <c r="AT2" s="66" t="s">
        <v>1193</v>
      </c>
      <c r="AU2" s="66" t="s">
        <v>147</v>
      </c>
      <c r="AV2" s="66" t="s">
        <v>148</v>
      </c>
      <c r="AW2" s="83" t="s">
        <v>12</v>
      </c>
      <c r="AX2" s="66" t="s">
        <v>1183</v>
      </c>
      <c r="AY2" s="66" t="s">
        <v>1184</v>
      </c>
      <c r="AZ2" s="66" t="s">
        <v>1185</v>
      </c>
      <c r="BA2" s="66" t="s">
        <v>1186</v>
      </c>
      <c r="BB2" s="66" t="s">
        <v>1187</v>
      </c>
      <c r="BC2" s="66" t="s">
        <v>1188</v>
      </c>
      <c r="BD2" s="66" t="s">
        <v>1189</v>
      </c>
      <c r="BE2" s="66" t="s">
        <v>1190</v>
      </c>
      <c r="BF2" s="66" t="s">
        <v>9</v>
      </c>
      <c r="BG2" s="66" t="s">
        <v>1191</v>
      </c>
      <c r="BH2" s="66" t="s">
        <v>1192</v>
      </c>
      <c r="BI2" s="66" t="s">
        <v>1193</v>
      </c>
      <c r="BJ2" s="66" t="s">
        <v>147</v>
      </c>
      <c r="BK2" s="66" t="s">
        <v>148</v>
      </c>
    </row>
    <row r="3" spans="1:63" ht="15" customHeight="1" thickBot="1" x14ac:dyDescent="0.3">
      <c r="A3" t="s">
        <v>1184</v>
      </c>
      <c r="C3">
        <v>52</v>
      </c>
      <c r="D3" s="67" t="str">
        <f>'AUDIT HK'!$B$10</f>
        <v>A. MEZCLAS (Cámaras, Bodegas, Sla. Mezclas, Sla. Aditivos, Sla.Glucosas)</v>
      </c>
      <c r="E3" s="31">
        <f t="shared" ref="E3:R3" si="0">SUM(E4:E7)</f>
        <v>48</v>
      </c>
      <c r="F3" s="31">
        <f t="shared" si="0"/>
        <v>48</v>
      </c>
      <c r="G3" s="31">
        <f t="shared" si="0"/>
        <v>45</v>
      </c>
      <c r="H3" s="31">
        <f t="shared" si="0"/>
        <v>45</v>
      </c>
      <c r="I3" s="31">
        <f t="shared" si="0"/>
        <v>47</v>
      </c>
      <c r="J3" s="31">
        <f t="shared" si="0"/>
        <v>42</v>
      </c>
      <c r="K3" s="31">
        <f t="shared" si="0"/>
        <v>49</v>
      </c>
      <c r="L3" s="31">
        <f t="shared" si="0"/>
        <v>49</v>
      </c>
      <c r="M3" s="31">
        <f t="shared" si="0"/>
        <v>48</v>
      </c>
      <c r="N3" s="31">
        <f t="shared" si="0"/>
        <v>50</v>
      </c>
      <c r="O3" s="31">
        <f t="shared" si="0"/>
        <v>48</v>
      </c>
      <c r="P3" s="31">
        <f t="shared" si="0"/>
        <v>49</v>
      </c>
      <c r="Q3" s="31">
        <f>SUM(Q4:Q7)</f>
        <v>0</v>
      </c>
      <c r="R3" s="31">
        <f t="shared" si="0"/>
        <v>0</v>
      </c>
      <c r="S3" s="67" t="str">
        <f>'AUDIT HK'!$B$10</f>
        <v>A. MEZCLAS (Cámaras, Bodegas, Sla. Mezclas, Sla. Aditivos, Sla.Glucosas)</v>
      </c>
      <c r="T3" s="95">
        <f t="shared" ref="T3:T47" si="1">E3/$T$51</f>
        <v>0.18461538461538463</v>
      </c>
      <c r="U3" s="95">
        <f t="shared" ref="U3:U47" si="2">F3/$T$51</f>
        <v>0.18461538461538463</v>
      </c>
      <c r="V3" s="95">
        <f t="shared" ref="V3:V47" si="3">G3/$T$51</f>
        <v>0.17307692307692307</v>
      </c>
      <c r="W3" s="95">
        <f t="shared" ref="W3:W47" si="4">H3/$T$51</f>
        <v>0.17307692307692307</v>
      </c>
      <c r="X3" s="95">
        <f t="shared" ref="X3:X47" si="5">I3/$T$51</f>
        <v>0.18076923076923077</v>
      </c>
      <c r="Y3" s="95">
        <f t="shared" ref="Y3:Y47" si="6">J3/$T$51</f>
        <v>0.16153846153846155</v>
      </c>
      <c r="Z3" s="95">
        <f t="shared" ref="Z3:Z47" si="7">K3/$T$51</f>
        <v>0.18846153846153846</v>
      </c>
      <c r="AA3" s="95">
        <f t="shared" ref="AA3:AA47" si="8">L3/$T$51</f>
        <v>0.18846153846153846</v>
      </c>
      <c r="AB3" s="95">
        <f t="shared" ref="AB3:AB47" si="9">M3/$T$51</f>
        <v>0.18461538461538463</v>
      </c>
      <c r="AC3" s="95">
        <f t="shared" ref="AC3:AC47" si="10">N3/$T$51</f>
        <v>0.19230769230769232</v>
      </c>
      <c r="AD3" s="95">
        <f t="shared" ref="AD3:AD47" si="11">O3/$T$51</f>
        <v>0.18461538461538463</v>
      </c>
      <c r="AE3" s="95">
        <f t="shared" ref="AE3:AE47" si="12">P3/$T$51</f>
        <v>0.18846153846153846</v>
      </c>
      <c r="AF3" s="95">
        <f t="shared" ref="AF3:AF47" si="13">Q3/$T$51</f>
        <v>0</v>
      </c>
      <c r="AG3" s="95">
        <f t="shared" ref="AG3:AG47" si="14">R3/$T$51</f>
        <v>0</v>
      </c>
      <c r="AH3" s="67" t="str">
        <f>'AUDIT HK'!$B$10</f>
        <v>A. MEZCLAS (Cámaras, Bodegas, Sla. Mezclas, Sla. Aditivos, Sla.Glucosas)</v>
      </c>
      <c r="AI3" s="31">
        <f t="shared" ref="AI3" si="15">SUM(AI4:AI7)</f>
        <v>4</v>
      </c>
      <c r="AJ3" s="31">
        <f t="shared" ref="AJ3" si="16">SUM(AJ4:AJ7)</f>
        <v>2</v>
      </c>
      <c r="AK3" s="31">
        <f t="shared" ref="AK3" si="17">SUM(AK4:AK7)</f>
        <v>4</v>
      </c>
      <c r="AL3" s="31">
        <f t="shared" ref="AL3" si="18">SUM(AL4:AL7)</f>
        <v>1</v>
      </c>
      <c r="AM3" s="31">
        <f t="shared" ref="AM3" si="19">SUM(AM4:AM7)</f>
        <v>3</v>
      </c>
      <c r="AN3" s="31">
        <f t="shared" ref="AN3" si="20">SUM(AN4:AN7)</f>
        <v>10</v>
      </c>
      <c r="AO3" s="31">
        <f t="shared" ref="AO3" si="21">SUM(AO4:AO7)</f>
        <v>1</v>
      </c>
      <c r="AP3" s="31">
        <f t="shared" ref="AP3" si="22">SUM(AP4:AP7)</f>
        <v>0</v>
      </c>
      <c r="AQ3" s="31">
        <f t="shared" ref="AQ3" si="23">SUM(AQ4:AQ7)</f>
        <v>2</v>
      </c>
      <c r="AR3" s="31">
        <f t="shared" ref="AR3" si="24">SUM(AR4:AR7)</f>
        <v>0</v>
      </c>
      <c r="AS3" s="31">
        <f t="shared" ref="AS3" si="25">SUM(AS4:AS7)</f>
        <v>0</v>
      </c>
      <c r="AT3" s="31">
        <f t="shared" ref="AT3" si="26">SUM(AT4:AT7)</f>
        <v>0</v>
      </c>
      <c r="AU3" s="31">
        <f t="shared" ref="AU3" si="27">SUM(AU4:AU7)</f>
        <v>0</v>
      </c>
      <c r="AV3" s="31">
        <f t="shared" ref="AV3" si="28">SUM(AV4:AV7)</f>
        <v>0</v>
      </c>
      <c r="AW3" s="67" t="str">
        <f>'AUDIT HK'!$B$10</f>
        <v>A. MEZCLAS (Cámaras, Bodegas, Sla. Mezclas, Sla. Aditivos, Sla.Glucosas)</v>
      </c>
      <c r="AX3" s="31">
        <f t="shared" ref="AX3" si="29">SUM(AX4:AX7)</f>
        <v>0</v>
      </c>
      <c r="AY3" s="31">
        <f t="shared" ref="AY3" si="30">SUM(AY4:AY7)</f>
        <v>1</v>
      </c>
      <c r="AZ3" s="31">
        <f t="shared" ref="AZ3" si="31">SUM(AZ4:AZ7)</f>
        <v>1</v>
      </c>
      <c r="BA3" s="31">
        <f t="shared" ref="BA3" si="32">SUM(BA4:BA7)</f>
        <v>0</v>
      </c>
      <c r="BB3" s="31">
        <f t="shared" ref="BB3" si="33">SUM(BB4:BB7)</f>
        <v>1</v>
      </c>
      <c r="BC3" s="31">
        <f t="shared" ref="BC3" si="34">SUM(BC4:BC7)</f>
        <v>0</v>
      </c>
      <c r="BD3" s="31">
        <f t="shared" ref="BD3" si="35">SUM(BD4:BD7)</f>
        <v>1</v>
      </c>
      <c r="BE3" s="31">
        <f t="shared" ref="BE3" si="36">SUM(BE4:BE7)</f>
        <v>0</v>
      </c>
      <c r="BF3" s="31">
        <f t="shared" ref="BF3" si="37">SUM(BF4:BF7)</f>
        <v>0</v>
      </c>
      <c r="BG3" s="31">
        <f t="shared" ref="BG3" si="38">SUM(BG4:BG7)</f>
        <v>1</v>
      </c>
      <c r="BH3" s="31">
        <f t="shared" ref="BH3" si="39">SUM(BH4:BH7)</f>
        <v>0</v>
      </c>
      <c r="BI3" s="31">
        <f t="shared" ref="BI3" si="40">SUM(BI4:BI7)</f>
        <v>0</v>
      </c>
      <c r="BJ3" s="31">
        <f t="shared" ref="BJ3" si="41">SUM(BJ4:BJ7)</f>
        <v>0</v>
      </c>
      <c r="BK3" s="31">
        <f t="shared" ref="BK3" si="42">SUM(BK4:BK7)</f>
        <v>0</v>
      </c>
    </row>
    <row r="4" spans="1:63" x14ac:dyDescent="0.25">
      <c r="A4" t="s">
        <v>1185</v>
      </c>
      <c r="C4">
        <v>12</v>
      </c>
      <c r="D4" s="79" t="s">
        <v>16</v>
      </c>
      <c r="E4" s="84">
        <f>'AUDIT HK'!H11</f>
        <v>8</v>
      </c>
      <c r="F4" s="84">
        <f>'AUDIT HK'!N11</f>
        <v>10</v>
      </c>
      <c r="G4" s="84">
        <f>'AUDIT HK'!T11</f>
        <v>9</v>
      </c>
      <c r="H4" s="84">
        <f>'AUDIT HK'!Z11</f>
        <v>7</v>
      </c>
      <c r="I4" s="84">
        <f>'AUDIT HK'!AF11</f>
        <v>9</v>
      </c>
      <c r="J4" s="84">
        <f>'AUDIT HK'!AL11</f>
        <v>7</v>
      </c>
      <c r="K4" s="84">
        <f>'AUDIT HK'!AR11</f>
        <v>11</v>
      </c>
      <c r="L4" s="84">
        <f>'AUDIT HK'!AX11</f>
        <v>9</v>
      </c>
      <c r="M4" s="84">
        <f>'AUDIT HK'!BD11</f>
        <v>11</v>
      </c>
      <c r="N4" s="84">
        <f>'AUDIT HK'!BJ11</f>
        <v>12</v>
      </c>
      <c r="O4" s="84">
        <f>'AUDIT HK'!BP11</f>
        <v>12</v>
      </c>
      <c r="P4" s="93">
        <f>'AUDIT HK'!BV11</f>
        <v>11</v>
      </c>
      <c r="Q4" s="93">
        <f>'AUDIT HK'!CB11</f>
        <v>0</v>
      </c>
      <c r="R4" s="93">
        <f>'AUDIT HK'!CH11</f>
        <v>0</v>
      </c>
      <c r="S4" s="79" t="s">
        <v>16</v>
      </c>
      <c r="T4" s="92">
        <f t="shared" si="1"/>
        <v>3.0769230769230771E-2</v>
      </c>
      <c r="U4" s="92">
        <f t="shared" si="2"/>
        <v>3.8461538461538464E-2</v>
      </c>
      <c r="V4" s="92">
        <f t="shared" si="3"/>
        <v>3.4615384615384617E-2</v>
      </c>
      <c r="W4" s="92">
        <f t="shared" si="4"/>
        <v>2.6923076923076925E-2</v>
      </c>
      <c r="X4" s="92">
        <f t="shared" si="5"/>
        <v>3.4615384615384617E-2</v>
      </c>
      <c r="Y4" s="92">
        <f t="shared" si="6"/>
        <v>2.6923076923076925E-2</v>
      </c>
      <c r="Z4" s="92">
        <f t="shared" si="7"/>
        <v>4.230769230769231E-2</v>
      </c>
      <c r="AA4" s="92">
        <f t="shared" si="8"/>
        <v>3.4615384615384617E-2</v>
      </c>
      <c r="AB4" s="92">
        <f t="shared" si="9"/>
        <v>4.230769230769231E-2</v>
      </c>
      <c r="AC4" s="92">
        <f t="shared" si="10"/>
        <v>4.6153846153846156E-2</v>
      </c>
      <c r="AD4" s="92">
        <f t="shared" si="11"/>
        <v>4.6153846153846156E-2</v>
      </c>
      <c r="AE4" s="92">
        <f t="shared" si="12"/>
        <v>4.230769230769231E-2</v>
      </c>
      <c r="AF4" s="92">
        <f t="shared" si="13"/>
        <v>0</v>
      </c>
      <c r="AG4" s="92">
        <f t="shared" si="14"/>
        <v>0</v>
      </c>
      <c r="AH4" s="79" t="s">
        <v>16</v>
      </c>
      <c r="AI4" s="84">
        <f>COUNTIF('AUDIT HK'!$G$11:$G$16,"=1")</f>
        <v>4</v>
      </c>
      <c r="AJ4" s="84">
        <f>COUNTIF('AUDIT HK'!$M$11:$M$16,"=1")</f>
        <v>2</v>
      </c>
      <c r="AK4" s="84">
        <f>COUNTIF('AUDIT HK'!$S$11:$S$16,"=1")</f>
        <v>1</v>
      </c>
      <c r="AL4" s="84">
        <f>COUNTIF('AUDIT HK'!$Y$11:$Y$16,"=1")</f>
        <v>1</v>
      </c>
      <c r="AM4" s="84">
        <f>COUNTIF('AUDIT HK'!$AE$11:$AE$16,"=1")</f>
        <v>1</v>
      </c>
      <c r="AN4" s="84">
        <f>COUNTIF('AUDIT HK'!$AK$11:$AK$16,"=1")</f>
        <v>5</v>
      </c>
      <c r="AO4" s="84">
        <f>COUNTIF('AUDIT HK'!$AQ$11:$AQ$16,"=1")</f>
        <v>1</v>
      </c>
      <c r="AP4" s="84">
        <f>COUNTIF('AUDIT HK'!$AX$11:$AX$16,"=1")</f>
        <v>0</v>
      </c>
      <c r="AQ4" s="84">
        <f>COUNTIF('AUDIT HK'!$BC$11:$BC$16,"=1")</f>
        <v>1</v>
      </c>
      <c r="AR4" s="84">
        <f>COUNTIF('AUDIT HK'!$BI$11:$BI$16,"=1")</f>
        <v>0</v>
      </c>
      <c r="AS4" s="84">
        <f>COUNTIF('AUDIT HK'!$BO$11:$BO$16,"=1")</f>
        <v>0</v>
      </c>
      <c r="AT4" s="84">
        <f>COUNTIF('AUDIT HK'!$BU$11:$BU$16,"=1")</f>
        <v>0</v>
      </c>
      <c r="AU4" s="84">
        <f>COUNTIF('AUDIT HK'!$CA$11:$CA$16,"=1")</f>
        <v>0</v>
      </c>
      <c r="AV4" s="84">
        <f>COUNTIF('AUDIT HK'!$CG$11:$CG$16,"=1")</f>
        <v>0</v>
      </c>
      <c r="AW4" s="79" t="s">
        <v>16</v>
      </c>
      <c r="AX4" s="84">
        <f>COUNTIF('AUDIT HK'!$G$11:$G$16,"=0")</f>
        <v>0</v>
      </c>
      <c r="AY4" s="84">
        <f>COUNTIF('AUDIT HK'!$M$11:$M$16,"=0")</f>
        <v>0</v>
      </c>
      <c r="AZ4" s="84">
        <f>COUNTIF('AUDIT HK'!$S$11:$S$16,"=0")</f>
        <v>1</v>
      </c>
      <c r="BA4" s="84">
        <f>COUNTIF('AUDIT HK'!$Y$11:$Y$16,"=0")</f>
        <v>0</v>
      </c>
      <c r="BB4" s="84">
        <f>COUNTIF('AUDIT HK'!$AE$11:$AE$16,"=0")</f>
        <v>1</v>
      </c>
      <c r="BC4" s="84">
        <f>COUNTIF('AUDIT HK'!$AK$11:$AK$16,"=0")</f>
        <v>0</v>
      </c>
      <c r="BD4" s="84">
        <f>COUNTIF('AUDIT HK'!$AQ$11:$AQ$16,"=0")</f>
        <v>0</v>
      </c>
      <c r="BE4" s="84">
        <f>COUNTIF('AUDIT HK'!$AX$11:$AX$16,"=0")</f>
        <v>0</v>
      </c>
      <c r="BF4" s="84">
        <f>COUNTIF('AUDIT HK'!$BC$11:$BC$16,"=0")</f>
        <v>0</v>
      </c>
      <c r="BG4" s="84">
        <f>COUNTIF('AUDIT HK'!$BI$11:$BI$16,"=0")</f>
        <v>0</v>
      </c>
      <c r="BH4" s="84">
        <f>COUNTIF('AUDIT HK'!$BO$11:$BO$16,"=0")</f>
        <v>0</v>
      </c>
      <c r="BI4" s="84">
        <f>COUNTIF('AUDIT HK'!$BU$11:$BU$16,"=0")</f>
        <v>0</v>
      </c>
      <c r="BJ4" s="84">
        <f>COUNTIF('AUDIT HK'!$CA$11:$CA$16,"=0")</f>
        <v>0</v>
      </c>
      <c r="BK4" s="84">
        <f>COUNTIF('AUDIT HK'!$CG$11:$CG$16,"=0")</f>
        <v>0</v>
      </c>
    </row>
    <row r="5" spans="1:63" x14ac:dyDescent="0.25">
      <c r="A5" t="s">
        <v>1186</v>
      </c>
      <c r="C5">
        <v>14</v>
      </c>
      <c r="D5" s="80" t="s">
        <v>18</v>
      </c>
      <c r="E5" s="85">
        <f>'AUDIT HK'!H17</f>
        <v>14</v>
      </c>
      <c r="F5" s="85">
        <f>'AUDIT HK'!N17</f>
        <v>14</v>
      </c>
      <c r="G5" s="85">
        <f>'AUDIT HK'!T17</f>
        <v>13</v>
      </c>
      <c r="H5" s="85">
        <f>'AUDIT HK'!Z17</f>
        <v>12</v>
      </c>
      <c r="I5" s="85">
        <f>'AUDIT HK'!AF17</f>
        <v>13</v>
      </c>
      <c r="J5" s="85">
        <f>'AUDIT HK'!AL17</f>
        <v>12</v>
      </c>
      <c r="K5" s="85">
        <f>'AUDIT HK'!AR17</f>
        <v>14</v>
      </c>
      <c r="L5" s="85">
        <f>'AUDIT HK'!AX17</f>
        <v>14</v>
      </c>
      <c r="M5" s="85">
        <f>'AUDIT HK'!BD17</f>
        <v>13</v>
      </c>
      <c r="N5" s="85">
        <f>'AUDIT HK'!BJ17</f>
        <v>14</v>
      </c>
      <c r="O5" s="85">
        <f>'AUDIT HK'!BP17</f>
        <v>13</v>
      </c>
      <c r="P5" s="94">
        <f>'AUDIT HK'!BV17</f>
        <v>14</v>
      </c>
      <c r="Q5" s="94">
        <f>'AUDIT HK'!CB17</f>
        <v>0</v>
      </c>
      <c r="R5" s="94">
        <f>'AUDIT HK'!CH17</f>
        <v>0</v>
      </c>
      <c r="S5" s="80" t="s">
        <v>18</v>
      </c>
      <c r="T5" s="97">
        <f t="shared" si="1"/>
        <v>5.3846153846153849E-2</v>
      </c>
      <c r="U5" s="97">
        <f t="shared" si="2"/>
        <v>5.3846153846153849E-2</v>
      </c>
      <c r="V5" s="97">
        <f t="shared" si="3"/>
        <v>0.05</v>
      </c>
      <c r="W5" s="97">
        <f t="shared" si="4"/>
        <v>4.6153846153846156E-2</v>
      </c>
      <c r="X5" s="97">
        <f t="shared" si="5"/>
        <v>0.05</v>
      </c>
      <c r="Y5" s="97">
        <f t="shared" si="6"/>
        <v>4.6153846153846156E-2</v>
      </c>
      <c r="Z5" s="97">
        <f t="shared" si="7"/>
        <v>5.3846153846153849E-2</v>
      </c>
      <c r="AA5" s="97">
        <f t="shared" si="8"/>
        <v>5.3846153846153849E-2</v>
      </c>
      <c r="AB5" s="97">
        <f t="shared" si="9"/>
        <v>0.05</v>
      </c>
      <c r="AC5" s="97">
        <f t="shared" si="10"/>
        <v>5.3846153846153849E-2</v>
      </c>
      <c r="AD5" s="97">
        <f t="shared" si="11"/>
        <v>0.05</v>
      </c>
      <c r="AE5" s="97">
        <f t="shared" si="12"/>
        <v>5.3846153846153849E-2</v>
      </c>
      <c r="AF5" s="97">
        <f t="shared" si="13"/>
        <v>0</v>
      </c>
      <c r="AG5" s="97">
        <f t="shared" si="14"/>
        <v>0</v>
      </c>
      <c r="AH5" s="80" t="s">
        <v>18</v>
      </c>
      <c r="AI5" s="85">
        <f>COUNTIF('AUDIT HK'!$G$17:$G$23,"=1")</f>
        <v>0</v>
      </c>
      <c r="AJ5" s="85">
        <f>COUNTIF('AUDIT HK'!$M$17:$M$23,"=1")</f>
        <v>0</v>
      </c>
      <c r="AK5" s="85">
        <f>COUNTIF('AUDIT HK'!$S$17:$S$23,"=1")</f>
        <v>1</v>
      </c>
      <c r="AL5" s="85">
        <f>COUNTIF('AUDIT HK'!$Y$17:$Y$23,"=1")</f>
        <v>0</v>
      </c>
      <c r="AM5" s="85">
        <f>COUNTIF('AUDIT HK'!$AE$17:$AE$23,"=1")</f>
        <v>1</v>
      </c>
      <c r="AN5" s="85">
        <f>COUNTIF('AUDIT HK'!$AK$17:$AK$23,"=1")</f>
        <v>2</v>
      </c>
      <c r="AO5" s="85">
        <f>COUNTIF('AUDIT HK'!$AQ$17:$AQ$23,"=1")</f>
        <v>0</v>
      </c>
      <c r="AP5" s="85">
        <f>COUNTIF('AUDIT HK'!$AX$17:$AX$23,"=1")</f>
        <v>0</v>
      </c>
      <c r="AQ5" s="85">
        <f>COUNTIF('AUDIT HK'!$BC$17:$BC$23,"=1")</f>
        <v>1</v>
      </c>
      <c r="AR5" s="85">
        <f>COUNTIF('AUDIT HK'!$BI$17:$BI$23,"=1")</f>
        <v>0</v>
      </c>
      <c r="AS5" s="85">
        <f>COUNTIF('AUDIT HK'!$BO$17:$BO$23,"=1")</f>
        <v>0</v>
      </c>
      <c r="AT5" s="85">
        <f>COUNTIF('AUDIT HK'!$BU$17:$BU$23,"=1")</f>
        <v>0</v>
      </c>
      <c r="AU5" s="85">
        <f>COUNTIF('AUDIT HK'!$CA$17:$CA$23,"=1")</f>
        <v>0</v>
      </c>
      <c r="AV5" s="85">
        <f>COUNTIF('AUDIT HK'!$CG$17:$CG$23,"=1")</f>
        <v>0</v>
      </c>
      <c r="AW5" s="80" t="s">
        <v>18</v>
      </c>
      <c r="AX5" s="85">
        <f>COUNTIF('AUDIT HK'!$G$17:$G$23,"=0")</f>
        <v>0</v>
      </c>
      <c r="AY5" s="85">
        <f>COUNTIF('AUDIT HK'!$M$17:$M$23,"=0")</f>
        <v>0</v>
      </c>
      <c r="AZ5" s="85">
        <f>COUNTIF('AUDIT HK'!$S$17:$S$23,"=0")</f>
        <v>0</v>
      </c>
      <c r="BA5" s="85">
        <f>COUNTIF('AUDIT HK'!$Y$17:$Y$23,"=0")</f>
        <v>0</v>
      </c>
      <c r="BB5" s="85">
        <f>COUNTIF('AUDIT HK'!$AE$17:$AE$23,"=0")</f>
        <v>0</v>
      </c>
      <c r="BC5" s="85">
        <f>COUNTIF('AUDIT HK'!$AK$17:$AK$23,"=0")</f>
        <v>0</v>
      </c>
      <c r="BD5" s="85">
        <f>COUNTIF('AUDIT HK'!$AQ$17:$AQ$23,"=0")</f>
        <v>0</v>
      </c>
      <c r="BE5" s="85">
        <f>COUNTIF('AUDIT HK'!$AX$17:$AX$23,"=0")</f>
        <v>0</v>
      </c>
      <c r="BF5" s="85">
        <f>COUNTIF('AUDIT HK'!$BC$17:$BC$23,"=0")</f>
        <v>0</v>
      </c>
      <c r="BG5" s="85">
        <f>COUNTIF('AUDIT HK'!$BI$17:$BI$23,"=0")</f>
        <v>0</v>
      </c>
      <c r="BH5" s="85">
        <f>COUNTIF('AUDIT HK'!$BO$17:$BO$23,"=0")</f>
        <v>0</v>
      </c>
      <c r="BI5" s="85">
        <f>COUNTIF('AUDIT HK'!$BU$17:$BU$23,"=0")</f>
        <v>0</v>
      </c>
      <c r="BJ5" s="85">
        <f>COUNTIF('AUDIT HK'!$CA$17:$CA$23,"=0")</f>
        <v>0</v>
      </c>
      <c r="BK5" s="85">
        <f>COUNTIF('AUDIT HK'!$CG$17:$CG$23,"=0")</f>
        <v>0</v>
      </c>
    </row>
    <row r="6" spans="1:63" ht="15.75" customHeight="1" x14ac:dyDescent="0.25">
      <c r="A6" t="s">
        <v>1187</v>
      </c>
      <c r="C6">
        <v>14</v>
      </c>
      <c r="D6" s="80" t="s">
        <v>19</v>
      </c>
      <c r="E6" s="85">
        <f>'AUDIT HK'!H24</f>
        <v>14</v>
      </c>
      <c r="F6" s="85">
        <f>'AUDIT HK'!N24</f>
        <v>12</v>
      </c>
      <c r="G6" s="85">
        <f>'AUDIT HK'!T24</f>
        <v>11</v>
      </c>
      <c r="H6" s="85">
        <f>'AUDIT HK'!Z24</f>
        <v>14</v>
      </c>
      <c r="I6" s="85">
        <f>'AUDIT HK'!AF24</f>
        <v>13</v>
      </c>
      <c r="J6" s="85">
        <f>'AUDIT HK'!AL24</f>
        <v>11</v>
      </c>
      <c r="K6" s="85">
        <f>'AUDIT HK'!AR24</f>
        <v>12</v>
      </c>
      <c r="L6" s="85">
        <f>'AUDIT HK'!AX24</f>
        <v>14</v>
      </c>
      <c r="M6" s="85">
        <f>'AUDIT HK'!BD24</f>
        <v>14</v>
      </c>
      <c r="N6" s="85">
        <f>'AUDIT HK'!BJ24</f>
        <v>12</v>
      </c>
      <c r="O6" s="85">
        <f>'AUDIT HK'!BP24</f>
        <v>11</v>
      </c>
      <c r="P6" s="94">
        <f>'AUDIT HK'!BV24</f>
        <v>12</v>
      </c>
      <c r="Q6" s="94">
        <f>'AUDIT HK'!CB24</f>
        <v>0</v>
      </c>
      <c r="R6" s="94">
        <f>'AUDIT HK'!CH24</f>
        <v>0</v>
      </c>
      <c r="S6" s="80" t="s">
        <v>19</v>
      </c>
      <c r="T6" s="97">
        <f t="shared" si="1"/>
        <v>5.3846153846153849E-2</v>
      </c>
      <c r="U6" s="97">
        <f t="shared" si="2"/>
        <v>4.6153846153846156E-2</v>
      </c>
      <c r="V6" s="97">
        <f t="shared" si="3"/>
        <v>4.230769230769231E-2</v>
      </c>
      <c r="W6" s="97">
        <f t="shared" si="4"/>
        <v>5.3846153846153849E-2</v>
      </c>
      <c r="X6" s="97">
        <f t="shared" si="5"/>
        <v>0.05</v>
      </c>
      <c r="Y6" s="97">
        <f t="shared" si="6"/>
        <v>4.230769230769231E-2</v>
      </c>
      <c r="Z6" s="97">
        <f t="shared" si="7"/>
        <v>4.6153846153846156E-2</v>
      </c>
      <c r="AA6" s="97">
        <f t="shared" si="8"/>
        <v>5.3846153846153849E-2</v>
      </c>
      <c r="AB6" s="97">
        <f t="shared" si="9"/>
        <v>5.3846153846153849E-2</v>
      </c>
      <c r="AC6" s="97">
        <f t="shared" si="10"/>
        <v>4.6153846153846156E-2</v>
      </c>
      <c r="AD6" s="97">
        <f t="shared" si="11"/>
        <v>4.230769230769231E-2</v>
      </c>
      <c r="AE6" s="97">
        <f t="shared" si="12"/>
        <v>4.6153846153846156E-2</v>
      </c>
      <c r="AF6" s="97">
        <f t="shared" si="13"/>
        <v>0</v>
      </c>
      <c r="AG6" s="97">
        <f t="shared" si="14"/>
        <v>0</v>
      </c>
      <c r="AH6" s="80" t="s">
        <v>19</v>
      </c>
      <c r="AI6" s="85">
        <f>COUNTIF('AUDIT HK'!$G$24:$G$30,"=1")</f>
        <v>0</v>
      </c>
      <c r="AJ6" s="85">
        <f>COUNTIF('AUDIT HK'!$M$24:$M$30,"=1")</f>
        <v>0</v>
      </c>
      <c r="AK6" s="85">
        <f>COUNTIF('AUDIT HK'!$S$24:$S$30,"=1")</f>
        <v>2</v>
      </c>
      <c r="AL6" s="85">
        <f>COUNTIF('AUDIT HK'!$Y$24:$Y$30,"=1")</f>
        <v>0</v>
      </c>
      <c r="AM6" s="85">
        <f>COUNTIF('AUDIT HK'!$AE$24:$AE$30,"=1")</f>
        <v>1</v>
      </c>
      <c r="AN6" s="85">
        <f>COUNTIF('AUDIT HK'!$AK$24:$AK$30,"=1")</f>
        <v>3</v>
      </c>
      <c r="AO6" s="85">
        <f>COUNTIF('AUDIT HK'!$AQ$24:$AQ$30,"=1")</f>
        <v>0</v>
      </c>
      <c r="AP6" s="85">
        <f>COUNTIF('AUDIT HK'!$AX$24:$AX$30,"=1")</f>
        <v>0</v>
      </c>
      <c r="AQ6" s="85">
        <f>COUNTIF('AUDIT HK'!$BC$24:$BC$30,"=1")</f>
        <v>0</v>
      </c>
      <c r="AR6" s="85">
        <f>COUNTIF('AUDIT HK'!$BI$24:$BI$30,"=1")</f>
        <v>0</v>
      </c>
      <c r="AS6" s="85">
        <f>COUNTIF('AUDIT HK'!$BO$24:$BO$30,"=1")</f>
        <v>0</v>
      </c>
      <c r="AT6" s="85">
        <f>COUNTIF('AUDIT HK'!$BU$24:$BU$30,"=1")</f>
        <v>0</v>
      </c>
      <c r="AU6" s="85">
        <f>COUNTIF('AUDIT HK'!$CA$24:$CA$30,"=1")</f>
        <v>0</v>
      </c>
      <c r="AV6" s="85">
        <f>COUNTIF('AUDIT HK'!$CG$24:$CG$30,"=1")</f>
        <v>0</v>
      </c>
      <c r="AW6" s="80" t="s">
        <v>19</v>
      </c>
      <c r="AX6" s="85">
        <f>COUNTIF('AUDIT HK'!$G$24:$G$30,"=0")</f>
        <v>0</v>
      </c>
      <c r="AY6" s="85">
        <f>COUNTIF('AUDIT HK'!$M$24:$M$30,"=0")</f>
        <v>1</v>
      </c>
      <c r="AZ6" s="85">
        <f>COUNTIF('AUDIT HK'!$S$24:$S$30,"=0")</f>
        <v>0</v>
      </c>
      <c r="BA6" s="85">
        <f>COUNTIF('AUDIT HK'!$Y$24:$Y$30,"=0")</f>
        <v>0</v>
      </c>
      <c r="BB6" s="85">
        <f>COUNTIF('AUDIT HK'!$AE$24:$AE$30,"=0")</f>
        <v>0</v>
      </c>
      <c r="BC6" s="85">
        <f>COUNTIF('AUDIT HK'!$AK$24:$AK$30,"=0")</f>
        <v>0</v>
      </c>
      <c r="BD6" s="85">
        <f>COUNTIF('AUDIT HK'!$AQ$24:$AQ$30,"=0")</f>
        <v>1</v>
      </c>
      <c r="BE6" s="85">
        <f>COUNTIF('AUDIT HK'!$AX$24:$AX$30,"=0")</f>
        <v>0</v>
      </c>
      <c r="BF6" s="85">
        <f>COUNTIF('AUDIT HK'!$BC$24:$BC$30,"=0")</f>
        <v>0</v>
      </c>
      <c r="BG6" s="85">
        <f>COUNTIF('AUDIT HK'!$BI$24:$BI$30,"=0")</f>
        <v>1</v>
      </c>
      <c r="BH6" s="85">
        <f>COUNTIF('AUDIT HK'!$BO$24:$BO$30,"=0")</f>
        <v>0</v>
      </c>
      <c r="BI6" s="85">
        <f>COUNTIF('AUDIT HK'!$BU$24:$BU$30,"=0")</f>
        <v>0</v>
      </c>
      <c r="BJ6" s="85">
        <f>COUNTIF('AUDIT HK'!$CA$24:$CA$30,"=0")</f>
        <v>0</v>
      </c>
      <c r="BK6" s="85">
        <f>COUNTIF('AUDIT HK'!$CG$24:$CG$30,"=0")</f>
        <v>0</v>
      </c>
    </row>
    <row r="7" spans="1:63" ht="15.75" customHeight="1" thickBot="1" x14ac:dyDescent="0.3">
      <c r="A7" t="s">
        <v>1188</v>
      </c>
      <c r="C7">
        <v>12</v>
      </c>
      <c r="D7" s="81" t="s">
        <v>20</v>
      </c>
      <c r="E7" s="85">
        <f>'AUDIT HK'!H31</f>
        <v>12</v>
      </c>
      <c r="F7" s="85">
        <f>'AUDIT HK'!N31</f>
        <v>12</v>
      </c>
      <c r="G7" s="85">
        <f>'AUDIT HK'!T31</f>
        <v>12</v>
      </c>
      <c r="H7" s="85">
        <f>'AUDIT HK'!Z31</f>
        <v>12</v>
      </c>
      <c r="I7" s="85">
        <f>'AUDIT HK'!AF31</f>
        <v>12</v>
      </c>
      <c r="J7" s="85">
        <f>'AUDIT HK'!AL31</f>
        <v>12</v>
      </c>
      <c r="K7" s="85">
        <f>'AUDIT HK'!AR31</f>
        <v>12</v>
      </c>
      <c r="L7" s="85">
        <f>'AUDIT HK'!AX31</f>
        <v>12</v>
      </c>
      <c r="M7" s="85">
        <f>'AUDIT HK'!BD31</f>
        <v>10</v>
      </c>
      <c r="N7" s="85">
        <f>'AUDIT HK'!BJ31</f>
        <v>12</v>
      </c>
      <c r="O7" s="85">
        <f>'AUDIT HK'!BP31</f>
        <v>12</v>
      </c>
      <c r="P7" s="94">
        <v>12</v>
      </c>
      <c r="Q7" s="94">
        <f>'AUDIT HK'!CB31</f>
        <v>0</v>
      </c>
      <c r="R7" s="94">
        <f>'AUDIT HK'!CH31</f>
        <v>0</v>
      </c>
      <c r="S7" s="81" t="s">
        <v>20</v>
      </c>
      <c r="T7" s="98">
        <f t="shared" si="1"/>
        <v>4.6153846153846156E-2</v>
      </c>
      <c r="U7" s="98">
        <f t="shared" si="2"/>
        <v>4.6153846153846156E-2</v>
      </c>
      <c r="V7" s="98">
        <f t="shared" si="3"/>
        <v>4.6153846153846156E-2</v>
      </c>
      <c r="W7" s="98">
        <f t="shared" si="4"/>
        <v>4.6153846153846156E-2</v>
      </c>
      <c r="X7" s="98">
        <f t="shared" si="5"/>
        <v>4.6153846153846156E-2</v>
      </c>
      <c r="Y7" s="98">
        <f t="shared" si="6"/>
        <v>4.6153846153846156E-2</v>
      </c>
      <c r="Z7" s="98">
        <f t="shared" si="7"/>
        <v>4.6153846153846156E-2</v>
      </c>
      <c r="AA7" s="98">
        <f t="shared" si="8"/>
        <v>4.6153846153846156E-2</v>
      </c>
      <c r="AB7" s="98">
        <f t="shared" si="9"/>
        <v>3.8461538461538464E-2</v>
      </c>
      <c r="AC7" s="98">
        <f t="shared" si="10"/>
        <v>4.6153846153846156E-2</v>
      </c>
      <c r="AD7" s="98">
        <f t="shared" si="11"/>
        <v>4.6153846153846156E-2</v>
      </c>
      <c r="AE7" s="98">
        <f t="shared" si="12"/>
        <v>4.6153846153846156E-2</v>
      </c>
      <c r="AF7" s="98">
        <f t="shared" si="13"/>
        <v>0</v>
      </c>
      <c r="AG7" s="98">
        <f t="shared" si="14"/>
        <v>0</v>
      </c>
      <c r="AH7" s="81" t="s">
        <v>20</v>
      </c>
      <c r="AI7" s="85">
        <f>COUNTIF('AUDIT HK'!$G$31:$G$36,"=1")</f>
        <v>0</v>
      </c>
      <c r="AJ7" s="85">
        <f>COUNTIF('AUDIT HK'!$M$31:$M$36,"=1")</f>
        <v>0</v>
      </c>
      <c r="AK7" s="85">
        <f>COUNTIF('AUDIT HK'!$S$31:$S$36,"=1")</f>
        <v>0</v>
      </c>
      <c r="AL7" s="85">
        <f>COUNTIF('AUDIT HK'!$Y$31:$Y$36,"=1")</f>
        <v>0</v>
      </c>
      <c r="AM7" s="85">
        <f>COUNTIF('AUDIT HK'!$AE$31:$AE$36,"=1")</f>
        <v>0</v>
      </c>
      <c r="AN7" s="85">
        <f>COUNTIF('AUDIT HK'!$AK$31:$AK$36,"=1")</f>
        <v>0</v>
      </c>
      <c r="AO7" s="85">
        <f>COUNTIF('AUDIT HK'!$AQ$31:$AQ$36,"=1")</f>
        <v>0</v>
      </c>
      <c r="AP7" s="85">
        <f>COUNTIF('AUDIT HK'!$AX$31:$AX$36,"=1")</f>
        <v>0</v>
      </c>
      <c r="AQ7" s="85">
        <f>COUNTIF('AUDIT HK'!$BC$31:$BC$36,"=1")</f>
        <v>0</v>
      </c>
      <c r="AR7" s="85">
        <f>COUNTIF('AUDIT HK'!$BI$31:$BI$36,"=1")</f>
        <v>0</v>
      </c>
      <c r="AS7" s="85">
        <f>COUNTIF('AUDIT HK'!$BO$31:$BO$36,"=1")</f>
        <v>0</v>
      </c>
      <c r="AT7" s="85">
        <f>COUNTIF('AUDIT HK'!$BU$31:$BU$36,"=1")</f>
        <v>0</v>
      </c>
      <c r="AU7" s="85">
        <f>COUNTIF('AUDIT HK'!$CA$31:$CA$36,"=1")</f>
        <v>0</v>
      </c>
      <c r="AV7" s="85">
        <f>COUNTIF('AUDIT HK'!$CG$31:$CG$36,"=1")</f>
        <v>0</v>
      </c>
      <c r="AW7" s="81" t="s">
        <v>20</v>
      </c>
      <c r="AX7" s="85">
        <f>COUNTIF('AUDIT HK'!$G$31:$G$36,"=0")</f>
        <v>0</v>
      </c>
      <c r="AY7" s="85">
        <f>COUNTIF('AUDIT HK'!$M$31:$M$36,"=0")</f>
        <v>0</v>
      </c>
      <c r="AZ7" s="85">
        <f>COUNTIF('AUDIT HK'!$S$31:$S$36,"=0")</f>
        <v>0</v>
      </c>
      <c r="BA7" s="85">
        <f>COUNTIF('AUDIT HK'!$Y$31:$Y$36,"=0")</f>
        <v>0</v>
      </c>
      <c r="BB7" s="85">
        <f>COUNTIF('AUDIT HK'!$AE$31:$AE$36,"=0")</f>
        <v>0</v>
      </c>
      <c r="BC7" s="85">
        <f>COUNTIF('AUDIT HK'!$AK$31:$AK$36,"=0")</f>
        <v>0</v>
      </c>
      <c r="BD7" s="85">
        <f>COUNTIF('AUDIT HK'!$AQ$31:$AQ$36,"=0")</f>
        <v>0</v>
      </c>
      <c r="BE7" s="85">
        <f>COUNTIF('AUDIT HK'!$AX$31:$AX$36,"=0")</f>
        <v>0</v>
      </c>
      <c r="BF7" s="85">
        <f>COUNTIF('AUDIT HK'!$BC$31:$BC$36,"=0")</f>
        <v>0</v>
      </c>
      <c r="BG7" s="85">
        <f>COUNTIF('AUDIT HK'!$BI$31:$BI$36,"=0")</f>
        <v>0</v>
      </c>
      <c r="BH7" s="85">
        <f>COUNTIF('AUDIT HK'!$BO$31:$BO$36,"=0")</f>
        <v>0</v>
      </c>
      <c r="BI7" s="85">
        <f>COUNTIF('AUDIT HK'!$BU$31:$BU$36,"=0")</f>
        <v>0</v>
      </c>
      <c r="BJ7" s="85">
        <f>COUNTIF('AUDIT HK'!$CA$31:$CA$36,"=0")</f>
        <v>0</v>
      </c>
      <c r="BK7" s="85">
        <f>COUNTIF('AUDIT HK'!$CG$31:$CG$36,"=0")</f>
        <v>0</v>
      </c>
    </row>
    <row r="8" spans="1:63" ht="15.75" customHeight="1" thickBot="1" x14ac:dyDescent="0.3">
      <c r="A8" t="s">
        <v>1189</v>
      </c>
      <c r="C8">
        <v>10</v>
      </c>
      <c r="D8" s="81" t="s">
        <v>1194</v>
      </c>
      <c r="E8" s="85">
        <f>'AUDIT HK'!H37</f>
        <v>10</v>
      </c>
      <c r="F8" s="85">
        <f>'AUDIT HK'!N37</f>
        <v>10</v>
      </c>
      <c r="G8" s="85">
        <f>'AUDIT HK'!T37</f>
        <v>10</v>
      </c>
      <c r="H8" s="85">
        <f>'AUDIT HK'!Z37</f>
        <v>10</v>
      </c>
      <c r="I8" s="85">
        <f>'AUDIT HK'!AF37</f>
        <v>10</v>
      </c>
      <c r="J8" s="85">
        <f>'AUDIT HK'!AL37</f>
        <v>10</v>
      </c>
      <c r="K8" s="85">
        <f>'AUDIT HK'!AR37</f>
        <v>10</v>
      </c>
      <c r="L8" s="85">
        <f>'AUDIT HK'!AX37</f>
        <v>10</v>
      </c>
      <c r="M8" s="85">
        <f>'AUDIT HK'!BD37</f>
        <v>10</v>
      </c>
      <c r="N8" s="85">
        <f>'AUDIT HK'!BJ37</f>
        <v>10</v>
      </c>
      <c r="O8" s="85">
        <f>'AUDIT HK'!BP37</f>
        <v>10</v>
      </c>
      <c r="P8" s="94">
        <f>'AUDIT HK'!BV37</f>
        <v>8</v>
      </c>
      <c r="Q8" s="94">
        <f>'AUDIT HK'!CB37</f>
        <v>0</v>
      </c>
      <c r="R8" s="94">
        <f>'AUDIT HK'!CH37</f>
        <v>0</v>
      </c>
      <c r="S8" s="81" t="s">
        <v>1194</v>
      </c>
      <c r="T8" s="98">
        <f t="shared" si="1"/>
        <v>3.8461538461538464E-2</v>
      </c>
      <c r="U8" s="98">
        <f t="shared" si="2"/>
        <v>3.8461538461538464E-2</v>
      </c>
      <c r="V8" s="98">
        <f t="shared" si="3"/>
        <v>3.8461538461538464E-2</v>
      </c>
      <c r="W8" s="98">
        <f t="shared" si="4"/>
        <v>3.8461538461538464E-2</v>
      </c>
      <c r="X8" s="98">
        <f t="shared" si="5"/>
        <v>3.8461538461538464E-2</v>
      </c>
      <c r="Y8" s="98">
        <f t="shared" si="6"/>
        <v>3.8461538461538464E-2</v>
      </c>
      <c r="Z8" s="98">
        <f t="shared" si="7"/>
        <v>3.8461538461538464E-2</v>
      </c>
      <c r="AA8" s="98">
        <f t="shared" si="8"/>
        <v>3.8461538461538464E-2</v>
      </c>
      <c r="AB8" s="98">
        <f t="shared" si="9"/>
        <v>3.8461538461538464E-2</v>
      </c>
      <c r="AC8" s="98">
        <f t="shared" si="10"/>
        <v>3.8461538461538464E-2</v>
      </c>
      <c r="AD8" s="98">
        <f t="shared" si="11"/>
        <v>3.8461538461538464E-2</v>
      </c>
      <c r="AE8" s="98">
        <f t="shared" si="12"/>
        <v>3.0769230769230771E-2</v>
      </c>
      <c r="AF8" s="98">
        <f t="shared" si="13"/>
        <v>0</v>
      </c>
      <c r="AG8" s="98">
        <f t="shared" si="14"/>
        <v>0</v>
      </c>
      <c r="AH8" s="81" t="s">
        <v>1194</v>
      </c>
      <c r="AI8" s="85">
        <f>COUNTIF('AUDIT HK'!$G$37:$G$41,"=1")</f>
        <v>0</v>
      </c>
      <c r="AJ8" s="85">
        <f>COUNTIF('AUDIT HK'!$M$37:$M$41,"=1")</f>
        <v>0</v>
      </c>
      <c r="AK8" s="85">
        <f>COUNTIF('AUDIT HK'!$S$37:$S$41,"=1")</f>
        <v>0</v>
      </c>
      <c r="AL8" s="85">
        <f>COUNTIF('AUDIT HK'!$Y$37:$Y$41,"=1")</f>
        <v>0</v>
      </c>
      <c r="AM8" s="85">
        <f>COUNTIF('AUDIT HK'!$AE$37:$AE$41,"=1")</f>
        <v>0</v>
      </c>
      <c r="AN8" s="85">
        <f>COUNTIF('AUDIT HK'!$AK$37:$AK$41,"=1")</f>
        <v>0</v>
      </c>
      <c r="AO8" s="85">
        <f>COUNTIF('AUDIT HK'!$AQ$37:$AQ$41,"=1")</f>
        <v>0</v>
      </c>
      <c r="AP8" s="85">
        <f>COUNTIF('AUDIT HK'!$AX$37:$AX$41,"=1")</f>
        <v>0</v>
      </c>
      <c r="AQ8" s="85">
        <f>COUNTIF('AUDIT HK'!$BC$37:$BC$41,"=1")</f>
        <v>0</v>
      </c>
      <c r="AR8" s="85">
        <f>COUNTIF('AUDIT HK'!$BI$37:$BI$41,"=1")</f>
        <v>0</v>
      </c>
      <c r="AS8" s="85">
        <f>COUNTIF('AUDIT HK'!$BO$37:$BO$41,"=1")</f>
        <v>0</v>
      </c>
      <c r="AT8" s="85">
        <f>COUNTIF('AUDIT HK'!$BU$37:$BU$41,"=1")</f>
        <v>0</v>
      </c>
      <c r="AU8" s="85">
        <f>COUNTIF('AUDIT HK'!$CA$37:$CA$41,"=1")</f>
        <v>0</v>
      </c>
      <c r="AV8" s="85">
        <f>COUNTIF('AUDIT HK'!$CG$37:$CG$41,"=1")</f>
        <v>0</v>
      </c>
      <c r="AW8" s="81" t="s">
        <v>1194</v>
      </c>
      <c r="AX8" s="85">
        <f>COUNTIF('AUDIT HK'!$G$37:$G$41,"=0")</f>
        <v>0</v>
      </c>
      <c r="AY8" s="85">
        <f>COUNTIF('AUDIT HK'!$M$37:$M$41,"=0")</f>
        <v>0</v>
      </c>
      <c r="AZ8" s="85">
        <f>COUNTIF('AUDIT HK'!$S$37:$S$41,"=0")</f>
        <v>0</v>
      </c>
      <c r="BA8" s="85">
        <f>COUNTIF('AUDIT HK'!$Y$37:$Y$41,"=0")</f>
        <v>0</v>
      </c>
      <c r="BB8" s="85">
        <f>COUNTIF('AUDIT HK'!$AE$37:$AE$41,"=0")</f>
        <v>0</v>
      </c>
      <c r="BC8" s="85">
        <f>COUNTIF('AUDIT HK'!$AK$37:$AK$41,"=0")</f>
        <v>0</v>
      </c>
      <c r="BD8" s="85">
        <f>COUNTIF('AUDIT HK'!$AQ$37:$AQ$41,"=0")</f>
        <v>0</v>
      </c>
      <c r="BE8" s="85">
        <f>COUNTIF('AUDIT HK'!$AX$37:$AX$41,"=0")</f>
        <v>0</v>
      </c>
      <c r="BF8" s="85">
        <f>COUNTIF('AUDIT HK'!$BC$37:$BC$41,"=0")</f>
        <v>0</v>
      </c>
      <c r="BG8" s="85">
        <f>COUNTIF('AUDIT HK'!$BI$37:$BI$41,"=0")</f>
        <v>0</v>
      </c>
      <c r="BH8" s="85">
        <f>COUNTIF('AUDIT HK'!$BO$37:$BO$41,"=0")</f>
        <v>0</v>
      </c>
      <c r="BI8" s="85">
        <f>COUNTIF('AUDIT HK'!$BU$37:$BU$41,"=0")</f>
        <v>0</v>
      </c>
      <c r="BJ8" s="85">
        <f>COUNTIF('AUDIT HK'!$CA$37:$CA$41,"=0")</f>
        <v>0</v>
      </c>
      <c r="BK8" s="85">
        <f>COUNTIF('AUDIT HK'!$CG$37:$CG$41,"=0")</f>
        <v>0</v>
      </c>
    </row>
    <row r="9" spans="1:63" ht="15" customHeight="1" thickBot="1" x14ac:dyDescent="0.3">
      <c r="A9" t="s">
        <v>1190</v>
      </c>
      <c r="C9">
        <v>44</v>
      </c>
      <c r="D9" s="67" t="str">
        <f>'AUDIT HK'!B42</f>
        <v xml:space="preserve">B. ALMACÉN (MMPP, MMAA, Producto Terminado y APQ) </v>
      </c>
      <c r="E9" s="31">
        <f t="shared" ref="E9:R9" si="43">SUM(E10:E13)</f>
        <v>37</v>
      </c>
      <c r="F9" s="31">
        <f t="shared" si="43"/>
        <v>42</v>
      </c>
      <c r="G9" s="31">
        <f t="shared" si="43"/>
        <v>34</v>
      </c>
      <c r="H9" s="31">
        <f t="shared" si="43"/>
        <v>44</v>
      </c>
      <c r="I9" s="31">
        <f t="shared" ca="1" si="43"/>
        <v>34</v>
      </c>
      <c r="J9" s="31">
        <f t="shared" si="43"/>
        <v>41</v>
      </c>
      <c r="K9" s="31">
        <f t="shared" si="43"/>
        <v>42</v>
      </c>
      <c r="L9" s="31">
        <f t="shared" si="43"/>
        <v>40</v>
      </c>
      <c r="M9" s="31">
        <f t="shared" si="43"/>
        <v>40</v>
      </c>
      <c r="N9" s="31">
        <f t="shared" si="43"/>
        <v>42</v>
      </c>
      <c r="O9" s="31">
        <f t="shared" si="43"/>
        <v>37</v>
      </c>
      <c r="P9" s="31">
        <f t="shared" si="43"/>
        <v>41</v>
      </c>
      <c r="Q9" s="31">
        <f t="shared" si="43"/>
        <v>0</v>
      </c>
      <c r="R9" s="31">
        <f t="shared" si="43"/>
        <v>0</v>
      </c>
      <c r="S9" s="67">
        <f>'AUDIT HK'!$C$42</f>
        <v>0</v>
      </c>
      <c r="T9" s="96">
        <f t="shared" si="1"/>
        <v>0.1423076923076923</v>
      </c>
      <c r="U9" s="96">
        <f t="shared" si="2"/>
        <v>0.16153846153846155</v>
      </c>
      <c r="V9" s="96">
        <f t="shared" si="3"/>
        <v>0.13076923076923078</v>
      </c>
      <c r="W9" s="96">
        <f t="shared" si="4"/>
        <v>0.16923076923076924</v>
      </c>
      <c r="X9" s="96">
        <f t="shared" ca="1" si="5"/>
        <v>0.13076923076923078</v>
      </c>
      <c r="Y9" s="96">
        <f t="shared" si="6"/>
        <v>0.15769230769230769</v>
      </c>
      <c r="Z9" s="96">
        <f t="shared" si="7"/>
        <v>0.16153846153846155</v>
      </c>
      <c r="AA9" s="96">
        <f t="shared" si="8"/>
        <v>0.15384615384615385</v>
      </c>
      <c r="AB9" s="96">
        <f t="shared" si="9"/>
        <v>0.15384615384615385</v>
      </c>
      <c r="AC9" s="96">
        <f t="shared" si="10"/>
        <v>0.16153846153846155</v>
      </c>
      <c r="AD9" s="96">
        <f t="shared" si="11"/>
        <v>0.1423076923076923</v>
      </c>
      <c r="AE9" s="96">
        <f t="shared" si="12"/>
        <v>0.15769230769230769</v>
      </c>
      <c r="AF9" s="96">
        <f t="shared" si="13"/>
        <v>0</v>
      </c>
      <c r="AG9" s="96">
        <f t="shared" si="14"/>
        <v>0</v>
      </c>
      <c r="AH9" s="67">
        <f>'AUDIT HK'!$C$42</f>
        <v>0</v>
      </c>
      <c r="AI9" s="31">
        <f t="shared" ref="AI9" si="44">SUM(AI10:AI13)</f>
        <v>7</v>
      </c>
      <c r="AJ9" s="31">
        <f t="shared" ref="AJ9" si="45">SUM(AJ10:AJ13)</f>
        <v>2</v>
      </c>
      <c r="AK9" s="31">
        <f t="shared" ref="AK9" si="46">SUM(AK10:AK13)</f>
        <v>6</v>
      </c>
      <c r="AL9" s="31">
        <f t="shared" ref="AL9" si="47">SUM(AL10:AL13)</f>
        <v>0</v>
      </c>
      <c r="AM9" s="31">
        <f t="shared" ref="AM9" si="48">SUM(AM10:AM13)</f>
        <v>3</v>
      </c>
      <c r="AN9" s="31">
        <f t="shared" ref="AN9" si="49">SUM(AN10:AN13)</f>
        <v>3</v>
      </c>
      <c r="AO9" s="31">
        <f t="shared" ref="AO9" si="50">SUM(AO10:AO13)</f>
        <v>0</v>
      </c>
      <c r="AP9" s="31">
        <f t="shared" ref="AP9" si="51">SUM(AP10:AP13)</f>
        <v>0</v>
      </c>
      <c r="AQ9" s="31">
        <f t="shared" ref="AQ9" si="52">SUM(AQ10:AQ13)</f>
        <v>4</v>
      </c>
      <c r="AR9" s="31">
        <f t="shared" ref="AR9" si="53">SUM(AR10:AR13)</f>
        <v>2</v>
      </c>
      <c r="AS9" s="31">
        <f t="shared" ref="AS9" si="54">SUM(AS10:AS13)</f>
        <v>0</v>
      </c>
      <c r="AT9" s="31">
        <f t="shared" ref="AT9" si="55">SUM(AT10:AT13)</f>
        <v>0</v>
      </c>
      <c r="AU9" s="31">
        <f t="shared" ref="AU9" si="56">SUM(AU10:AU13)</f>
        <v>0</v>
      </c>
      <c r="AV9" s="31">
        <f t="shared" ref="AV9" si="57">SUM(AV10:AV13)</f>
        <v>0</v>
      </c>
      <c r="AW9" s="67">
        <f>'AUDIT HK'!$C$42</f>
        <v>0</v>
      </c>
      <c r="AX9" s="31">
        <f t="shared" ref="AX9" si="58">SUM(AX10:AX13)</f>
        <v>0</v>
      </c>
      <c r="AY9" s="31">
        <f t="shared" ref="AY9" si="59">SUM(AY10:AY13)</f>
        <v>0</v>
      </c>
      <c r="AZ9" s="31">
        <f t="shared" ref="AZ9" si="60">SUM(AZ10:AZ13)</f>
        <v>2</v>
      </c>
      <c r="BA9" s="31">
        <f t="shared" ref="BA9" si="61">SUM(BA10:BA13)</f>
        <v>0</v>
      </c>
      <c r="BB9" s="31">
        <f t="shared" ref="BB9" si="62">SUM(BB10:BB13)</f>
        <v>2</v>
      </c>
      <c r="BC9" s="31">
        <f t="shared" ref="BC9" si="63">SUM(BC10:BC13)</f>
        <v>0</v>
      </c>
      <c r="BD9" s="31">
        <f t="shared" ref="BD9" si="64">SUM(BD10:BD13)</f>
        <v>2</v>
      </c>
      <c r="BE9" s="31">
        <f t="shared" ref="BE9" si="65">SUM(BE10:BE13)</f>
        <v>0</v>
      </c>
      <c r="BF9" s="31">
        <f t="shared" ref="BF9" si="66">SUM(BF10:BF13)</f>
        <v>0</v>
      </c>
      <c r="BG9" s="31">
        <f t="shared" ref="BG9" si="67">SUM(BG10:BG13)</f>
        <v>0</v>
      </c>
      <c r="BH9" s="31">
        <f t="shared" ref="BH9" si="68">SUM(BH10:BH13)</f>
        <v>0</v>
      </c>
      <c r="BI9" s="31">
        <f t="shared" ref="BI9" si="69">SUM(BI10:BI13)</f>
        <v>0</v>
      </c>
      <c r="BJ9" s="31">
        <f t="shared" ref="BJ9" si="70">SUM(BJ10:BJ13)</f>
        <v>0</v>
      </c>
      <c r="BK9" s="31">
        <f t="shared" ref="BK9" si="71">SUM(BK10:BK13)</f>
        <v>0</v>
      </c>
    </row>
    <row r="10" spans="1:63" x14ac:dyDescent="0.25">
      <c r="A10" t="s">
        <v>9</v>
      </c>
      <c r="C10">
        <v>10</v>
      </c>
      <c r="D10" s="79" t="s">
        <v>16</v>
      </c>
      <c r="E10" s="85">
        <f>'AUDIT HK'!H44</f>
        <v>8</v>
      </c>
      <c r="F10" s="85">
        <f>'AUDIT HK'!N44</f>
        <v>9</v>
      </c>
      <c r="G10" s="85">
        <f>'AUDIT HK'!T44</f>
        <v>6</v>
      </c>
      <c r="H10" s="85">
        <f>'AUDIT HK'!Z44</f>
        <v>10</v>
      </c>
      <c r="I10" s="85">
        <f>'AUDIT HK'!AF44</f>
        <v>6</v>
      </c>
      <c r="J10" s="85">
        <f>'AUDIT HK'!AL44</f>
        <v>9</v>
      </c>
      <c r="K10" s="85">
        <f>'AUDIT HK'!AR44</f>
        <v>10</v>
      </c>
      <c r="L10" s="85">
        <f>'AUDIT HK'!AX44</f>
        <v>7</v>
      </c>
      <c r="M10" s="85">
        <f>'AUDIT HK'!BD44</f>
        <v>9</v>
      </c>
      <c r="N10" s="85">
        <f>'AUDIT HK'!BJ44</f>
        <v>10</v>
      </c>
      <c r="O10" s="85">
        <f>'AUDIT HK'!BP44</f>
        <v>8</v>
      </c>
      <c r="P10" s="85">
        <f>'AUDIT HK'!BV44</f>
        <v>9</v>
      </c>
      <c r="Q10" s="85">
        <f>'AUDIT HK'!CB44</f>
        <v>0</v>
      </c>
      <c r="R10" s="85">
        <f>'AUDIT HK'!CH44</f>
        <v>0</v>
      </c>
      <c r="S10" s="79" t="s">
        <v>16</v>
      </c>
      <c r="T10" s="92">
        <f t="shared" si="1"/>
        <v>3.0769230769230771E-2</v>
      </c>
      <c r="U10" s="92">
        <f t="shared" si="2"/>
        <v>3.4615384615384617E-2</v>
      </c>
      <c r="V10" s="92">
        <f t="shared" si="3"/>
        <v>2.3076923076923078E-2</v>
      </c>
      <c r="W10" s="92">
        <f t="shared" si="4"/>
        <v>3.8461538461538464E-2</v>
      </c>
      <c r="X10" s="92">
        <f t="shared" si="5"/>
        <v>2.3076923076923078E-2</v>
      </c>
      <c r="Y10" s="92">
        <f t="shared" si="6"/>
        <v>3.4615384615384617E-2</v>
      </c>
      <c r="Z10" s="92">
        <f t="shared" si="7"/>
        <v>3.8461538461538464E-2</v>
      </c>
      <c r="AA10" s="92">
        <f t="shared" si="8"/>
        <v>2.6923076923076925E-2</v>
      </c>
      <c r="AB10" s="92">
        <f t="shared" si="9"/>
        <v>3.4615384615384617E-2</v>
      </c>
      <c r="AC10" s="92">
        <f t="shared" si="10"/>
        <v>3.8461538461538464E-2</v>
      </c>
      <c r="AD10" s="92">
        <f t="shared" si="11"/>
        <v>3.0769230769230771E-2</v>
      </c>
      <c r="AE10" s="92">
        <f t="shared" si="12"/>
        <v>3.4615384615384617E-2</v>
      </c>
      <c r="AF10" s="92">
        <f t="shared" si="13"/>
        <v>0</v>
      </c>
      <c r="AG10" s="92">
        <f t="shared" si="14"/>
        <v>0</v>
      </c>
      <c r="AH10" s="79" t="s">
        <v>16</v>
      </c>
      <c r="AI10" s="84">
        <f>COUNTIF('AUDIT HK'!$G$44:$G$48,"=1")</f>
        <v>2</v>
      </c>
      <c r="AJ10" s="84">
        <f>COUNTIF('AUDIT HK'!$M$44:$M$48,"=1")</f>
        <v>1</v>
      </c>
      <c r="AK10" s="84">
        <f>COUNTIF('AUDIT HK'!$S$44:$S$48,"=1")</f>
        <v>2</v>
      </c>
      <c r="AL10" s="84">
        <f>COUNTIF('AUDIT HK'!$Y$44:$Y$48,"=1")</f>
        <v>0</v>
      </c>
      <c r="AM10" s="84">
        <f>COUNTIF('AUDIT HK'!$AE$44:$AE$48,"=1")</f>
        <v>2</v>
      </c>
      <c r="AN10" s="84">
        <f>COUNTIF('AUDIT HK'!$AK$44:$AK$48,"=1")</f>
        <v>1</v>
      </c>
      <c r="AO10" s="84">
        <f>COUNTIF('AUDIT HK'!$AQ$44:$AQ$48,"=1")</f>
        <v>0</v>
      </c>
      <c r="AP10" s="84">
        <f>COUNTIF('AUDIT HK'!$AX$44:$AX$48,"=1")</f>
        <v>0</v>
      </c>
      <c r="AQ10" s="84">
        <f>COUNTIF('AUDIT HK'!$BC$44:$BC$48,"=1")</f>
        <v>1</v>
      </c>
      <c r="AR10" s="84">
        <f>COUNTIF('AUDIT HK'!$BI$44:$BI$48,"=1")</f>
        <v>0</v>
      </c>
      <c r="AS10" s="84">
        <f>COUNTIF('AUDIT HK'!$BO$44:$BO$48,"=1")</f>
        <v>0</v>
      </c>
      <c r="AT10" s="84">
        <f>COUNTIF('AUDIT HK'!$BU$44:$BU$48,"=1")</f>
        <v>0</v>
      </c>
      <c r="AU10" s="84">
        <f>COUNTIF('AUDIT HK'!$CA$44:$CA$48,"=1")</f>
        <v>0</v>
      </c>
      <c r="AV10" s="84">
        <f>COUNTIF('AUDIT HK'!$CG$44:$CG$48,"=1")</f>
        <v>0</v>
      </c>
      <c r="AW10" s="79" t="s">
        <v>16</v>
      </c>
      <c r="AX10" s="84">
        <f>COUNTIF('AUDIT HK'!$G$44:$G$48,"=0")</f>
        <v>0</v>
      </c>
      <c r="AY10" s="84">
        <f>COUNTIF('AUDIT HK'!$M$44:$M$48,"=0")</f>
        <v>0</v>
      </c>
      <c r="AZ10" s="84">
        <f>COUNTIF('AUDIT HK'!$S$44:$S$48,"=0")</f>
        <v>1</v>
      </c>
      <c r="BA10" s="84">
        <f>COUNTIF('AUDIT HK'!$Y$44:$Y$48,"=0")</f>
        <v>0</v>
      </c>
      <c r="BB10" s="84">
        <f>COUNTIF('AUDIT HK'!$AE$44:$AE$48,"=0")</f>
        <v>1</v>
      </c>
      <c r="BC10" s="84">
        <f>COUNTIF('AUDIT HK'!$AK$44:$AK$48,"=0")</f>
        <v>0</v>
      </c>
      <c r="BD10" s="84">
        <f>COUNTIF('AUDIT HK'!$AQ$44:$AQ$48,"=0")</f>
        <v>0</v>
      </c>
      <c r="BE10" s="84">
        <f>COUNTIF('AUDIT HK'!$AX$44:$AX$48,"=0")</f>
        <v>0</v>
      </c>
      <c r="BF10" s="84">
        <f>COUNTIF('AUDIT HK'!$BC$44:$BC$48,"=0")</f>
        <v>0</v>
      </c>
      <c r="BG10" s="84">
        <f>COUNTIF('AUDIT HK'!$BI$44:$BI$48,"=0")</f>
        <v>0</v>
      </c>
      <c r="BH10" s="84">
        <f>COUNTIF('AUDIT HK'!$BO$44:$BO$48,"=0")</f>
        <v>0</v>
      </c>
      <c r="BI10" s="84">
        <f>COUNTIF('AUDIT HK'!$BU$44:$BU$48,"=0")</f>
        <v>0</v>
      </c>
      <c r="BJ10" s="84">
        <f>COUNTIF('AUDIT HK'!$CA$44:$CA$48,"=0")</f>
        <v>0</v>
      </c>
      <c r="BK10" s="84">
        <f>COUNTIF('AUDIT HK'!$CG$44:$CG$48,"=0")</f>
        <v>0</v>
      </c>
    </row>
    <row r="11" spans="1:63" x14ac:dyDescent="0.25">
      <c r="A11" t="s">
        <v>1191</v>
      </c>
      <c r="C11">
        <v>12</v>
      </c>
      <c r="D11" s="80" t="s">
        <v>18</v>
      </c>
      <c r="E11" s="85">
        <f>'AUDIT HK'!H49</f>
        <v>9</v>
      </c>
      <c r="F11" s="85">
        <f>'AUDIT HK'!N49</f>
        <v>12</v>
      </c>
      <c r="G11" s="85">
        <f>'AUDIT HK'!T49</f>
        <v>10</v>
      </c>
      <c r="H11" s="85">
        <f>'AUDIT HK'!Z49</f>
        <v>12</v>
      </c>
      <c r="I11" s="85">
        <f>'AUDIT HK'!AF49</f>
        <v>8</v>
      </c>
      <c r="J11" s="85">
        <f>'AUDIT HK'!AL49</f>
        <v>11</v>
      </c>
      <c r="K11" s="85">
        <f>'AUDIT HK'!AR49</f>
        <v>12</v>
      </c>
      <c r="L11" s="85">
        <f>'AUDIT HK'!AX49</f>
        <v>11</v>
      </c>
      <c r="M11" s="85">
        <f>'AUDIT HK'!BD49</f>
        <v>11</v>
      </c>
      <c r="N11" s="85">
        <f>'AUDIT HK'!BJ49</f>
        <v>11</v>
      </c>
      <c r="O11" s="85">
        <f>'AUDIT HK'!BP49</f>
        <v>9</v>
      </c>
      <c r="P11" s="85">
        <f>'AUDIT HK'!BV49</f>
        <v>11</v>
      </c>
      <c r="Q11" s="85">
        <f>'AUDIT HK'!CB49</f>
        <v>0</v>
      </c>
      <c r="R11" s="85">
        <f>'AUDIT HK'!CH49</f>
        <v>0</v>
      </c>
      <c r="S11" s="80" t="s">
        <v>18</v>
      </c>
      <c r="T11" s="97">
        <f t="shared" si="1"/>
        <v>3.4615384615384617E-2</v>
      </c>
      <c r="U11" s="97">
        <f t="shared" si="2"/>
        <v>4.6153846153846156E-2</v>
      </c>
      <c r="V11" s="97">
        <f t="shared" si="3"/>
        <v>3.8461538461538464E-2</v>
      </c>
      <c r="W11" s="97">
        <f t="shared" si="4"/>
        <v>4.6153846153846156E-2</v>
      </c>
      <c r="X11" s="97">
        <f t="shared" si="5"/>
        <v>3.0769230769230771E-2</v>
      </c>
      <c r="Y11" s="97">
        <f t="shared" si="6"/>
        <v>4.230769230769231E-2</v>
      </c>
      <c r="Z11" s="97">
        <f t="shared" si="7"/>
        <v>4.6153846153846156E-2</v>
      </c>
      <c r="AA11" s="97">
        <f t="shared" si="8"/>
        <v>4.230769230769231E-2</v>
      </c>
      <c r="AB11" s="97">
        <f t="shared" si="9"/>
        <v>4.230769230769231E-2</v>
      </c>
      <c r="AC11" s="97">
        <f t="shared" si="10"/>
        <v>4.230769230769231E-2</v>
      </c>
      <c r="AD11" s="97">
        <f t="shared" si="11"/>
        <v>3.4615384615384617E-2</v>
      </c>
      <c r="AE11" s="97">
        <f t="shared" si="12"/>
        <v>4.230769230769231E-2</v>
      </c>
      <c r="AF11" s="97">
        <f t="shared" si="13"/>
        <v>0</v>
      </c>
      <c r="AG11" s="97">
        <f t="shared" si="14"/>
        <v>0</v>
      </c>
      <c r="AH11" s="80" t="s">
        <v>18</v>
      </c>
      <c r="AI11" s="85">
        <f>COUNTIF('AUDIT HK'!$G$49:$G$54,"=1")</f>
        <v>3</v>
      </c>
      <c r="AJ11" s="85">
        <f>COUNTIF('AUDIT HK'!$M$49:$M$54,"=1")</f>
        <v>0</v>
      </c>
      <c r="AK11" s="85">
        <f>COUNTIF('AUDIT HK'!$S$49:$S$54,"=1")</f>
        <v>2</v>
      </c>
      <c r="AL11" s="85">
        <f>COUNTIF('AUDIT HK'!$Y$49:$Y$54,"=1")</f>
        <v>0</v>
      </c>
      <c r="AM11" s="85">
        <f>COUNTIF('AUDIT HK'!$AE$49:$AE$54,"=1")</f>
        <v>1</v>
      </c>
      <c r="AN11" s="85">
        <f>COUNTIF('AUDIT HK'!$AK$49:$AK$54,"=1")</f>
        <v>1</v>
      </c>
      <c r="AO11" s="85">
        <f>COUNTIF('AUDIT HK'!$AQ$49:$AQ$54,"=1")</f>
        <v>0</v>
      </c>
      <c r="AP11" s="85">
        <f>COUNTIF('AUDIT HK'!$AX$49:$AX$54,"=1")</f>
        <v>0</v>
      </c>
      <c r="AQ11" s="85">
        <f>COUNTIF('AUDIT HK'!$BC$49:$BC$54,"=1")</f>
        <v>1</v>
      </c>
      <c r="AR11" s="85">
        <f>COUNTIF('AUDIT HK'!$BI$49:$BI$54,"=1")</f>
        <v>1</v>
      </c>
      <c r="AS11" s="85">
        <f>COUNTIF('AUDIT HK'!$BO$49:$BO$54,"=1")</f>
        <v>0</v>
      </c>
      <c r="AT11" s="85">
        <f>COUNTIF('AUDIT HK'!$BU$49:$BU$54,"=1")</f>
        <v>0</v>
      </c>
      <c r="AU11" s="85">
        <f>COUNTIF('AUDIT HK'!$CA$49:$CA$54,"=1")</f>
        <v>0</v>
      </c>
      <c r="AV11" s="85">
        <f>COUNTIF('AUDIT HK'!$CG$49:$CG$54,"=1")</f>
        <v>0</v>
      </c>
      <c r="AW11" s="80" t="s">
        <v>18</v>
      </c>
      <c r="AX11" s="85">
        <f>COUNTIF('AUDIT HK'!$G$49:$G$54,"=0")</f>
        <v>0</v>
      </c>
      <c r="AY11" s="85">
        <f>COUNTIF('AUDIT HK'!$M$49:$M$54,"=0")</f>
        <v>0</v>
      </c>
      <c r="AZ11" s="85">
        <f>COUNTIF('AUDIT HK'!$S$49:$S$54,"=0")</f>
        <v>0</v>
      </c>
      <c r="BA11" s="85">
        <f>COUNTIF('AUDIT HK'!$Y$49:$Y$54,"=0")</f>
        <v>0</v>
      </c>
      <c r="BB11" s="85">
        <f>COUNTIF('AUDIT HK'!$AE$49:$AE$54,"=0")</f>
        <v>1</v>
      </c>
      <c r="BC11" s="85">
        <f>COUNTIF('AUDIT HK'!$AK$49:$AK$54,"=0")</f>
        <v>0</v>
      </c>
      <c r="BD11" s="85">
        <f>COUNTIF('AUDIT HK'!$AQ$49:$AQ$54,"=0")</f>
        <v>0</v>
      </c>
      <c r="BE11" s="85">
        <f>COUNTIF('AUDIT HK'!$AX$49:$AX$54,"=0")</f>
        <v>0</v>
      </c>
      <c r="BF11" s="85">
        <f>COUNTIF('AUDIT HK'!$BC$49:$BC$54,"=0")</f>
        <v>0</v>
      </c>
      <c r="BG11" s="85">
        <f>COUNTIF('AUDIT HK'!$BI$49:$BI$54,"=0")</f>
        <v>0</v>
      </c>
      <c r="BH11" s="85">
        <f>COUNTIF('AUDIT HK'!$BO$49:$BO$54,"=0")</f>
        <v>0</v>
      </c>
      <c r="BI11" s="85">
        <f>COUNTIF('AUDIT HK'!$BU$49:$BU$54,"=0")</f>
        <v>0</v>
      </c>
      <c r="BJ11" s="85">
        <f>COUNTIF('AUDIT HK'!$CA$49:$CA$54,"=0")</f>
        <v>0</v>
      </c>
      <c r="BK11" s="85">
        <f>COUNTIF('AUDIT HK'!$CG$49:$CG$54,"=0")</f>
        <v>0</v>
      </c>
    </row>
    <row r="12" spans="1:63" ht="15.75" customHeight="1" x14ac:dyDescent="0.25">
      <c r="A12" t="s">
        <v>1192</v>
      </c>
      <c r="C12">
        <v>14</v>
      </c>
      <c r="D12" s="80" t="s">
        <v>19</v>
      </c>
      <c r="E12" s="85">
        <f>'AUDIT HK'!H55</f>
        <v>12</v>
      </c>
      <c r="F12" s="85">
        <f>'AUDIT HK'!N55</f>
        <v>13</v>
      </c>
      <c r="G12" s="85">
        <f>'AUDIT HK'!T55</f>
        <v>10</v>
      </c>
      <c r="H12" s="85">
        <f>'AUDIT HK'!Z55</f>
        <v>14</v>
      </c>
      <c r="I12" s="85">
        <f ca="1">'AUDIT HK'!AF55</f>
        <v>12</v>
      </c>
      <c r="J12" s="85">
        <f>'AUDIT HK'!AL55</f>
        <v>13</v>
      </c>
      <c r="K12" s="85">
        <f>'AUDIT HK'!AR55</f>
        <v>10</v>
      </c>
      <c r="L12" s="85">
        <f>'AUDIT HK'!AX55</f>
        <v>14</v>
      </c>
      <c r="M12" s="85">
        <f>'AUDIT HK'!BD55</f>
        <v>12</v>
      </c>
      <c r="N12" s="85">
        <f>'AUDIT HK'!BJ55</f>
        <v>13</v>
      </c>
      <c r="O12" s="85">
        <f>'AUDIT HK'!BP55</f>
        <v>12</v>
      </c>
      <c r="P12" s="85">
        <f>'AUDIT HK'!BV55</f>
        <v>13</v>
      </c>
      <c r="Q12" s="85">
        <f>'AUDIT HK'!CB55</f>
        <v>0</v>
      </c>
      <c r="R12" s="85">
        <f>'AUDIT HK'!CH55</f>
        <v>0</v>
      </c>
      <c r="S12" s="80" t="s">
        <v>19</v>
      </c>
      <c r="T12" s="97">
        <f t="shared" si="1"/>
        <v>4.6153846153846156E-2</v>
      </c>
      <c r="U12" s="97">
        <f t="shared" si="2"/>
        <v>0.05</v>
      </c>
      <c r="V12" s="97">
        <f t="shared" si="3"/>
        <v>3.8461538461538464E-2</v>
      </c>
      <c r="W12" s="97">
        <f t="shared" si="4"/>
        <v>5.3846153846153849E-2</v>
      </c>
      <c r="X12" s="97">
        <f t="shared" ca="1" si="5"/>
        <v>4.6153846153846156E-2</v>
      </c>
      <c r="Y12" s="97">
        <f t="shared" si="6"/>
        <v>0.05</v>
      </c>
      <c r="Z12" s="97">
        <f t="shared" si="7"/>
        <v>3.8461538461538464E-2</v>
      </c>
      <c r="AA12" s="97">
        <f t="shared" si="8"/>
        <v>5.3846153846153849E-2</v>
      </c>
      <c r="AB12" s="97">
        <f t="shared" si="9"/>
        <v>4.6153846153846156E-2</v>
      </c>
      <c r="AC12" s="97">
        <f t="shared" si="10"/>
        <v>0.05</v>
      </c>
      <c r="AD12" s="97">
        <f t="shared" si="11"/>
        <v>4.6153846153846156E-2</v>
      </c>
      <c r="AE12" s="97">
        <f t="shared" si="12"/>
        <v>0.05</v>
      </c>
      <c r="AF12" s="97">
        <f t="shared" si="13"/>
        <v>0</v>
      </c>
      <c r="AG12" s="97">
        <f t="shared" si="14"/>
        <v>0</v>
      </c>
      <c r="AH12" s="80" t="s">
        <v>19</v>
      </c>
      <c r="AI12" s="85">
        <f>COUNTIF('AUDIT HK'!$G$55:$G$61,"=1")</f>
        <v>2</v>
      </c>
      <c r="AJ12" s="85">
        <f>COUNTIF('AUDIT HK'!$M$55:$M$61,"=1")</f>
        <v>1</v>
      </c>
      <c r="AK12" s="85">
        <f>COUNTIF('AUDIT HK'!$S$55:$S$61,"=1")</f>
        <v>2</v>
      </c>
      <c r="AL12" s="85">
        <f>COUNTIF('AUDIT HK'!$Y$55:$Y$61,"=1")</f>
        <v>0</v>
      </c>
      <c r="AM12" s="85">
        <f>COUNTIF('AUDIT HK'!$AE$55:$AE$61,"=1")</f>
        <v>0</v>
      </c>
      <c r="AN12" s="85">
        <f>COUNTIF('AUDIT HK'!$AK$55:$AK$61,"=1")</f>
        <v>1</v>
      </c>
      <c r="AO12" s="85">
        <f>COUNTIF('AUDIT HK'!$AQ$55:$AQ$61,"=1")</f>
        <v>0</v>
      </c>
      <c r="AP12" s="85">
        <f>COUNTIF('AUDIT HK'!$AX$55:$AX$61,"=1")</f>
        <v>0</v>
      </c>
      <c r="AQ12" s="85">
        <f>COUNTIF('AUDIT HK'!$BC$55:$BC$61,"=1")</f>
        <v>2</v>
      </c>
      <c r="AR12" s="85">
        <f>COUNTIF('AUDIT HK'!$BI$55:$BI$61,"=1")</f>
        <v>1</v>
      </c>
      <c r="AS12" s="85">
        <f>COUNTIF('AUDIT HK'!$BO$55:$BO$61,"=1")</f>
        <v>0</v>
      </c>
      <c r="AT12" s="85">
        <f>COUNTIF('AUDIT HK'!$BU$55:$BU$61,"=1")</f>
        <v>0</v>
      </c>
      <c r="AU12" s="85">
        <f>COUNTIF('AUDIT HK'!$CA$55:$CA$61,"=1")</f>
        <v>0</v>
      </c>
      <c r="AV12" s="85">
        <f>COUNTIF('AUDIT HK'!$CG$55:$CG$61,"=1")</f>
        <v>0</v>
      </c>
      <c r="AW12" s="80" t="s">
        <v>19</v>
      </c>
      <c r="AX12" s="85">
        <f>COUNTIF('AUDIT HK'!$G$55:$G$61,"=0")</f>
        <v>0</v>
      </c>
      <c r="AY12" s="85">
        <f>COUNTIF('AUDIT HK'!$M$55:$M$61,"=0")</f>
        <v>0</v>
      </c>
      <c r="AZ12" s="85">
        <f>COUNTIF('AUDIT HK'!$S$55:$S$61,"=0")</f>
        <v>1</v>
      </c>
      <c r="BA12" s="85">
        <f>COUNTIF('AUDIT HK'!$Y$55:$Y$61,"=0")</f>
        <v>0</v>
      </c>
      <c r="BB12" s="85">
        <f>COUNTIF('AUDIT HK'!$AE$55:$AE$61,"=0")</f>
        <v>0</v>
      </c>
      <c r="BC12" s="85">
        <f>COUNTIF('AUDIT HK'!$AK$55:$AK$61,"=0")</f>
        <v>0</v>
      </c>
      <c r="BD12" s="85">
        <f>COUNTIF('AUDIT HK'!$AQ$55:$AQ$61,"=0")</f>
        <v>2</v>
      </c>
      <c r="BE12" s="85">
        <f>COUNTIF('AUDIT HK'!$AX$55:$AX$61,"=0")</f>
        <v>0</v>
      </c>
      <c r="BF12" s="85">
        <f>COUNTIF('AUDIT HK'!$BC$55:$BC$61,"=0")</f>
        <v>0</v>
      </c>
      <c r="BG12" s="85">
        <f>COUNTIF('AUDIT HK'!$BI$55:$BI$61,"=0")</f>
        <v>0</v>
      </c>
      <c r="BH12" s="85">
        <f>COUNTIF('AUDIT HK'!$BO$55:$BO$61,"=0")</f>
        <v>0</v>
      </c>
      <c r="BI12" s="85">
        <f>COUNTIF('AUDIT HK'!$BU$55:$BU$61,"=0")</f>
        <v>0</v>
      </c>
      <c r="BJ12" s="85">
        <f>COUNTIF('AUDIT HK'!$CA$55:$CA$61,"=0")</f>
        <v>0</v>
      </c>
      <c r="BK12" s="85">
        <f>COUNTIF('AUDIT HK'!$CG$55:$CG$61,"=0")</f>
        <v>0</v>
      </c>
    </row>
    <row r="13" spans="1:63" ht="15.75" customHeight="1" thickBot="1" x14ac:dyDescent="0.3">
      <c r="A13" t="s">
        <v>1193</v>
      </c>
      <c r="C13">
        <v>8</v>
      </c>
      <c r="D13" s="81" t="s">
        <v>20</v>
      </c>
      <c r="E13" s="85">
        <f>'AUDIT HK'!H62</f>
        <v>8</v>
      </c>
      <c r="F13" s="85">
        <f>'AUDIT HK'!N62</f>
        <v>8</v>
      </c>
      <c r="G13" s="85">
        <f>'AUDIT HK'!T62</f>
        <v>8</v>
      </c>
      <c r="H13" s="85">
        <f>'AUDIT HK'!Z62</f>
        <v>8</v>
      </c>
      <c r="I13" s="85">
        <f>'AUDIT HK'!AF62</f>
        <v>8</v>
      </c>
      <c r="J13" s="85">
        <f>'AUDIT HK'!AL62</f>
        <v>8</v>
      </c>
      <c r="K13" s="85">
        <f>'AUDIT HK'!AR62</f>
        <v>10</v>
      </c>
      <c r="L13" s="85">
        <f>'AUDIT HK'!AX62</f>
        <v>8</v>
      </c>
      <c r="M13" s="85">
        <f>'AUDIT HK'!BD62</f>
        <v>8</v>
      </c>
      <c r="N13" s="85">
        <f>'AUDIT HK'!BJ62</f>
        <v>8</v>
      </c>
      <c r="O13" s="85">
        <f>'AUDIT HK'!BP62</f>
        <v>8</v>
      </c>
      <c r="P13" s="85">
        <f>'AUDIT HK'!BV62</f>
        <v>8</v>
      </c>
      <c r="Q13" s="85">
        <f>'AUDIT HK'!CB62</f>
        <v>0</v>
      </c>
      <c r="R13" s="85">
        <f>'AUDIT HK'!CH62</f>
        <v>0</v>
      </c>
      <c r="S13" s="81" t="s">
        <v>20</v>
      </c>
      <c r="T13" s="98">
        <f t="shared" si="1"/>
        <v>3.0769230769230771E-2</v>
      </c>
      <c r="U13" s="98">
        <f t="shared" si="2"/>
        <v>3.0769230769230771E-2</v>
      </c>
      <c r="V13" s="98">
        <f t="shared" si="3"/>
        <v>3.0769230769230771E-2</v>
      </c>
      <c r="W13" s="98">
        <f t="shared" si="4"/>
        <v>3.0769230769230771E-2</v>
      </c>
      <c r="X13" s="98">
        <f t="shared" si="5"/>
        <v>3.0769230769230771E-2</v>
      </c>
      <c r="Y13" s="98">
        <f t="shared" si="6"/>
        <v>3.0769230769230771E-2</v>
      </c>
      <c r="Z13" s="98">
        <f t="shared" si="7"/>
        <v>3.8461538461538464E-2</v>
      </c>
      <c r="AA13" s="98">
        <f t="shared" si="8"/>
        <v>3.0769230769230771E-2</v>
      </c>
      <c r="AB13" s="98">
        <f t="shared" si="9"/>
        <v>3.0769230769230771E-2</v>
      </c>
      <c r="AC13" s="98">
        <f t="shared" si="10"/>
        <v>3.0769230769230771E-2</v>
      </c>
      <c r="AD13" s="98">
        <f t="shared" si="11"/>
        <v>3.0769230769230771E-2</v>
      </c>
      <c r="AE13" s="98">
        <f t="shared" si="12"/>
        <v>3.0769230769230771E-2</v>
      </c>
      <c r="AF13" s="98">
        <f t="shared" si="13"/>
        <v>0</v>
      </c>
      <c r="AG13" s="98">
        <f t="shared" si="14"/>
        <v>0</v>
      </c>
      <c r="AH13" s="81" t="s">
        <v>20</v>
      </c>
      <c r="AI13" s="85">
        <f>COUNTIF('AUDIT HK'!$G$62:$G$65,"=1")</f>
        <v>0</v>
      </c>
      <c r="AJ13" s="85">
        <f>COUNTIF('AUDIT HK'!$M$62:$M$65,"=1")</f>
        <v>0</v>
      </c>
      <c r="AK13" s="85">
        <f>COUNTIF('AUDIT HK'!$S$62:$S$65,"=1")</f>
        <v>0</v>
      </c>
      <c r="AL13" s="85">
        <f>COUNTIF('AUDIT HK'!$Y$62:$Y$65,"=1")</f>
        <v>0</v>
      </c>
      <c r="AM13" s="85">
        <f>COUNTIF('AUDIT HK'!$AE$62:$AE$65,"=1")</f>
        <v>0</v>
      </c>
      <c r="AN13" s="85">
        <f>COUNTIF('AUDIT HK'!$AK$62:$AK$65,"=1")</f>
        <v>0</v>
      </c>
      <c r="AO13" s="85">
        <f>COUNTIF('AUDIT HK'!$AQ$62:$AQ$65,"=1")</f>
        <v>0</v>
      </c>
      <c r="AP13" s="85">
        <f>COUNTIF('AUDIT HK'!$AX$62:$AX$65,"=1")</f>
        <v>0</v>
      </c>
      <c r="AQ13" s="85">
        <f>COUNTIF('AUDIT HK'!$BC$62:$BC$65,"=1")</f>
        <v>0</v>
      </c>
      <c r="AR13" s="85">
        <f>COUNTIF('AUDIT HK'!$BI$62:$BI$65,"=1")</f>
        <v>0</v>
      </c>
      <c r="AS13" s="85">
        <f>COUNTIF('AUDIT HK'!$BO$62:$BO$65,"=1")</f>
        <v>0</v>
      </c>
      <c r="AT13" s="85">
        <f>COUNTIF('AUDIT HK'!$BU$62:$BU$65,"=1")</f>
        <v>0</v>
      </c>
      <c r="AU13" s="85">
        <f>COUNTIF('AUDIT HK'!$CA$62:$CA$65,"=1")</f>
        <v>0</v>
      </c>
      <c r="AV13" s="85">
        <f>COUNTIF('AUDIT HK'!$CG$62:$CG$65,"=1")</f>
        <v>0</v>
      </c>
      <c r="AW13" s="81" t="s">
        <v>20</v>
      </c>
      <c r="AX13" s="85">
        <f>COUNTIF('AUDIT HK'!$G$62:$G$65,"=0")</f>
        <v>0</v>
      </c>
      <c r="AY13" s="85">
        <f>COUNTIF('AUDIT HK'!$M$62:$M$65,"=0")</f>
        <v>0</v>
      </c>
      <c r="AZ13" s="85">
        <f>COUNTIF('AUDIT HK'!$S$62:$S$65,"=0")</f>
        <v>0</v>
      </c>
      <c r="BA13" s="85">
        <f>COUNTIF('AUDIT HK'!$Y$62:$Y$65,"=0")</f>
        <v>0</v>
      </c>
      <c r="BB13" s="85">
        <f>COUNTIF('AUDIT HK'!$AE$62:$AE$65,"=0")</f>
        <v>0</v>
      </c>
      <c r="BC13" s="85">
        <f>COUNTIF('AUDIT HK'!$AK$62:$AK$65,"=0")</f>
        <v>0</v>
      </c>
      <c r="BD13" s="85">
        <f>COUNTIF('AUDIT HK'!$AQ$62:$AQ$65,"=0")</f>
        <v>0</v>
      </c>
      <c r="BE13" s="85">
        <f>COUNTIF('AUDIT HK'!$AX$62:$AX$65,"=0")</f>
        <v>0</v>
      </c>
      <c r="BF13" s="85">
        <f>COUNTIF('AUDIT HK'!$BC$62:$BC$65,"=0")</f>
        <v>0</v>
      </c>
      <c r="BG13" s="85">
        <f>COUNTIF('AUDIT HK'!$BI$62:$BI$65,"=0")</f>
        <v>0</v>
      </c>
      <c r="BH13" s="85">
        <f>COUNTIF('AUDIT HK'!$BO$62:$BO$65,"=0")</f>
        <v>0</v>
      </c>
      <c r="BI13" s="85">
        <f>COUNTIF('AUDIT HK'!$BU$62:$BU$65,"=0")</f>
        <v>0</v>
      </c>
      <c r="BJ13" s="85">
        <f>COUNTIF('AUDIT HK'!$CA$62:$CA$65,"=0")</f>
        <v>0</v>
      </c>
      <c r="BK13" s="85">
        <f>COUNTIF('AUDIT HK'!$CG$62:$CG$65,"=0")</f>
        <v>0</v>
      </c>
    </row>
    <row r="14" spans="1:63" ht="15.75" customHeight="1" thickBot="1" x14ac:dyDescent="0.3">
      <c r="A14" t="s">
        <v>147</v>
      </c>
      <c r="C14">
        <v>8</v>
      </c>
      <c r="D14" s="81" t="s">
        <v>1194</v>
      </c>
      <c r="E14" s="85">
        <f>'AUDIT HK'!H66</f>
        <v>8</v>
      </c>
      <c r="F14" s="85">
        <f>'AUDIT HK'!N66</f>
        <v>8</v>
      </c>
      <c r="G14" s="85">
        <f>'AUDIT HK'!T66</f>
        <v>8</v>
      </c>
      <c r="H14" s="85">
        <f>'AUDIT HK'!Z66</f>
        <v>8</v>
      </c>
      <c r="I14" s="85">
        <f>'AUDIT HK'!AF66</f>
        <v>8</v>
      </c>
      <c r="J14" s="85">
        <f>'AUDIT HK'!AL66</f>
        <v>8</v>
      </c>
      <c r="K14" s="85">
        <f>'AUDIT HK'!AR66</f>
        <v>8</v>
      </c>
      <c r="L14" s="85">
        <f>'AUDIT HK'!AX66</f>
        <v>8</v>
      </c>
      <c r="M14" s="85">
        <f>'AUDIT HK'!BD66</f>
        <v>8</v>
      </c>
      <c r="N14" s="85">
        <f>'AUDIT HK'!BJ66</f>
        <v>8</v>
      </c>
      <c r="O14" s="85">
        <f>'AUDIT HK'!BP66</f>
        <v>8</v>
      </c>
      <c r="P14" s="85">
        <f>'AUDIT HK'!BV66</f>
        <v>7</v>
      </c>
      <c r="Q14" s="85">
        <f>'AUDIT HK'!CB66</f>
        <v>0</v>
      </c>
      <c r="R14" s="85">
        <f>'AUDIT HK'!CH66</f>
        <v>0</v>
      </c>
      <c r="S14" s="81" t="s">
        <v>1194</v>
      </c>
      <c r="T14" s="98">
        <f t="shared" si="1"/>
        <v>3.0769230769230771E-2</v>
      </c>
      <c r="U14" s="98">
        <f t="shared" si="2"/>
        <v>3.0769230769230771E-2</v>
      </c>
      <c r="V14" s="98">
        <f t="shared" si="3"/>
        <v>3.0769230769230771E-2</v>
      </c>
      <c r="W14" s="98">
        <f t="shared" si="4"/>
        <v>3.0769230769230771E-2</v>
      </c>
      <c r="X14" s="98">
        <f t="shared" si="5"/>
        <v>3.0769230769230771E-2</v>
      </c>
      <c r="Y14" s="98">
        <f t="shared" si="6"/>
        <v>3.0769230769230771E-2</v>
      </c>
      <c r="Z14" s="98">
        <f t="shared" si="7"/>
        <v>3.0769230769230771E-2</v>
      </c>
      <c r="AA14" s="98">
        <f t="shared" si="8"/>
        <v>3.0769230769230771E-2</v>
      </c>
      <c r="AB14" s="98">
        <f t="shared" si="9"/>
        <v>3.0769230769230771E-2</v>
      </c>
      <c r="AC14" s="98">
        <f t="shared" si="10"/>
        <v>3.0769230769230771E-2</v>
      </c>
      <c r="AD14" s="98">
        <f t="shared" si="11"/>
        <v>3.0769230769230771E-2</v>
      </c>
      <c r="AE14" s="98">
        <f t="shared" si="12"/>
        <v>2.6923076923076925E-2</v>
      </c>
      <c r="AF14" s="98">
        <f t="shared" si="13"/>
        <v>0</v>
      </c>
      <c r="AG14" s="98">
        <f t="shared" si="14"/>
        <v>0</v>
      </c>
      <c r="AH14" s="81" t="s">
        <v>1194</v>
      </c>
      <c r="AI14" s="85">
        <f>COUNTIF('AUDIT HK'!$G$66:$G$69,"=1")</f>
        <v>0</v>
      </c>
      <c r="AJ14" s="85">
        <f>COUNTIF('AUDIT HK'!$M$66:$M$69,"=1")</f>
        <v>0</v>
      </c>
      <c r="AK14" s="85">
        <f>COUNTIF('AUDIT HK'!$S$66:$S$69,"=1")</f>
        <v>0</v>
      </c>
      <c r="AL14" s="85">
        <f>COUNTIF('AUDIT HK'!$Y$66:$Y$69,"=1")</f>
        <v>0</v>
      </c>
      <c r="AM14" s="85">
        <f>COUNTIF('AUDIT HK'!$AE$66:$AE$69,"=1")</f>
        <v>0</v>
      </c>
      <c r="AN14" s="85">
        <f>COUNTIF('AUDIT HK'!$AK$66:$AK$69,"=1")</f>
        <v>0</v>
      </c>
      <c r="AO14" s="85">
        <f>COUNTIF('AUDIT HK'!$AQ$66:$AQ$69,"=1")</f>
        <v>0</v>
      </c>
      <c r="AP14" s="85">
        <f>COUNTIF('AUDIT HK'!$AX$66:$AX$69,"=1")</f>
        <v>0</v>
      </c>
      <c r="AQ14" s="85">
        <f>COUNTIF('AUDIT HK'!$BC$66:$BC$69,"=1")</f>
        <v>0</v>
      </c>
      <c r="AR14" s="85">
        <f>COUNTIF('AUDIT HK'!$BI$66:$BI$69,"=1")</f>
        <v>0</v>
      </c>
      <c r="AS14" s="85">
        <f>COUNTIF('AUDIT HK'!$BO$66:$BO$69,"=1")</f>
        <v>0</v>
      </c>
      <c r="AT14" s="85">
        <f>COUNTIF('AUDIT HK'!$BU$66:$BU$69,"=1")</f>
        <v>0</v>
      </c>
      <c r="AU14" s="85">
        <f>COUNTIF('AUDIT HK'!$CA$66:$CA$69,"=1")</f>
        <v>0</v>
      </c>
      <c r="AV14" s="85">
        <f>COUNTIF('AUDIT HK'!$CG$66:$CG$69,"=1")</f>
        <v>0</v>
      </c>
      <c r="AW14" s="81" t="s">
        <v>1194</v>
      </c>
      <c r="AX14" s="85">
        <f>COUNTIF('AUDIT HK'!$G$66:$G$69,"=0")</f>
        <v>0</v>
      </c>
      <c r="AY14" s="85">
        <f>COUNTIF('AUDIT HK'!$M$66:$M$69,"=0")</f>
        <v>0</v>
      </c>
      <c r="AZ14" s="85">
        <f>COUNTIF('AUDIT HK'!$S$66:$S$69,"=0")</f>
        <v>0</v>
      </c>
      <c r="BA14" s="85">
        <f>COUNTIF('AUDIT HK'!$Y$66:$Y$69,"=0")</f>
        <v>0</v>
      </c>
      <c r="BB14" s="85">
        <f>COUNTIF('AUDIT HK'!$AE$66:$AE$69,"=0")</f>
        <v>0</v>
      </c>
      <c r="BC14" s="85">
        <f>COUNTIF('AUDIT HK'!$AK$66:$AK$69,"=0")</f>
        <v>0</v>
      </c>
      <c r="BD14" s="85">
        <f>COUNTIF('AUDIT HK'!$AQ$66:$AQ$69,"=0")</f>
        <v>0</v>
      </c>
      <c r="BE14" s="85">
        <f>COUNTIF('AUDIT HK'!$AX$66:$AX$69,"=0")</f>
        <v>0</v>
      </c>
      <c r="BF14" s="85">
        <f>COUNTIF('AUDIT HK'!$BC$66:$BC$69,"=0")</f>
        <v>0</v>
      </c>
      <c r="BG14" s="85">
        <f>COUNTIF('AUDIT HK'!$BI$66:$BI$69,"=0")</f>
        <v>0</v>
      </c>
      <c r="BH14" s="85">
        <f>COUNTIF('AUDIT HK'!$BO$66:$BO$69,"=0")</f>
        <v>0</v>
      </c>
      <c r="BI14" s="85">
        <f>COUNTIF('AUDIT HK'!$BU$66:$BU$69,"=0")</f>
        <v>0</v>
      </c>
      <c r="BJ14" s="85">
        <f>COUNTIF('AUDIT HK'!$CA$66:$CA$69,"=0")</f>
        <v>0</v>
      </c>
      <c r="BK14" s="85">
        <f>COUNTIF('AUDIT HK'!$CG$66:$CG$69,"=0")</f>
        <v>0</v>
      </c>
    </row>
    <row r="15" spans="1:63" ht="15.75" customHeight="1" thickBot="1" x14ac:dyDescent="0.3">
      <c r="A15" t="s">
        <v>148</v>
      </c>
      <c r="C15">
        <v>42</v>
      </c>
      <c r="D15" s="67" t="str">
        <f>'AUDIT HK'!$B$70</f>
        <v>C. Taller de Mantenimiento, Sla Compresores, Sla Calderas, Sla CIP y PTA</v>
      </c>
      <c r="E15" s="31">
        <f t="shared" ref="E15:R15" si="72">SUM(E16:E19)</f>
        <v>41</v>
      </c>
      <c r="F15" s="31">
        <f t="shared" si="72"/>
        <v>42</v>
      </c>
      <c r="G15" s="31">
        <f t="shared" si="72"/>
        <v>40</v>
      </c>
      <c r="H15" s="31">
        <f t="shared" si="72"/>
        <v>42</v>
      </c>
      <c r="I15" s="31">
        <f t="shared" si="72"/>
        <v>39</v>
      </c>
      <c r="J15" s="31">
        <f t="shared" si="72"/>
        <v>41</v>
      </c>
      <c r="K15" s="31">
        <f t="shared" si="72"/>
        <v>40</v>
      </c>
      <c r="L15" s="31">
        <f t="shared" si="72"/>
        <v>39</v>
      </c>
      <c r="M15" s="31">
        <f t="shared" si="72"/>
        <v>41</v>
      </c>
      <c r="N15" s="31">
        <f t="shared" si="72"/>
        <v>41</v>
      </c>
      <c r="O15" s="31">
        <f t="shared" si="72"/>
        <v>40</v>
      </c>
      <c r="P15" s="31">
        <f t="shared" si="72"/>
        <v>43</v>
      </c>
      <c r="Q15" s="31">
        <f t="shared" si="72"/>
        <v>0</v>
      </c>
      <c r="R15" s="31">
        <f t="shared" si="72"/>
        <v>0</v>
      </c>
      <c r="S15" s="67" t="str">
        <f>'AUDIT HK'!$B$70</f>
        <v>C. Taller de Mantenimiento, Sla Compresores, Sla Calderas, Sla CIP y PTA</v>
      </c>
      <c r="T15" s="91">
        <f t="shared" si="1"/>
        <v>0.15769230769230769</v>
      </c>
      <c r="U15" s="91">
        <f t="shared" si="2"/>
        <v>0.16153846153846155</v>
      </c>
      <c r="V15" s="91">
        <f t="shared" si="3"/>
        <v>0.15384615384615385</v>
      </c>
      <c r="W15" s="91">
        <f t="shared" si="4"/>
        <v>0.16153846153846155</v>
      </c>
      <c r="X15" s="91">
        <f t="shared" si="5"/>
        <v>0.15</v>
      </c>
      <c r="Y15" s="91">
        <f t="shared" si="6"/>
        <v>0.15769230769230769</v>
      </c>
      <c r="Z15" s="91">
        <f t="shared" si="7"/>
        <v>0.15384615384615385</v>
      </c>
      <c r="AA15" s="91">
        <f t="shared" si="8"/>
        <v>0.15</v>
      </c>
      <c r="AB15" s="91">
        <f t="shared" si="9"/>
        <v>0.15769230769230769</v>
      </c>
      <c r="AC15" s="91">
        <f t="shared" si="10"/>
        <v>0.15769230769230769</v>
      </c>
      <c r="AD15" s="91">
        <f t="shared" si="11"/>
        <v>0.15384615384615385</v>
      </c>
      <c r="AE15" s="91">
        <f t="shared" si="12"/>
        <v>0.16538461538461538</v>
      </c>
      <c r="AF15" s="91">
        <f t="shared" si="13"/>
        <v>0</v>
      </c>
      <c r="AG15" s="91">
        <f t="shared" si="14"/>
        <v>0</v>
      </c>
      <c r="AH15" s="67" t="str">
        <f>'AUDIT HK'!$B$70</f>
        <v>C. Taller de Mantenimiento, Sla Compresores, Sla Calderas, Sla CIP y PTA</v>
      </c>
      <c r="AI15" s="31">
        <f t="shared" ref="AI15" si="73">SUM(AI16:AI19)</f>
        <v>1</v>
      </c>
      <c r="AJ15" s="31">
        <f t="shared" ref="AJ15" si="74">SUM(AJ16:AJ19)</f>
        <v>0</v>
      </c>
      <c r="AK15" s="31">
        <f t="shared" ref="AK15" si="75">SUM(AK16:AK19)</f>
        <v>2</v>
      </c>
      <c r="AL15" s="31">
        <f t="shared" ref="AL15" si="76">SUM(AL16:AL19)</f>
        <v>0</v>
      </c>
      <c r="AM15" s="31">
        <f t="shared" ref="AM15" si="77">SUM(AM16:AM19)</f>
        <v>3</v>
      </c>
      <c r="AN15" s="31">
        <f t="shared" ref="AN15" si="78">SUM(AN16:AN19)</f>
        <v>1</v>
      </c>
      <c r="AO15" s="31">
        <f t="shared" ref="AO15" si="79">SUM(AO16:AO19)</f>
        <v>0</v>
      </c>
      <c r="AP15" s="31">
        <f t="shared" ref="AP15" si="80">SUM(AP16:AP19)</f>
        <v>0</v>
      </c>
      <c r="AQ15" s="31">
        <f t="shared" ref="AQ15" si="81">SUM(AQ16:AQ19)</f>
        <v>1</v>
      </c>
      <c r="AR15" s="31">
        <f t="shared" ref="AR15" si="82">SUM(AR16:AR19)</f>
        <v>1</v>
      </c>
      <c r="AS15" s="31">
        <f t="shared" ref="AS15" si="83">SUM(AS16:AS19)</f>
        <v>0</v>
      </c>
      <c r="AT15" s="31">
        <f t="shared" ref="AT15" si="84">SUM(AT16:AT19)</f>
        <v>0</v>
      </c>
      <c r="AU15" s="31">
        <f t="shared" ref="AU15" si="85">SUM(AU16:AU19)</f>
        <v>0</v>
      </c>
      <c r="AV15" s="31">
        <f t="shared" ref="AV15" si="86">SUM(AV16:AV19)</f>
        <v>0</v>
      </c>
      <c r="AW15" s="67" t="str">
        <f>'AUDIT HK'!$B$70</f>
        <v>C. Taller de Mantenimiento, Sla Compresores, Sla Calderas, Sla CIP y PTA</v>
      </c>
      <c r="AX15" s="31">
        <f t="shared" ref="AX15" si="87">SUM(AX16:AX19)</f>
        <v>0</v>
      </c>
      <c r="AY15" s="31">
        <f t="shared" ref="AY15" si="88">SUM(AY16:AY19)</f>
        <v>0</v>
      </c>
      <c r="AZ15" s="31">
        <f t="shared" ref="AZ15" si="89">SUM(AZ16:AZ19)</f>
        <v>0</v>
      </c>
      <c r="BA15" s="31">
        <f t="shared" ref="BA15" si="90">SUM(BA16:BA19)</f>
        <v>0</v>
      </c>
      <c r="BB15" s="31">
        <f t="shared" ref="BB15" si="91">SUM(BB16:BB19)</f>
        <v>0</v>
      </c>
      <c r="BC15" s="31">
        <f t="shared" ref="BC15" si="92">SUM(BC16:BC19)</f>
        <v>0</v>
      </c>
      <c r="BD15" s="31">
        <f t="shared" ref="BD15" si="93">SUM(BD16:BD19)</f>
        <v>1</v>
      </c>
      <c r="BE15" s="31">
        <f t="shared" ref="BE15" si="94">SUM(BE16:BE19)</f>
        <v>0</v>
      </c>
      <c r="BF15" s="31">
        <f t="shared" ref="BF15" si="95">SUM(BF16:BF19)</f>
        <v>0</v>
      </c>
      <c r="BG15" s="31">
        <f t="shared" ref="BG15" si="96">SUM(BG16:BG19)</f>
        <v>0</v>
      </c>
      <c r="BH15" s="31">
        <f t="shared" ref="BH15" si="97">SUM(BH16:BH19)</f>
        <v>0</v>
      </c>
      <c r="BI15" s="31">
        <f t="shared" ref="BI15" si="98">SUM(BI16:BI19)</f>
        <v>0</v>
      </c>
      <c r="BJ15" s="31">
        <f t="shared" ref="BJ15" si="99">SUM(BJ16:BJ19)</f>
        <v>0</v>
      </c>
      <c r="BK15" s="31">
        <f t="shared" ref="BK15" si="100">SUM(BK16:BK19)</f>
        <v>0</v>
      </c>
    </row>
    <row r="16" spans="1:63" x14ac:dyDescent="0.25">
      <c r="A16" t="s">
        <v>1195</v>
      </c>
      <c r="B16" t="s">
        <v>1196</v>
      </c>
      <c r="C16">
        <v>8</v>
      </c>
      <c r="D16" s="79" t="s">
        <v>16</v>
      </c>
      <c r="E16" s="85">
        <f>'AUDIT HK'!H71</f>
        <v>8</v>
      </c>
      <c r="F16" s="85">
        <f>'AUDIT HK'!N71</f>
        <v>8</v>
      </c>
      <c r="G16" s="85">
        <f>'AUDIT HK'!T71</f>
        <v>7</v>
      </c>
      <c r="H16" s="85">
        <f>'AUDIT HK'!Z71</f>
        <v>8</v>
      </c>
      <c r="I16" s="85">
        <f>'AUDIT HK'!AF71</f>
        <v>8</v>
      </c>
      <c r="J16" s="85">
        <f>'AUDIT HK'!AL71</f>
        <v>8</v>
      </c>
      <c r="K16" s="85">
        <f>'AUDIT HK'!AR71</f>
        <v>8</v>
      </c>
      <c r="L16" s="85">
        <f>'AUDIT HK'!AX71</f>
        <v>7</v>
      </c>
      <c r="M16" s="85">
        <f>'AUDIT HK'!BD71</f>
        <v>8</v>
      </c>
      <c r="N16" s="85">
        <f>'AUDIT HK'!BJ71</f>
        <v>8</v>
      </c>
      <c r="O16" s="85">
        <f>'AUDIT HK'!BP71</f>
        <v>8</v>
      </c>
      <c r="P16" s="85">
        <f>'AUDIT HK'!BV71</f>
        <v>8</v>
      </c>
      <c r="Q16" s="85">
        <f>'AUDIT HK'!CB71</f>
        <v>0</v>
      </c>
      <c r="R16" s="85">
        <f>'AUDIT HK'!CH71</f>
        <v>0</v>
      </c>
      <c r="S16" s="79" t="s">
        <v>16</v>
      </c>
      <c r="T16" s="92">
        <f t="shared" si="1"/>
        <v>3.0769230769230771E-2</v>
      </c>
      <c r="U16" s="92">
        <f t="shared" si="2"/>
        <v>3.0769230769230771E-2</v>
      </c>
      <c r="V16" s="92">
        <f t="shared" si="3"/>
        <v>2.6923076923076925E-2</v>
      </c>
      <c r="W16" s="92">
        <f t="shared" si="4"/>
        <v>3.0769230769230771E-2</v>
      </c>
      <c r="X16" s="92">
        <f t="shared" si="5"/>
        <v>3.0769230769230771E-2</v>
      </c>
      <c r="Y16" s="92">
        <f t="shared" si="6"/>
        <v>3.0769230769230771E-2</v>
      </c>
      <c r="Z16" s="92">
        <f t="shared" si="7"/>
        <v>3.0769230769230771E-2</v>
      </c>
      <c r="AA16" s="92">
        <f t="shared" si="8"/>
        <v>2.6923076923076925E-2</v>
      </c>
      <c r="AB16" s="92">
        <f t="shared" si="9"/>
        <v>3.0769230769230771E-2</v>
      </c>
      <c r="AC16" s="92">
        <f t="shared" si="10"/>
        <v>3.0769230769230771E-2</v>
      </c>
      <c r="AD16" s="92">
        <f t="shared" si="11"/>
        <v>3.0769230769230771E-2</v>
      </c>
      <c r="AE16" s="92">
        <f t="shared" si="12"/>
        <v>3.0769230769230771E-2</v>
      </c>
      <c r="AF16" s="92">
        <f t="shared" si="13"/>
        <v>0</v>
      </c>
      <c r="AG16" s="92">
        <f t="shared" si="14"/>
        <v>0</v>
      </c>
      <c r="AH16" s="79" t="s">
        <v>16</v>
      </c>
      <c r="AI16" s="84">
        <f>COUNTIF('AUDIT HK'!$G$71:$G$74,"=1")</f>
        <v>0</v>
      </c>
      <c r="AJ16" s="84">
        <f>COUNTIF('AUDIT HK'!$M$71:$M$74,"=1")</f>
        <v>0</v>
      </c>
      <c r="AK16" s="84">
        <f>COUNTIF('AUDIT HK'!$S$71:$S$74,"=1")</f>
        <v>1</v>
      </c>
      <c r="AL16" s="84">
        <f>COUNTIF('AUDIT HK'!$Y$71:$Y$74,"=1")</f>
        <v>0</v>
      </c>
      <c r="AM16" s="84">
        <f>COUNTIF('AUDIT HK'!$AE$71:$AE$74,"=1")</f>
        <v>0</v>
      </c>
      <c r="AN16" s="84">
        <f>COUNTIF('AUDIT HK'!$AK$71:$AK$74,"=1")</f>
        <v>0</v>
      </c>
      <c r="AO16" s="84">
        <f>COUNTIF('AUDIT HK'!$AQ$71:$AQ$74,"=1")</f>
        <v>0</v>
      </c>
      <c r="AP16" s="84">
        <f>COUNTIF('AUDIT HK'!$AX$71:$AX$74,"=1")</f>
        <v>0</v>
      </c>
      <c r="AQ16" s="84">
        <f>COUNTIF('AUDIT HK'!$BC$71:$BC$74,"=1")</f>
        <v>0</v>
      </c>
      <c r="AR16" s="84">
        <f>COUNTIF('AUDIT HK'!$BI$71:$BI$74,"=1")</f>
        <v>0</v>
      </c>
      <c r="AS16" s="84">
        <f>COUNTIF('AUDIT HK'!$BO$71:$BO$74,"=1")</f>
        <v>0</v>
      </c>
      <c r="AT16" s="84">
        <f>COUNTIF('AUDIT HK'!$BU$71:$BU$74,"=1")</f>
        <v>0</v>
      </c>
      <c r="AU16" s="84">
        <f>COUNTIF('AUDIT HK'!$CA$71:$CA$74,"=1")</f>
        <v>0</v>
      </c>
      <c r="AV16" s="84">
        <f>COUNTIF('AUDIT HK'!$CG$71:$CG$74,"=1")</f>
        <v>0</v>
      </c>
      <c r="AW16" s="79" t="s">
        <v>16</v>
      </c>
      <c r="AX16" s="84">
        <f>COUNTIF('AUDIT HK'!$G$71:$G$74,"=0")</f>
        <v>0</v>
      </c>
      <c r="AY16" s="84">
        <f>COUNTIF('AUDIT HK'!$M$71:$M$74,"=0")</f>
        <v>0</v>
      </c>
      <c r="AZ16" s="84">
        <f>COUNTIF('AUDIT HK'!$S$71:$S$74,"=0")</f>
        <v>0</v>
      </c>
      <c r="BA16" s="84">
        <f>COUNTIF('AUDIT HK'!$Y$71:$Y$74,"=0")</f>
        <v>0</v>
      </c>
      <c r="BB16" s="84">
        <f>COUNTIF('AUDIT HK'!$AE$71:$AE$74,"=0")</f>
        <v>0</v>
      </c>
      <c r="BC16" s="84">
        <f>COUNTIF('AUDIT HK'!$AK$71:$AK$74,"=0")</f>
        <v>0</v>
      </c>
      <c r="BD16" s="84">
        <f>COUNTIF('AUDIT HK'!$AQ$71:$AQ$74,"=0")</f>
        <v>0</v>
      </c>
      <c r="BE16" s="84">
        <v>0</v>
      </c>
      <c r="BF16" s="84">
        <f>COUNTIF('AUDIT HK'!$BC$71:$BC$74,"=0")</f>
        <v>0</v>
      </c>
      <c r="BG16" s="84">
        <f>COUNTIF('AUDIT HK'!$BI$71:$BI$74,"=0")</f>
        <v>0</v>
      </c>
      <c r="BH16" s="84">
        <f>COUNTIF('AUDIT HK'!$BO$71:$BO$74,"=0")</f>
        <v>0</v>
      </c>
      <c r="BI16" s="84">
        <f>COUNTIF('AUDIT HK'!$BU$71:$BU$74,"=0")</f>
        <v>0</v>
      </c>
      <c r="BJ16" s="84">
        <f>COUNTIF('AUDIT HK'!$CA$71:$CA$74,"=0")</f>
        <v>0</v>
      </c>
      <c r="BK16" s="84">
        <f>COUNTIF('AUDIT HK'!$CG$71:$CG$74,"=0")</f>
        <v>0</v>
      </c>
    </row>
    <row r="17" spans="1:63" x14ac:dyDescent="0.25">
      <c r="A17">
        <v>0</v>
      </c>
      <c r="B17" s="116">
        <v>0.95</v>
      </c>
      <c r="C17">
        <v>10</v>
      </c>
      <c r="D17" s="80" t="s">
        <v>18</v>
      </c>
      <c r="E17" s="85">
        <f>'AUDIT HK'!H75</f>
        <v>9</v>
      </c>
      <c r="F17" s="85">
        <f>'AUDIT HK'!N75</f>
        <v>10</v>
      </c>
      <c r="G17" s="85">
        <f>'AUDIT HK'!T75</f>
        <v>10</v>
      </c>
      <c r="H17" s="85">
        <f>'AUDIT HK'!Z75</f>
        <v>10</v>
      </c>
      <c r="I17" s="85">
        <f>'AUDIT HK'!AF75</f>
        <v>9</v>
      </c>
      <c r="J17" s="85">
        <f>'AUDIT HK'!AL75</f>
        <v>9</v>
      </c>
      <c r="K17" s="85">
        <f>'AUDIT HK'!AR75</f>
        <v>8</v>
      </c>
      <c r="L17" s="85">
        <f>'AUDIT HK'!AX75</f>
        <v>8</v>
      </c>
      <c r="M17" s="85">
        <f>'AUDIT HK'!BD75</f>
        <v>9</v>
      </c>
      <c r="N17" s="85">
        <f>'AUDIT HK'!BJ75</f>
        <v>10</v>
      </c>
      <c r="O17" s="85">
        <f>'AUDIT HK'!BP75</f>
        <v>8</v>
      </c>
      <c r="P17" s="85">
        <f>'AUDIT HK'!BV75</f>
        <v>12</v>
      </c>
      <c r="Q17" s="85">
        <f>'AUDIT HK'!CB75</f>
        <v>0</v>
      </c>
      <c r="R17" s="85">
        <f>'AUDIT HK'!CH75</f>
        <v>0</v>
      </c>
      <c r="S17" s="80" t="s">
        <v>18</v>
      </c>
      <c r="T17" s="97">
        <f t="shared" si="1"/>
        <v>3.4615384615384617E-2</v>
      </c>
      <c r="U17" s="97">
        <f t="shared" si="2"/>
        <v>3.8461538461538464E-2</v>
      </c>
      <c r="V17" s="97">
        <f t="shared" si="3"/>
        <v>3.8461538461538464E-2</v>
      </c>
      <c r="W17" s="97">
        <f t="shared" si="4"/>
        <v>3.8461538461538464E-2</v>
      </c>
      <c r="X17" s="97">
        <f t="shared" si="5"/>
        <v>3.4615384615384617E-2</v>
      </c>
      <c r="Y17" s="97">
        <f t="shared" si="6"/>
        <v>3.4615384615384617E-2</v>
      </c>
      <c r="Z17" s="97">
        <f t="shared" si="7"/>
        <v>3.0769230769230771E-2</v>
      </c>
      <c r="AA17" s="97">
        <f t="shared" si="8"/>
        <v>3.0769230769230771E-2</v>
      </c>
      <c r="AB17" s="97">
        <f t="shared" si="9"/>
        <v>3.4615384615384617E-2</v>
      </c>
      <c r="AC17" s="97">
        <f t="shared" si="10"/>
        <v>3.8461538461538464E-2</v>
      </c>
      <c r="AD17" s="97">
        <f t="shared" si="11"/>
        <v>3.0769230769230771E-2</v>
      </c>
      <c r="AE17" s="97">
        <f t="shared" si="12"/>
        <v>4.6153846153846156E-2</v>
      </c>
      <c r="AF17" s="97">
        <f t="shared" si="13"/>
        <v>0</v>
      </c>
      <c r="AG17" s="97">
        <f t="shared" si="14"/>
        <v>0</v>
      </c>
      <c r="AH17" s="80" t="s">
        <v>18</v>
      </c>
      <c r="AI17" s="85">
        <f>COUNTIF('AUDIT HK'!$G$75:$G$79,"=1")</f>
        <v>1</v>
      </c>
      <c r="AJ17" s="85">
        <f>COUNTIF('AUDIT HK'!$M$75:$M$79,"=1")</f>
        <v>0</v>
      </c>
      <c r="AK17" s="85">
        <f>COUNTIF('AUDIT HK'!$S$75:$S$79,"=1")</f>
        <v>0</v>
      </c>
      <c r="AL17" s="85">
        <f>COUNTIF('AUDIT HK'!$Y$75:$Y$79,"=1")</f>
        <v>0</v>
      </c>
      <c r="AM17" s="85">
        <f>COUNTIF('AUDIT HK'!$AE$75:$AE$79,"=1")</f>
        <v>1</v>
      </c>
      <c r="AN17" s="85">
        <f>COUNTIF('AUDIT HK'!$AK$75:$AK$79,"=1")</f>
        <v>1</v>
      </c>
      <c r="AO17" s="85">
        <f>COUNTIF('AUDIT HK'!$AQ$75:$AQ$79,"=1")</f>
        <v>0</v>
      </c>
      <c r="AP17" s="85">
        <f>COUNTIF('AUDIT HK'!$AX$75:$AX$79,"=1")</f>
        <v>0</v>
      </c>
      <c r="AQ17" s="85">
        <f>COUNTIF('AUDIT HK'!$BC$75:$BC$79,"=1")</f>
        <v>1</v>
      </c>
      <c r="AR17" s="85">
        <f>COUNTIF('AUDIT HK'!$BI$75:$BI$79,"=1")</f>
        <v>0</v>
      </c>
      <c r="AS17" s="85">
        <f>COUNTIF('AUDIT HK'!$BO$75:$BO$79,"=1")</f>
        <v>0</v>
      </c>
      <c r="AT17" s="85">
        <f>COUNTIF('AUDIT HK'!$BU$75:$BU$79,"=1")</f>
        <v>0</v>
      </c>
      <c r="AU17" s="85">
        <f>COUNTIF('AUDIT HK'!$CA$75:$CA$79,"=1")</f>
        <v>0</v>
      </c>
      <c r="AV17" s="85">
        <f>COUNTIF('AUDIT HK'!$CG$75:$CG$79,"=1")</f>
        <v>0</v>
      </c>
      <c r="AW17" s="80" t="s">
        <v>18</v>
      </c>
      <c r="AX17" s="85">
        <f>COUNTIF('AUDIT HK'!$G$75:$G$79,"=0")</f>
        <v>0</v>
      </c>
      <c r="AY17" s="85">
        <f>COUNTIF('AUDIT HK'!$M$75:$M$79,"=0")</f>
        <v>0</v>
      </c>
      <c r="AZ17" s="85">
        <f>COUNTIF('AUDIT HK'!$S$75:$S$79,"=0")</f>
        <v>0</v>
      </c>
      <c r="BA17" s="85">
        <f>COUNTIF('AUDIT HK'!$Y$75:$Y$79,"=0")</f>
        <v>0</v>
      </c>
      <c r="BB17" s="85">
        <f>COUNTIF('AUDIT HK'!$AE$75:$AE$79,"=0")</f>
        <v>0</v>
      </c>
      <c r="BC17" s="85">
        <f>COUNTIF('AUDIT HK'!$AK$75:$AK$79,"=0")</f>
        <v>0</v>
      </c>
      <c r="BD17" s="85">
        <f>COUNTIF('AUDIT HK'!$AQ$75:$AQ$79,"=0")</f>
        <v>1</v>
      </c>
      <c r="BE17" s="85">
        <v>0</v>
      </c>
      <c r="BF17" s="85">
        <f>COUNTIF('AUDIT HK'!$BC$75:$BC$79,"=0")</f>
        <v>0</v>
      </c>
      <c r="BG17" s="85">
        <f>COUNTIF('AUDIT HK'!$BI$75:$BI$79,"=0")</f>
        <v>0</v>
      </c>
      <c r="BH17" s="85">
        <f>COUNTIF('AUDIT HK'!$BO$75:$BO$79,"=0")</f>
        <v>0</v>
      </c>
      <c r="BI17" s="85">
        <f>COUNTIF('AUDIT HK'!$BU$75:$BU$79,"=0")</f>
        <v>0</v>
      </c>
      <c r="BJ17" s="85">
        <f>COUNTIF('AUDIT HK'!$CA$75:$CA$79,"=0")</f>
        <v>0</v>
      </c>
      <c r="BK17" s="85">
        <f>COUNTIF('AUDIT HK'!$CG$75:$CG$79,"=0")</f>
        <v>0</v>
      </c>
    </row>
    <row r="18" spans="1:63" ht="15.75" customHeight="1" x14ac:dyDescent="0.25">
      <c r="A18">
        <v>12</v>
      </c>
      <c r="B18" s="116">
        <v>0.95</v>
      </c>
      <c r="C18">
        <v>14</v>
      </c>
      <c r="D18" s="80" t="s">
        <v>19</v>
      </c>
      <c r="E18" s="85">
        <f>'AUDIT HK'!H80</f>
        <v>14</v>
      </c>
      <c r="F18" s="85">
        <f>'AUDIT HK'!N80</f>
        <v>14</v>
      </c>
      <c r="G18" s="85">
        <f>'AUDIT HK'!T80</f>
        <v>13</v>
      </c>
      <c r="H18" s="85">
        <f>'AUDIT HK'!Z80</f>
        <v>14</v>
      </c>
      <c r="I18" s="85">
        <f>'AUDIT HK'!AF80</f>
        <v>13</v>
      </c>
      <c r="J18" s="85">
        <f>'AUDIT HK'!AL80</f>
        <v>14</v>
      </c>
      <c r="K18" s="85">
        <f>'AUDIT HK'!AR80</f>
        <v>14</v>
      </c>
      <c r="L18" s="85">
        <f>'AUDIT HK'!AX80</f>
        <v>14</v>
      </c>
      <c r="M18" s="85">
        <f>'AUDIT HK'!BD80</f>
        <v>14</v>
      </c>
      <c r="N18" s="85">
        <f>'AUDIT HK'!BJ80</f>
        <v>13</v>
      </c>
      <c r="O18" s="85">
        <f>'AUDIT HK'!BP80</f>
        <v>14</v>
      </c>
      <c r="P18" s="85">
        <f>'AUDIT HK'!BV80</f>
        <v>13</v>
      </c>
      <c r="Q18" s="85">
        <f>'AUDIT HK'!CB80</f>
        <v>0</v>
      </c>
      <c r="R18" s="85">
        <f>'AUDIT HK'!CH80</f>
        <v>0</v>
      </c>
      <c r="S18" s="80" t="s">
        <v>19</v>
      </c>
      <c r="T18" s="97">
        <f t="shared" si="1"/>
        <v>5.3846153846153849E-2</v>
      </c>
      <c r="U18" s="97">
        <f t="shared" si="2"/>
        <v>5.3846153846153849E-2</v>
      </c>
      <c r="V18" s="97">
        <f t="shared" si="3"/>
        <v>0.05</v>
      </c>
      <c r="W18" s="97">
        <f t="shared" si="4"/>
        <v>5.3846153846153849E-2</v>
      </c>
      <c r="X18" s="97">
        <f t="shared" si="5"/>
        <v>0.05</v>
      </c>
      <c r="Y18" s="97">
        <f t="shared" si="6"/>
        <v>5.3846153846153849E-2</v>
      </c>
      <c r="Z18" s="97">
        <f t="shared" si="7"/>
        <v>5.3846153846153849E-2</v>
      </c>
      <c r="AA18" s="97">
        <f t="shared" si="8"/>
        <v>5.3846153846153849E-2</v>
      </c>
      <c r="AB18" s="97">
        <f t="shared" si="9"/>
        <v>5.3846153846153849E-2</v>
      </c>
      <c r="AC18" s="97">
        <f t="shared" si="10"/>
        <v>0.05</v>
      </c>
      <c r="AD18" s="97">
        <f t="shared" si="11"/>
        <v>5.3846153846153849E-2</v>
      </c>
      <c r="AE18" s="97">
        <f t="shared" si="12"/>
        <v>0.05</v>
      </c>
      <c r="AF18" s="97">
        <f t="shared" si="13"/>
        <v>0</v>
      </c>
      <c r="AG18" s="97">
        <f t="shared" si="14"/>
        <v>0</v>
      </c>
      <c r="AH18" s="80" t="s">
        <v>19</v>
      </c>
      <c r="AI18" s="85">
        <f>COUNTIF('AUDIT HK'!$G$80:$G$86,"=1")</f>
        <v>0</v>
      </c>
      <c r="AJ18" s="85">
        <f>COUNTIF('AUDIT HK'!$M$80:$M$86,"=1")</f>
        <v>0</v>
      </c>
      <c r="AK18" s="85">
        <f>COUNTIF('AUDIT HK'!$S$80:$S$86,"=1")</f>
        <v>1</v>
      </c>
      <c r="AL18" s="85">
        <f>COUNTIF('AUDIT HK'!$Y$80:$Y$86,"=1")</f>
        <v>0</v>
      </c>
      <c r="AM18" s="85">
        <f>COUNTIF('AUDIT HK'!$AE$80:$AE$86,"=1")</f>
        <v>1</v>
      </c>
      <c r="AN18" s="85">
        <f>COUNTIF('AUDIT HK'!$AK$80:$AK$86,"=1")</f>
        <v>0</v>
      </c>
      <c r="AO18" s="85">
        <f>COUNTIF('AUDIT HK'!$AQ$80:$AQ$86,"=1")</f>
        <v>0</v>
      </c>
      <c r="AP18" s="85">
        <f>COUNTIF('AUDIT HK'!$AX$80:$AX$86,"=1")</f>
        <v>0</v>
      </c>
      <c r="AQ18" s="85">
        <f>COUNTIF('AUDIT HK'!$BC$80:$BC$86,"=1")</f>
        <v>0</v>
      </c>
      <c r="AR18" s="85">
        <f>COUNTIF('AUDIT HK'!$BI$80:$BI$86,"=1")</f>
        <v>1</v>
      </c>
      <c r="AS18" s="85">
        <f>COUNTIF('AUDIT HK'!$BO$80:$BO$86,"=1")</f>
        <v>0</v>
      </c>
      <c r="AT18" s="85">
        <f>COUNTIF('AUDIT HK'!$BU$80:$BU$86,"=1")</f>
        <v>0</v>
      </c>
      <c r="AU18" s="85">
        <f>COUNTIF('AUDIT HK'!$CA$80:$CA$86,"=1")</f>
        <v>0</v>
      </c>
      <c r="AV18" s="85">
        <f>COUNTIF('AUDIT HK'!$CG$80:$CG$86,"=1")</f>
        <v>0</v>
      </c>
      <c r="AW18" s="80" t="s">
        <v>19</v>
      </c>
      <c r="AX18" s="85">
        <f>COUNTIF('AUDIT HK'!$G$80:$G$86,"=0")</f>
        <v>0</v>
      </c>
      <c r="AY18" s="85">
        <f>COUNTIF('AUDIT HK'!$M$80:$M$86,"=0")</f>
        <v>0</v>
      </c>
      <c r="AZ18" s="85">
        <f>COUNTIF('AUDIT HK'!$S$80:$S$86,"=0")</f>
        <v>0</v>
      </c>
      <c r="BA18" s="85">
        <f>COUNTIF('AUDIT HK'!$Y$80:$Y$86,"=0")</f>
        <v>0</v>
      </c>
      <c r="BB18" s="85">
        <f>COUNTIF('AUDIT HK'!$AE$80:$AE$86,"=0")</f>
        <v>0</v>
      </c>
      <c r="BC18" s="85">
        <f>COUNTIF('AUDIT HK'!$AK$80:$AK$86,"=0")</f>
        <v>0</v>
      </c>
      <c r="BD18" s="85">
        <f>COUNTIF('AUDIT HK'!$AQ$80:$AQ$86,"=0")</f>
        <v>0</v>
      </c>
      <c r="BE18" s="85">
        <v>0</v>
      </c>
      <c r="BF18" s="85">
        <f>COUNTIF('AUDIT HK'!$BC$80:$BC$86,"=0")</f>
        <v>0</v>
      </c>
      <c r="BG18" s="85">
        <f>COUNTIF('AUDIT HK'!$BI$80:$BI$86,"=0")</f>
        <v>0</v>
      </c>
      <c r="BH18" s="85">
        <f>COUNTIF('AUDIT HK'!$BO$80:$BO$86,"=0")</f>
        <v>0</v>
      </c>
      <c r="BI18" s="85">
        <f>COUNTIF('AUDIT HK'!$BU$80:$BU$86,"=0")</f>
        <v>0</v>
      </c>
      <c r="BJ18" s="85">
        <f>COUNTIF('AUDIT HK'!$CA$80:$CA$86,"=0")</f>
        <v>0</v>
      </c>
      <c r="BK18" s="85">
        <f>COUNTIF('AUDIT HK'!$CG$80:$CG$86,"=0")</f>
        <v>0</v>
      </c>
    </row>
    <row r="19" spans="1:63" ht="15.75" thickBot="1" x14ac:dyDescent="0.3">
      <c r="C19">
        <v>10</v>
      </c>
      <c r="D19" s="81" t="s">
        <v>20</v>
      </c>
      <c r="E19" s="85">
        <f>'AUDIT HK'!H87</f>
        <v>10</v>
      </c>
      <c r="F19" s="85">
        <f>'AUDIT HK'!N87</f>
        <v>10</v>
      </c>
      <c r="G19" s="85">
        <f>'AUDIT HK'!T87</f>
        <v>10</v>
      </c>
      <c r="H19" s="85">
        <f>'AUDIT HK'!Z87</f>
        <v>10</v>
      </c>
      <c r="I19" s="85">
        <f>'AUDIT HK'!AF87</f>
        <v>9</v>
      </c>
      <c r="J19" s="85">
        <f>'AUDIT HK'!AL87</f>
        <v>10</v>
      </c>
      <c r="K19" s="85">
        <f>'AUDIT HK'!AR87</f>
        <v>10</v>
      </c>
      <c r="L19" s="85">
        <f>'AUDIT HK'!AX87</f>
        <v>10</v>
      </c>
      <c r="M19" s="85">
        <f>'AUDIT HK'!BD87</f>
        <v>10</v>
      </c>
      <c r="N19" s="85">
        <f>'AUDIT HK'!BJ87</f>
        <v>10</v>
      </c>
      <c r="O19" s="85">
        <f>'AUDIT HK'!BP87</f>
        <v>10</v>
      </c>
      <c r="P19" s="85">
        <f>'AUDIT HK'!BV87</f>
        <v>10</v>
      </c>
      <c r="Q19" s="85">
        <f>'AUDIT HK'!CB87</f>
        <v>0</v>
      </c>
      <c r="R19" s="85">
        <f>'AUDIT HK'!CH87</f>
        <v>0</v>
      </c>
      <c r="S19" s="81" t="s">
        <v>20</v>
      </c>
      <c r="T19" s="98">
        <f t="shared" si="1"/>
        <v>3.8461538461538464E-2</v>
      </c>
      <c r="U19" s="98">
        <f t="shared" si="2"/>
        <v>3.8461538461538464E-2</v>
      </c>
      <c r="V19" s="98">
        <f t="shared" si="3"/>
        <v>3.8461538461538464E-2</v>
      </c>
      <c r="W19" s="98">
        <f t="shared" si="4"/>
        <v>3.8461538461538464E-2</v>
      </c>
      <c r="X19" s="98">
        <f t="shared" si="5"/>
        <v>3.4615384615384617E-2</v>
      </c>
      <c r="Y19" s="98">
        <f t="shared" si="6"/>
        <v>3.8461538461538464E-2</v>
      </c>
      <c r="Z19" s="98">
        <f t="shared" si="7"/>
        <v>3.8461538461538464E-2</v>
      </c>
      <c r="AA19" s="98">
        <f t="shared" si="8"/>
        <v>3.8461538461538464E-2</v>
      </c>
      <c r="AB19" s="98">
        <f t="shared" si="9"/>
        <v>3.8461538461538464E-2</v>
      </c>
      <c r="AC19" s="98">
        <f t="shared" si="10"/>
        <v>3.8461538461538464E-2</v>
      </c>
      <c r="AD19" s="98">
        <f t="shared" si="11"/>
        <v>3.8461538461538464E-2</v>
      </c>
      <c r="AE19" s="98">
        <f t="shared" si="12"/>
        <v>3.8461538461538464E-2</v>
      </c>
      <c r="AF19" s="98">
        <f t="shared" si="13"/>
        <v>0</v>
      </c>
      <c r="AG19" s="98">
        <f t="shared" si="14"/>
        <v>0</v>
      </c>
      <c r="AH19" s="81" t="s">
        <v>20</v>
      </c>
      <c r="AI19" s="85">
        <f>COUNTIF('AUDIT HK'!$G$87:$G$91,"=1")</f>
        <v>0</v>
      </c>
      <c r="AJ19" s="85">
        <f>COUNTIF('AUDIT HK'!$M$87:$M$91,"=1")</f>
        <v>0</v>
      </c>
      <c r="AK19" s="85">
        <f>COUNTIF('AUDIT HK'!$S$87:$S$91,"=1")</f>
        <v>0</v>
      </c>
      <c r="AL19" s="85">
        <f>COUNTIF('AUDIT HK'!$Y$87:$Y$91,"=1")</f>
        <v>0</v>
      </c>
      <c r="AM19" s="85">
        <f>COUNTIF('AUDIT HK'!$AE$87:$AE$91,"=1")</f>
        <v>1</v>
      </c>
      <c r="AN19" s="85">
        <f>COUNTIF('AUDIT HK'!$AK$87:$AK$91,"=1")</f>
        <v>0</v>
      </c>
      <c r="AO19" s="85">
        <f>COUNTIF('AUDIT HK'!$AQ$87:$AQ$91,"=1")</f>
        <v>0</v>
      </c>
      <c r="AP19" s="85">
        <f>COUNTIF('AUDIT HK'!$AX$87:$AX$91,"=1")</f>
        <v>0</v>
      </c>
      <c r="AQ19" s="85">
        <f>COUNTIF('AUDIT HK'!$BC$87:$BC$91,"=1")</f>
        <v>0</v>
      </c>
      <c r="AR19" s="85">
        <f>COUNTIF('AUDIT HK'!$BI$87:$BI$91,"=1")</f>
        <v>0</v>
      </c>
      <c r="AS19" s="85">
        <f>COUNTIF('AUDIT HK'!$BO$87:$BO$91,"=1")</f>
        <v>0</v>
      </c>
      <c r="AT19" s="85">
        <f>COUNTIF('AUDIT HK'!$BU$87:$BU$91,"=1")</f>
        <v>0</v>
      </c>
      <c r="AU19" s="85">
        <f>COUNTIF('AUDIT HK'!$CA$87:$CA$91,"=1")</f>
        <v>0</v>
      </c>
      <c r="AV19" s="85">
        <f>COUNTIF('AUDIT HK'!$CG$87:$CG$91,"=1")</f>
        <v>0</v>
      </c>
      <c r="AW19" s="81" t="s">
        <v>20</v>
      </c>
      <c r="AX19" s="85">
        <f>COUNTIF('AUDIT HK'!$G$87:$G$91,"=0")</f>
        <v>0</v>
      </c>
      <c r="AY19" s="85">
        <f>COUNTIF('AUDIT HK'!$M$87:$M$91,"=0")</f>
        <v>0</v>
      </c>
      <c r="AZ19" s="85">
        <f>COUNTIF('AUDIT HK'!$S$87:$S$91,"=0")</f>
        <v>0</v>
      </c>
      <c r="BA19" s="85">
        <f>COUNTIF('AUDIT HK'!$Y$87:$Y$91,"=0")</f>
        <v>0</v>
      </c>
      <c r="BB19" s="85">
        <f>COUNTIF('AUDIT HK'!$AE$87:$AE$91,"=0")</f>
        <v>0</v>
      </c>
      <c r="BC19" s="85">
        <f>COUNTIF('AUDIT HK'!$AK$87:$AK$91,"=0")</f>
        <v>0</v>
      </c>
      <c r="BD19" s="85">
        <f>COUNTIF('AUDIT HK'!$AQ$87:$AQ$91,"=0")</f>
        <v>0</v>
      </c>
      <c r="BE19" s="85">
        <v>0</v>
      </c>
      <c r="BF19" s="85">
        <f>COUNTIF('AUDIT HK'!$BC$87:$BC$91,"=0")</f>
        <v>0</v>
      </c>
      <c r="BG19" s="85">
        <f>COUNTIF('AUDIT HK'!$BI$87:$BI$91,"=0")</f>
        <v>0</v>
      </c>
      <c r="BH19" s="85">
        <f>COUNTIF('AUDIT HK'!$BO$87:$BO$91,"=0")</f>
        <v>0</v>
      </c>
      <c r="BI19" s="85">
        <f>COUNTIF('AUDIT HK'!$BU$87:$BU$91,"=0")</f>
        <v>0</v>
      </c>
      <c r="BJ19" s="85">
        <f>COUNTIF('AUDIT HK'!$CA$87:$CA$91,"=0")</f>
        <v>0</v>
      </c>
      <c r="BK19" s="85">
        <f>COUNTIF('AUDIT HK'!$CG$87:$CG$91,"=0")</f>
        <v>0</v>
      </c>
    </row>
    <row r="20" spans="1:63" ht="15.75" thickBot="1" x14ac:dyDescent="0.3">
      <c r="C20">
        <v>10</v>
      </c>
      <c r="D20" s="81" t="s">
        <v>1194</v>
      </c>
      <c r="E20" s="85">
        <f>'AUDIT HK'!H92</f>
        <v>10</v>
      </c>
      <c r="F20" s="85">
        <f>'AUDIT HK'!N92</f>
        <v>10</v>
      </c>
      <c r="G20" s="85">
        <f>'AUDIT HK'!T92</f>
        <v>10</v>
      </c>
      <c r="H20" s="85">
        <f>'AUDIT HK'!Z92</f>
        <v>10</v>
      </c>
      <c r="I20" s="85">
        <f>'AUDIT HK'!AF92</f>
        <v>10</v>
      </c>
      <c r="J20" s="85">
        <f>'AUDIT HK'!AL92</f>
        <v>10</v>
      </c>
      <c r="K20" s="85">
        <f>'AUDIT HK'!AR92</f>
        <v>10</v>
      </c>
      <c r="L20" s="85">
        <f>'AUDIT HK'!AX92</f>
        <v>10</v>
      </c>
      <c r="M20" s="85">
        <f>'AUDIT HK'!BD92</f>
        <v>10</v>
      </c>
      <c r="N20" s="85">
        <f>'AUDIT HK'!BJ92</f>
        <v>10</v>
      </c>
      <c r="O20" s="85">
        <f>'AUDIT HK'!BP92</f>
        <v>10</v>
      </c>
      <c r="P20" s="85">
        <f>'AUDIT HK'!BV92</f>
        <v>8</v>
      </c>
      <c r="Q20" s="85">
        <f>'AUDIT HK'!CB92</f>
        <v>0</v>
      </c>
      <c r="R20" s="85">
        <f>'AUDIT HK'!CH92</f>
        <v>0</v>
      </c>
      <c r="S20" s="81" t="s">
        <v>1194</v>
      </c>
      <c r="T20" s="98">
        <f t="shared" si="1"/>
        <v>3.8461538461538464E-2</v>
      </c>
      <c r="U20" s="98">
        <f t="shared" si="2"/>
        <v>3.8461538461538464E-2</v>
      </c>
      <c r="V20" s="98">
        <f t="shared" si="3"/>
        <v>3.8461538461538464E-2</v>
      </c>
      <c r="W20" s="98">
        <f t="shared" si="4"/>
        <v>3.8461538461538464E-2</v>
      </c>
      <c r="X20" s="98">
        <f t="shared" si="5"/>
        <v>3.8461538461538464E-2</v>
      </c>
      <c r="Y20" s="98">
        <f t="shared" si="6"/>
        <v>3.8461538461538464E-2</v>
      </c>
      <c r="Z20" s="98">
        <f t="shared" si="7"/>
        <v>3.8461538461538464E-2</v>
      </c>
      <c r="AA20" s="98">
        <f t="shared" si="8"/>
        <v>3.8461538461538464E-2</v>
      </c>
      <c r="AB20" s="98">
        <f t="shared" si="9"/>
        <v>3.8461538461538464E-2</v>
      </c>
      <c r="AC20" s="98">
        <f t="shared" si="10"/>
        <v>3.8461538461538464E-2</v>
      </c>
      <c r="AD20" s="98">
        <f t="shared" si="11"/>
        <v>3.8461538461538464E-2</v>
      </c>
      <c r="AE20" s="98">
        <f t="shared" si="12"/>
        <v>3.0769230769230771E-2</v>
      </c>
      <c r="AF20" s="98">
        <f t="shared" si="13"/>
        <v>0</v>
      </c>
      <c r="AG20" s="98">
        <f t="shared" si="14"/>
        <v>0</v>
      </c>
      <c r="AH20" s="81" t="s">
        <v>1194</v>
      </c>
      <c r="AI20" s="85">
        <f>COUNTIF('AUDIT HK'!$G$92:$G$96,"=1")</f>
        <v>0</v>
      </c>
      <c r="AJ20" s="85">
        <f>COUNTIF('AUDIT HK'!$M$92:$M$96,"=1")</f>
        <v>0</v>
      </c>
      <c r="AK20" s="85">
        <f>COUNTIF('AUDIT HK'!$S$92:$S$96,"=1")</f>
        <v>0</v>
      </c>
      <c r="AL20" s="85">
        <f>COUNTIF('AUDIT HK'!$Y$92:$Y$96,"=1")</f>
        <v>0</v>
      </c>
      <c r="AM20" s="85">
        <f>COUNTIF('AUDIT HK'!$AE$92:$AE$96,"=1")</f>
        <v>0</v>
      </c>
      <c r="AN20" s="85">
        <f>COUNTIF('AUDIT HK'!$AK$92:$AK$96,"=1")</f>
        <v>0</v>
      </c>
      <c r="AO20" s="85">
        <f>COUNTIF('AUDIT HK'!$AQ$92:$AQ$96,"=1")</f>
        <v>0</v>
      </c>
      <c r="AP20" s="85">
        <f>COUNTIF('AUDIT HK'!$AX$92:$AX$96,"=1")</f>
        <v>0</v>
      </c>
      <c r="AQ20" s="85">
        <f>COUNTIF('AUDIT HK'!$BC$92:$BC$96,"=1")</f>
        <v>0</v>
      </c>
      <c r="AR20" s="85">
        <f>COUNTIF('AUDIT HK'!$BI$92:$BI$96,"=1")</f>
        <v>0</v>
      </c>
      <c r="AS20" s="85">
        <f>COUNTIF('AUDIT HK'!$BO$92:$BO$96,"=1")</f>
        <v>0</v>
      </c>
      <c r="AT20" s="85">
        <f>COUNTIF('AUDIT HK'!$BU$92:$BU$96,"=1")</f>
        <v>0</v>
      </c>
      <c r="AU20" s="85">
        <f>COUNTIF('AUDIT HK'!$CA$92:$CA$96,"=1")</f>
        <v>0</v>
      </c>
      <c r="AV20" s="85">
        <f>COUNTIF('AUDIT HK'!$CG$92:$CG$96,"=1")</f>
        <v>0</v>
      </c>
      <c r="AW20" s="81" t="s">
        <v>1194</v>
      </c>
      <c r="AX20" s="85">
        <f>COUNTIF('AUDIT HK'!$G$92:$G$96,"=0")</f>
        <v>0</v>
      </c>
      <c r="AY20" s="85">
        <f>COUNTIF('AUDIT HK'!$M$92:$M$96,"=0")</f>
        <v>0</v>
      </c>
      <c r="AZ20" s="85">
        <f>COUNTIF('AUDIT HK'!$S$92:$S$96,"=0")</f>
        <v>0</v>
      </c>
      <c r="BA20" s="85">
        <f>COUNTIF('AUDIT HK'!$Y$92:$Y$96,"=0")</f>
        <v>0</v>
      </c>
      <c r="BB20" s="85">
        <f>COUNTIF('AUDIT HK'!$AE$92:$AE$96,"=0")</f>
        <v>0</v>
      </c>
      <c r="BC20" s="85">
        <f>COUNTIF('AUDIT HK'!$AK$92:$AK$96,"=0")</f>
        <v>0</v>
      </c>
      <c r="BD20" s="85">
        <f>COUNTIF('AUDIT HK'!$AQ$92:$AQ$96,"=0")</f>
        <v>0</v>
      </c>
      <c r="BE20" s="85">
        <v>0</v>
      </c>
      <c r="BF20" s="85">
        <f>COUNTIF('AUDIT HK'!$BC$92:$BC$96,"=0")</f>
        <v>0</v>
      </c>
      <c r="BG20" s="85">
        <f>COUNTIF('AUDIT HK'!$BI$92:$BI$96,"=0")</f>
        <v>0</v>
      </c>
      <c r="BH20" s="85">
        <f>COUNTIF('AUDIT HK'!$BO$92:$BO$96,"=0")</f>
        <v>0</v>
      </c>
      <c r="BI20" s="85">
        <f>COUNTIF('AUDIT HK'!$BU$92:$BU$96,"=0")</f>
        <v>0</v>
      </c>
      <c r="BJ20" s="85">
        <f>COUNTIF('AUDIT HK'!$CA$92:$CA$96,"=0")</f>
        <v>0</v>
      </c>
      <c r="BK20" s="85">
        <f>COUNTIF('AUDIT HK'!$CG$92:$CG$96,"=0")</f>
        <v>0</v>
      </c>
    </row>
    <row r="21" spans="1:63" ht="15" customHeight="1" thickBot="1" x14ac:dyDescent="0.3">
      <c r="B21" s="116"/>
      <c r="C21">
        <v>32</v>
      </c>
      <c r="D21" s="41" t="str">
        <f>'AUDIT HK'!$B$97</f>
        <v>D. Laboratorio</v>
      </c>
      <c r="E21" s="31">
        <f>SUM(E22:E25)</f>
        <v>30</v>
      </c>
      <c r="F21" s="31">
        <f t="shared" ref="F21:AI21" si="101">SUM(F22:F25)</f>
        <v>0</v>
      </c>
      <c r="G21" s="31">
        <f t="shared" si="101"/>
        <v>32</v>
      </c>
      <c r="H21" s="31">
        <f t="shared" si="101"/>
        <v>0</v>
      </c>
      <c r="I21" s="31">
        <f t="shared" si="101"/>
        <v>30</v>
      </c>
      <c r="J21" s="31">
        <f t="shared" si="101"/>
        <v>0</v>
      </c>
      <c r="K21" s="31">
        <f t="shared" si="101"/>
        <v>32</v>
      </c>
      <c r="L21" s="31">
        <f t="shared" si="101"/>
        <v>0</v>
      </c>
      <c r="M21" s="31">
        <f t="shared" si="101"/>
        <v>32</v>
      </c>
      <c r="N21" s="31">
        <f t="shared" si="101"/>
        <v>0</v>
      </c>
      <c r="O21" s="31">
        <f t="shared" si="101"/>
        <v>0</v>
      </c>
      <c r="P21" s="31">
        <f t="shared" si="101"/>
        <v>0</v>
      </c>
      <c r="Q21" s="31">
        <f t="shared" ref="Q21:R21" si="102">SUM(Q22:Q25)</f>
        <v>0</v>
      </c>
      <c r="R21" s="31">
        <f t="shared" si="102"/>
        <v>0</v>
      </c>
      <c r="S21" s="41" t="str">
        <f>'AUDIT HK'!$B$97</f>
        <v>D. Laboratorio</v>
      </c>
      <c r="T21" s="91">
        <f t="shared" si="1"/>
        <v>0.11538461538461539</v>
      </c>
      <c r="U21" s="91">
        <f t="shared" si="2"/>
        <v>0</v>
      </c>
      <c r="V21" s="91">
        <f t="shared" si="3"/>
        <v>0.12307692307692308</v>
      </c>
      <c r="W21" s="91">
        <f t="shared" si="4"/>
        <v>0</v>
      </c>
      <c r="X21" s="91">
        <f t="shared" si="5"/>
        <v>0.11538461538461539</v>
      </c>
      <c r="Y21" s="91">
        <f t="shared" si="6"/>
        <v>0</v>
      </c>
      <c r="Z21" s="91">
        <f t="shared" si="7"/>
        <v>0.12307692307692308</v>
      </c>
      <c r="AA21" s="91">
        <f t="shared" si="8"/>
        <v>0</v>
      </c>
      <c r="AB21" s="91">
        <f t="shared" si="9"/>
        <v>0.12307692307692308</v>
      </c>
      <c r="AC21" s="91">
        <f t="shared" si="10"/>
        <v>0</v>
      </c>
      <c r="AD21" s="91">
        <f t="shared" si="11"/>
        <v>0</v>
      </c>
      <c r="AE21" s="91">
        <f t="shared" si="12"/>
        <v>0</v>
      </c>
      <c r="AF21" s="91">
        <f t="shared" si="13"/>
        <v>0</v>
      </c>
      <c r="AG21" s="91">
        <f t="shared" si="14"/>
        <v>0</v>
      </c>
      <c r="AH21" s="41" t="str">
        <f>'AUDIT HK'!$B$97</f>
        <v>D. Laboratorio</v>
      </c>
      <c r="AI21" s="31">
        <f t="shared" si="101"/>
        <v>2</v>
      </c>
      <c r="AJ21" s="31">
        <f t="shared" ref="AJ21:AV21" si="103">SUM(AJ22:AJ25)</f>
        <v>0</v>
      </c>
      <c r="AK21" s="31">
        <f t="shared" si="103"/>
        <v>0</v>
      </c>
      <c r="AL21" s="31">
        <f t="shared" si="103"/>
        <v>0</v>
      </c>
      <c r="AM21" s="31">
        <f t="shared" si="103"/>
        <v>2</v>
      </c>
      <c r="AN21" s="31">
        <f t="shared" si="103"/>
        <v>0</v>
      </c>
      <c r="AO21" s="31">
        <f t="shared" si="103"/>
        <v>0</v>
      </c>
      <c r="AP21" s="31">
        <f t="shared" si="103"/>
        <v>0</v>
      </c>
      <c r="AQ21" s="31">
        <f t="shared" si="103"/>
        <v>0</v>
      </c>
      <c r="AR21" s="31">
        <f t="shared" si="103"/>
        <v>0</v>
      </c>
      <c r="AS21" s="31">
        <f t="shared" si="103"/>
        <v>0</v>
      </c>
      <c r="AT21" s="31">
        <f t="shared" si="103"/>
        <v>0</v>
      </c>
      <c r="AU21" s="31">
        <f t="shared" si="103"/>
        <v>0</v>
      </c>
      <c r="AV21" s="31">
        <f t="shared" si="103"/>
        <v>0</v>
      </c>
      <c r="AW21" s="41" t="str">
        <f>'AUDIT HK'!$B$97</f>
        <v>D. Laboratorio</v>
      </c>
      <c r="AX21" s="31">
        <f t="shared" ref="AX21:BK21" si="104">SUM(AX22:AX25)</f>
        <v>0</v>
      </c>
      <c r="AY21" s="31">
        <f t="shared" si="104"/>
        <v>0</v>
      </c>
      <c r="AZ21" s="31">
        <f t="shared" si="104"/>
        <v>0</v>
      </c>
      <c r="BA21" s="31">
        <f t="shared" si="104"/>
        <v>0</v>
      </c>
      <c r="BB21" s="31">
        <f t="shared" si="104"/>
        <v>0</v>
      </c>
      <c r="BC21" s="31">
        <f t="shared" si="104"/>
        <v>0</v>
      </c>
      <c r="BD21" s="31">
        <f t="shared" si="104"/>
        <v>0</v>
      </c>
      <c r="BE21" s="31">
        <f t="shared" si="104"/>
        <v>0</v>
      </c>
      <c r="BF21" s="31">
        <f t="shared" si="104"/>
        <v>0</v>
      </c>
      <c r="BG21" s="31">
        <f t="shared" si="104"/>
        <v>0</v>
      </c>
      <c r="BH21" s="31">
        <f t="shared" si="104"/>
        <v>0</v>
      </c>
      <c r="BI21" s="31">
        <f t="shared" si="104"/>
        <v>0</v>
      </c>
      <c r="BJ21" s="31">
        <f t="shared" si="104"/>
        <v>0</v>
      </c>
      <c r="BK21" s="31">
        <f t="shared" si="104"/>
        <v>0</v>
      </c>
    </row>
    <row r="22" spans="1:63" x14ac:dyDescent="0.25">
      <c r="B22" s="116"/>
      <c r="C22">
        <v>6</v>
      </c>
      <c r="D22" s="79" t="s">
        <v>16</v>
      </c>
      <c r="E22" s="85">
        <f>'AUDIT HK'!H98</f>
        <v>6</v>
      </c>
      <c r="F22" s="85">
        <v>0</v>
      </c>
      <c r="G22" s="85">
        <f>'AUDIT HK'!T98</f>
        <v>6</v>
      </c>
      <c r="H22" s="85">
        <v>0</v>
      </c>
      <c r="I22" s="85">
        <f>'AUDIT HK'!AF98</f>
        <v>6</v>
      </c>
      <c r="J22" s="85">
        <v>0</v>
      </c>
      <c r="K22" s="85">
        <f>'AUDIT HK'!AR98</f>
        <v>6</v>
      </c>
      <c r="L22" s="85">
        <v>0</v>
      </c>
      <c r="M22" s="85">
        <f>'AUDIT HK'!BD98</f>
        <v>6</v>
      </c>
      <c r="N22" s="85">
        <v>0</v>
      </c>
      <c r="O22" s="85">
        <f>'AUDIT HK'!BP98</f>
        <v>0</v>
      </c>
      <c r="P22" s="85">
        <v>0</v>
      </c>
      <c r="Q22" s="85">
        <f>'AUDIT HK'!CB98</f>
        <v>0</v>
      </c>
      <c r="R22" s="85">
        <f>'AUDIT HK'!CH98</f>
        <v>0</v>
      </c>
      <c r="S22" s="79" t="s">
        <v>16</v>
      </c>
      <c r="T22" s="92">
        <f t="shared" si="1"/>
        <v>2.3076923076923078E-2</v>
      </c>
      <c r="U22" s="92">
        <f t="shared" si="2"/>
        <v>0</v>
      </c>
      <c r="V22" s="92">
        <f t="shared" si="3"/>
        <v>2.3076923076923078E-2</v>
      </c>
      <c r="W22" s="92">
        <f t="shared" si="4"/>
        <v>0</v>
      </c>
      <c r="X22" s="92">
        <f t="shared" si="5"/>
        <v>2.3076923076923078E-2</v>
      </c>
      <c r="Y22" s="92">
        <f t="shared" si="6"/>
        <v>0</v>
      </c>
      <c r="Z22" s="92">
        <f t="shared" si="7"/>
        <v>2.3076923076923078E-2</v>
      </c>
      <c r="AA22" s="92">
        <f t="shared" si="8"/>
        <v>0</v>
      </c>
      <c r="AB22" s="92">
        <f t="shared" si="9"/>
        <v>2.3076923076923078E-2</v>
      </c>
      <c r="AC22" s="92">
        <f t="shared" si="10"/>
        <v>0</v>
      </c>
      <c r="AD22" s="92">
        <f t="shared" si="11"/>
        <v>0</v>
      </c>
      <c r="AE22" s="92">
        <f t="shared" si="12"/>
        <v>0</v>
      </c>
      <c r="AF22" s="92">
        <f t="shared" si="13"/>
        <v>0</v>
      </c>
      <c r="AG22" s="92">
        <f t="shared" si="14"/>
        <v>0</v>
      </c>
      <c r="AH22" s="79" t="s">
        <v>16</v>
      </c>
      <c r="AI22" s="84">
        <f>COUNTIF('AUDIT HK'!$G$98:$G$100,"=1")</f>
        <v>0</v>
      </c>
      <c r="AJ22" s="84">
        <f>COUNTIF('AUDIT HK'!$M$98:$M$100,"=1")</f>
        <v>0</v>
      </c>
      <c r="AK22" s="84">
        <f>COUNTIF('AUDIT HK'!$S$98:$S$100,"=1")</f>
        <v>0</v>
      </c>
      <c r="AL22" s="84">
        <f>COUNTIF('AUDIT HK'!$Y$98:$Y$100,"=1")</f>
        <v>0</v>
      </c>
      <c r="AM22" s="84">
        <f>COUNTIF('AUDIT HK'!$AE$98:$AE$100,"=1")</f>
        <v>0</v>
      </c>
      <c r="AN22" s="84">
        <f>COUNTIF('AUDIT HK'!$AK$98:$AK$100,"=1")</f>
        <v>0</v>
      </c>
      <c r="AO22" s="84">
        <f>COUNTIF('AUDIT HK'!$AQ$98:$AQ$100,"=1")</f>
        <v>0</v>
      </c>
      <c r="AP22" s="84">
        <f>COUNTIF('AUDIT HK'!$AX$98:$AX$100,"=1")</f>
        <v>0</v>
      </c>
      <c r="AQ22" s="84">
        <f>COUNTIF('AUDIT HK'!$BC$98:$BC$100,"=1")</f>
        <v>0</v>
      </c>
      <c r="AR22" s="84">
        <f>COUNTIF('AUDIT HK'!$BI$98:$BI$100,"=1")</f>
        <v>0</v>
      </c>
      <c r="AS22" s="84">
        <f>COUNTIF('AUDIT HK'!$BO$98:$BO$100,"=1")</f>
        <v>0</v>
      </c>
      <c r="AT22" s="84">
        <f>COUNTIF('AUDIT HK'!$BU$98:$BU$100,"=1")</f>
        <v>0</v>
      </c>
      <c r="AU22" s="84">
        <f>COUNTIF('AUDIT HK'!$CA$98:$CA$100,"=1")</f>
        <v>0</v>
      </c>
      <c r="AV22" s="84">
        <f>COUNTIF('AUDIT HK'!$CG$98:$CG$100,"=1")</f>
        <v>0</v>
      </c>
      <c r="AW22" s="79" t="s">
        <v>16</v>
      </c>
      <c r="AX22" s="84">
        <f>COUNTIF('AUDIT HK'!$G$98:$G$100,"=0")</f>
        <v>0</v>
      </c>
      <c r="AY22" s="84">
        <f>COUNTIF('AUDIT HK'!$M$98:$M$100,"=0")</f>
        <v>0</v>
      </c>
      <c r="AZ22" s="84">
        <f>COUNTIF('AUDIT HK'!$S$98:$S$100,"=0")</f>
        <v>0</v>
      </c>
      <c r="BA22" s="84">
        <f>COUNTIF('AUDIT HK'!$Y$98:$Y$100,"=0")</f>
        <v>0</v>
      </c>
      <c r="BB22" s="84">
        <f>COUNTIF('AUDIT HK'!$AE$98:$AE$100,"=0")</f>
        <v>0</v>
      </c>
      <c r="BC22" s="84">
        <f>COUNTIF('AUDIT HK'!$AK$98:$AK$100,"=0")</f>
        <v>0</v>
      </c>
      <c r="BD22" s="84">
        <f>COUNTIF('AUDIT HK'!$AQ$98:$AQ$100,"=0")</f>
        <v>0</v>
      </c>
      <c r="BE22" s="84">
        <v>0</v>
      </c>
      <c r="BF22" s="84">
        <f>COUNTIF('AUDIT HK'!$BC$98:$BC$100,"=0")</f>
        <v>0</v>
      </c>
      <c r="BG22" s="84">
        <f>COUNTIF('AUDIT HK'!$BI$98:$BI$100,"=0")</f>
        <v>0</v>
      </c>
      <c r="BH22" s="84">
        <f>COUNTIF('AUDIT HK'!$BO$98:$BO$100,"=0")</f>
        <v>0</v>
      </c>
      <c r="BI22" s="84">
        <f>COUNTIF('AUDIT HK'!$BU$98:$BU$100,"=0")</f>
        <v>0</v>
      </c>
      <c r="BJ22" s="84">
        <f>COUNTIF('AUDIT HK'!$CA$98:$CA$100,"=0")</f>
        <v>0</v>
      </c>
      <c r="BK22" s="84">
        <f>COUNTIF('AUDIT HK'!$CG$98:$CG$100,"=0")</f>
        <v>0</v>
      </c>
    </row>
    <row r="23" spans="1:63" x14ac:dyDescent="0.25">
      <c r="B23" s="116"/>
      <c r="C23">
        <v>6</v>
      </c>
      <c r="D23" s="80" t="s">
        <v>18</v>
      </c>
      <c r="E23" s="85">
        <f>'AUDIT HK'!H101</f>
        <v>6</v>
      </c>
      <c r="F23" s="85">
        <v>0</v>
      </c>
      <c r="G23" s="85">
        <f>'AUDIT HK'!T101</f>
        <v>6</v>
      </c>
      <c r="H23" s="85">
        <v>0</v>
      </c>
      <c r="I23" s="85">
        <f>'AUDIT HK'!AF101</f>
        <v>5</v>
      </c>
      <c r="J23" s="85">
        <v>0</v>
      </c>
      <c r="K23" s="85">
        <f>'AUDIT HK'!AR101</f>
        <v>6</v>
      </c>
      <c r="L23" s="85">
        <v>0</v>
      </c>
      <c r="M23" s="85">
        <f>'AUDIT HK'!BD101</f>
        <v>6</v>
      </c>
      <c r="N23" s="85">
        <v>0</v>
      </c>
      <c r="O23" s="85">
        <f>'AUDIT HK'!BP101</f>
        <v>0</v>
      </c>
      <c r="P23" s="85">
        <v>0</v>
      </c>
      <c r="Q23" s="85">
        <f>'AUDIT HK'!CB101</f>
        <v>0</v>
      </c>
      <c r="R23" s="85">
        <f>'AUDIT HK'!CH101</f>
        <v>0</v>
      </c>
      <c r="S23" s="80" t="s">
        <v>18</v>
      </c>
      <c r="T23" s="97">
        <f t="shared" si="1"/>
        <v>2.3076923076923078E-2</v>
      </c>
      <c r="U23" s="97">
        <f t="shared" si="2"/>
        <v>0</v>
      </c>
      <c r="V23" s="97">
        <f t="shared" si="3"/>
        <v>2.3076923076923078E-2</v>
      </c>
      <c r="W23" s="97">
        <f t="shared" si="4"/>
        <v>0</v>
      </c>
      <c r="X23" s="97">
        <f t="shared" si="5"/>
        <v>1.9230769230769232E-2</v>
      </c>
      <c r="Y23" s="97">
        <f t="shared" si="6"/>
        <v>0</v>
      </c>
      <c r="Z23" s="97">
        <f t="shared" si="7"/>
        <v>2.3076923076923078E-2</v>
      </c>
      <c r="AA23" s="97">
        <f t="shared" si="8"/>
        <v>0</v>
      </c>
      <c r="AB23" s="97">
        <f t="shared" si="9"/>
        <v>2.3076923076923078E-2</v>
      </c>
      <c r="AC23" s="97">
        <f t="shared" si="10"/>
        <v>0</v>
      </c>
      <c r="AD23" s="97">
        <f t="shared" si="11"/>
        <v>0</v>
      </c>
      <c r="AE23" s="97">
        <f t="shared" si="12"/>
        <v>0</v>
      </c>
      <c r="AF23" s="97">
        <f t="shared" si="13"/>
        <v>0</v>
      </c>
      <c r="AG23" s="97">
        <f t="shared" si="14"/>
        <v>0</v>
      </c>
      <c r="AH23" s="80" t="s">
        <v>18</v>
      </c>
      <c r="AI23" s="85">
        <f>COUNTIF('AUDIT HK'!$G$101:$G$103,"=1")</f>
        <v>0</v>
      </c>
      <c r="AJ23" s="85">
        <f>COUNTIF('AUDIT HK'!$M$101:$M$103,"=1")</f>
        <v>0</v>
      </c>
      <c r="AK23" s="85">
        <f>COUNTIF('AUDIT HK'!$S$101:$S$103,"=1")</f>
        <v>0</v>
      </c>
      <c r="AL23" s="85">
        <f>COUNTIF('AUDIT HK'!$Y$101:$Y$103,"=1")</f>
        <v>0</v>
      </c>
      <c r="AM23" s="85">
        <f>COUNTIF('AUDIT HK'!$AE$101:$AE$103,"=1")</f>
        <v>1</v>
      </c>
      <c r="AN23" s="85">
        <f>COUNTIF('AUDIT HK'!$AK$101:$AK$103,"=1")</f>
        <v>0</v>
      </c>
      <c r="AO23" s="85">
        <f>COUNTIF('AUDIT HK'!$AQ$101:$AQ$103,"=1")</f>
        <v>0</v>
      </c>
      <c r="AP23" s="85">
        <f>COUNTIF('AUDIT HK'!$AX$101:$AX$103,"=1")</f>
        <v>0</v>
      </c>
      <c r="AQ23" s="85">
        <f>COUNTIF('AUDIT HK'!$BC$101:$BC$103,"=1")</f>
        <v>0</v>
      </c>
      <c r="AR23" s="85">
        <f>COUNTIF('AUDIT HK'!$BI$101:$BI$103,"=1")</f>
        <v>0</v>
      </c>
      <c r="AS23" s="85">
        <f>COUNTIF('AUDIT HK'!$BO$101:$BO$103,"=1")</f>
        <v>0</v>
      </c>
      <c r="AT23" s="85">
        <f>COUNTIF('AUDIT HK'!$BU$101:$BU$103,"=1")</f>
        <v>0</v>
      </c>
      <c r="AU23" s="85">
        <f>COUNTIF('AUDIT HK'!$CA$101:$CA$103,"=1")</f>
        <v>0</v>
      </c>
      <c r="AV23" s="85">
        <f>COUNTIF('AUDIT HK'!$CG$101:$CG$103,"=1")</f>
        <v>0</v>
      </c>
      <c r="AW23" s="80" t="s">
        <v>18</v>
      </c>
      <c r="AX23" s="85">
        <f>COUNTIF('AUDIT HK'!$G$101:$G$103,"=0")</f>
        <v>0</v>
      </c>
      <c r="AY23" s="85">
        <f>COUNTIF('AUDIT HK'!$M$101:$M$103,"=0")</f>
        <v>0</v>
      </c>
      <c r="AZ23" s="85">
        <f>COUNTIF('AUDIT HK'!$S$101:$S$103,"=0")</f>
        <v>0</v>
      </c>
      <c r="BA23" s="85">
        <f>COUNTIF('AUDIT HK'!$Y$101:$Y$103,"=0")</f>
        <v>0</v>
      </c>
      <c r="BB23" s="85">
        <f>COUNTIF('AUDIT HK'!$AE$101:$AE$103,"=0")</f>
        <v>0</v>
      </c>
      <c r="BC23" s="85">
        <f>COUNTIF('AUDIT HK'!$AK$101:$AK$103,"=0")</f>
        <v>0</v>
      </c>
      <c r="BD23" s="85">
        <f>COUNTIF('AUDIT HK'!$AQ$101:$AQ$103,"=0")</f>
        <v>0</v>
      </c>
      <c r="BE23" s="85">
        <v>0</v>
      </c>
      <c r="BF23" s="85">
        <f>COUNTIF('AUDIT HK'!$BC$101:$BC$103,"=0")</f>
        <v>0</v>
      </c>
      <c r="BG23" s="85">
        <f>COUNTIF('AUDIT HK'!$BI$101:$BI$103,"=0")</f>
        <v>0</v>
      </c>
      <c r="BH23" s="85">
        <f>COUNTIF('AUDIT HK'!$BO$101:$BO$103,"=0")</f>
        <v>0</v>
      </c>
      <c r="BI23" s="85">
        <f>COUNTIF('AUDIT HK'!$BU$101:$BU$103,"=0")</f>
        <v>0</v>
      </c>
      <c r="BJ23" s="85">
        <f>COUNTIF('AUDIT HK'!$CA$101:$CA$103,"=0")</f>
        <v>0</v>
      </c>
      <c r="BK23" s="85">
        <f>COUNTIF('AUDIT HK'!$CG$101:$CG$103,"=0")</f>
        <v>0</v>
      </c>
    </row>
    <row r="24" spans="1:63" ht="15.75" customHeight="1" x14ac:dyDescent="0.25">
      <c r="B24" s="116"/>
      <c r="C24">
        <v>10</v>
      </c>
      <c r="D24" s="80" t="s">
        <v>19</v>
      </c>
      <c r="E24" s="85">
        <f>'AUDIT HK'!H104</f>
        <v>8</v>
      </c>
      <c r="F24" s="85">
        <v>0</v>
      </c>
      <c r="G24" s="85">
        <f>'AUDIT HK'!T104</f>
        <v>10</v>
      </c>
      <c r="H24" s="85">
        <v>0</v>
      </c>
      <c r="I24" s="85">
        <f>'AUDIT HK'!AF104</f>
        <v>9</v>
      </c>
      <c r="J24" s="85">
        <v>0</v>
      </c>
      <c r="K24" s="85">
        <f>'AUDIT HK'!AR104</f>
        <v>10</v>
      </c>
      <c r="L24" s="85">
        <v>0</v>
      </c>
      <c r="M24" s="85">
        <f>'AUDIT HK'!BD104</f>
        <v>10</v>
      </c>
      <c r="N24" s="85">
        <v>0</v>
      </c>
      <c r="O24" s="85">
        <f>'AUDIT HK'!BP104</f>
        <v>0</v>
      </c>
      <c r="P24" s="85">
        <v>0</v>
      </c>
      <c r="Q24" s="85">
        <f>'AUDIT HK'!CB104</f>
        <v>0</v>
      </c>
      <c r="R24" s="85">
        <f>'AUDIT HK'!CH104</f>
        <v>0</v>
      </c>
      <c r="S24" s="80" t="s">
        <v>19</v>
      </c>
      <c r="T24" s="97">
        <f t="shared" si="1"/>
        <v>3.0769230769230771E-2</v>
      </c>
      <c r="U24" s="97">
        <f t="shared" si="2"/>
        <v>0</v>
      </c>
      <c r="V24" s="97">
        <f t="shared" si="3"/>
        <v>3.8461538461538464E-2</v>
      </c>
      <c r="W24" s="97">
        <f t="shared" si="4"/>
        <v>0</v>
      </c>
      <c r="X24" s="97">
        <f t="shared" si="5"/>
        <v>3.4615384615384617E-2</v>
      </c>
      <c r="Y24" s="97">
        <f t="shared" si="6"/>
        <v>0</v>
      </c>
      <c r="Z24" s="97">
        <f t="shared" si="7"/>
        <v>3.8461538461538464E-2</v>
      </c>
      <c r="AA24" s="97">
        <f t="shared" si="8"/>
        <v>0</v>
      </c>
      <c r="AB24" s="97">
        <f t="shared" si="9"/>
        <v>3.8461538461538464E-2</v>
      </c>
      <c r="AC24" s="97">
        <f t="shared" si="10"/>
        <v>0</v>
      </c>
      <c r="AD24" s="97">
        <f t="shared" si="11"/>
        <v>0</v>
      </c>
      <c r="AE24" s="97">
        <f t="shared" si="12"/>
        <v>0</v>
      </c>
      <c r="AF24" s="97">
        <f t="shared" si="13"/>
        <v>0</v>
      </c>
      <c r="AG24" s="97">
        <f t="shared" si="14"/>
        <v>0</v>
      </c>
      <c r="AH24" s="80" t="s">
        <v>19</v>
      </c>
      <c r="AI24" s="85">
        <f>COUNTIF('AUDIT HK'!$G$104:$G$108,"=1")</f>
        <v>2</v>
      </c>
      <c r="AJ24" s="85">
        <f>COUNTIF('AUDIT HK'!$M$104:$M$108,"=1")</f>
        <v>0</v>
      </c>
      <c r="AK24" s="85">
        <f>COUNTIF('AUDIT HK'!$S$104:$S$108,"=1")</f>
        <v>0</v>
      </c>
      <c r="AL24" s="85">
        <f>COUNTIF('AUDIT HK'!$Y$104:$Y$108,"=1")</f>
        <v>0</v>
      </c>
      <c r="AM24" s="85">
        <f>COUNTIF('AUDIT HK'!$AE$104:$AE$108,"=1")</f>
        <v>1</v>
      </c>
      <c r="AN24" s="85">
        <f>COUNTIF('AUDIT HK'!$AK$104:$AK$108,"=1")</f>
        <v>0</v>
      </c>
      <c r="AO24" s="85">
        <f>COUNTIF('AUDIT HK'!$AQ$104:$AQ$108,"=1")</f>
        <v>0</v>
      </c>
      <c r="AP24" s="85">
        <f>COUNTIF('AUDIT HK'!$AX$104:$AX$108,"=1")</f>
        <v>0</v>
      </c>
      <c r="AQ24" s="85">
        <f>COUNTIF('AUDIT HK'!$BC$104:$BC$108,"=1")</f>
        <v>0</v>
      </c>
      <c r="AR24" s="85">
        <f>COUNTIF('AUDIT HK'!$BI$104:$BI$108,"=1")</f>
        <v>0</v>
      </c>
      <c r="AS24" s="85">
        <f>COUNTIF('AUDIT HK'!$BO$104:$BO$108,"=1")</f>
        <v>0</v>
      </c>
      <c r="AT24" s="85">
        <f>COUNTIF('AUDIT HK'!$BU$104:$BU$108,"=1")</f>
        <v>0</v>
      </c>
      <c r="AU24" s="85">
        <f>COUNTIF('AUDIT HK'!$CA$104:$CA$108,"=1")</f>
        <v>0</v>
      </c>
      <c r="AV24" s="85">
        <f>COUNTIF('AUDIT HK'!$CG$104:$CG$108,"=1")</f>
        <v>0</v>
      </c>
      <c r="AW24" s="80" t="s">
        <v>19</v>
      </c>
      <c r="AX24" s="85">
        <f>COUNTIF('AUDIT HK'!$G$104:$G$108,"=0")</f>
        <v>0</v>
      </c>
      <c r="AY24" s="85">
        <f>COUNTIF('AUDIT HK'!$M$104:$M$108,"=0")</f>
        <v>0</v>
      </c>
      <c r="AZ24" s="85">
        <f>COUNTIF('AUDIT HK'!$S$104:$S$108,"=0")</f>
        <v>0</v>
      </c>
      <c r="BA24" s="85">
        <f>COUNTIF('AUDIT HK'!$Y$104:$Y$108,"=0")</f>
        <v>0</v>
      </c>
      <c r="BB24" s="85">
        <f>COUNTIF('AUDIT HK'!$AE$104:$AE$108,"=0")</f>
        <v>0</v>
      </c>
      <c r="BC24" s="85">
        <f>COUNTIF('AUDIT HK'!$AK$104:$AK$108,"=0")</f>
        <v>0</v>
      </c>
      <c r="BD24" s="85">
        <f>COUNTIF('AUDIT HK'!$AQ$104:$AQ$108,"=0")</f>
        <v>0</v>
      </c>
      <c r="BE24" s="85">
        <v>0</v>
      </c>
      <c r="BF24" s="85">
        <f>COUNTIF('AUDIT HK'!$BC$104:$BC$108,"=0")</f>
        <v>0</v>
      </c>
      <c r="BG24" s="85">
        <f>COUNTIF('AUDIT HK'!$BI$104:$BI$108,"=0")</f>
        <v>0</v>
      </c>
      <c r="BH24" s="85">
        <f>COUNTIF('AUDIT HK'!$BO$104:$BO$108,"=0")</f>
        <v>0</v>
      </c>
      <c r="BI24" s="85">
        <f>COUNTIF('AUDIT HK'!$BU$104:$BU$108,"=0")</f>
        <v>0</v>
      </c>
      <c r="BJ24" s="85">
        <f>COUNTIF('AUDIT HK'!$CA$104:$CA$108,"=0")</f>
        <v>0</v>
      </c>
      <c r="BK24" s="85">
        <f>COUNTIF('AUDIT HK'!$CG$104:$CG$108,"=0")</f>
        <v>0</v>
      </c>
    </row>
    <row r="25" spans="1:63" ht="15.75" thickBot="1" x14ac:dyDescent="0.3">
      <c r="B25" s="116"/>
      <c r="C25">
        <v>10</v>
      </c>
      <c r="D25" s="81" t="s">
        <v>20</v>
      </c>
      <c r="E25" s="85">
        <f>'AUDIT HK'!H109</f>
        <v>10</v>
      </c>
      <c r="F25" s="85">
        <v>0</v>
      </c>
      <c r="G25" s="85">
        <f>'AUDIT HK'!T109</f>
        <v>10</v>
      </c>
      <c r="H25" s="85">
        <v>0</v>
      </c>
      <c r="I25" s="85">
        <f>'AUDIT HK'!AF109</f>
        <v>10</v>
      </c>
      <c r="J25" s="85">
        <v>0</v>
      </c>
      <c r="K25" s="85">
        <f>'AUDIT HK'!AR109</f>
        <v>10</v>
      </c>
      <c r="L25" s="85">
        <v>0</v>
      </c>
      <c r="M25" s="85">
        <f>'AUDIT HK'!BD109</f>
        <v>10</v>
      </c>
      <c r="N25" s="85">
        <v>0</v>
      </c>
      <c r="O25" s="85">
        <f>'AUDIT HK'!BP109</f>
        <v>0</v>
      </c>
      <c r="P25" s="85">
        <v>0</v>
      </c>
      <c r="Q25" s="85">
        <f>'AUDIT HK'!CB109</f>
        <v>0</v>
      </c>
      <c r="R25" s="85">
        <f>'AUDIT HK'!CH109</f>
        <v>0</v>
      </c>
      <c r="S25" s="81" t="s">
        <v>20</v>
      </c>
      <c r="T25" s="98">
        <f t="shared" si="1"/>
        <v>3.8461538461538464E-2</v>
      </c>
      <c r="U25" s="98">
        <f t="shared" si="2"/>
        <v>0</v>
      </c>
      <c r="V25" s="98">
        <f t="shared" si="3"/>
        <v>3.8461538461538464E-2</v>
      </c>
      <c r="W25" s="98">
        <f t="shared" si="4"/>
        <v>0</v>
      </c>
      <c r="X25" s="98">
        <f t="shared" si="5"/>
        <v>3.8461538461538464E-2</v>
      </c>
      <c r="Y25" s="98">
        <f t="shared" si="6"/>
        <v>0</v>
      </c>
      <c r="Z25" s="98">
        <f t="shared" si="7"/>
        <v>3.8461538461538464E-2</v>
      </c>
      <c r="AA25" s="98">
        <f t="shared" si="8"/>
        <v>0</v>
      </c>
      <c r="AB25" s="98">
        <f t="shared" si="9"/>
        <v>3.8461538461538464E-2</v>
      </c>
      <c r="AC25" s="98">
        <f t="shared" si="10"/>
        <v>0</v>
      </c>
      <c r="AD25" s="98">
        <f t="shared" si="11"/>
        <v>0</v>
      </c>
      <c r="AE25" s="98">
        <f t="shared" si="12"/>
        <v>0</v>
      </c>
      <c r="AF25" s="98">
        <f t="shared" si="13"/>
        <v>0</v>
      </c>
      <c r="AG25" s="98">
        <f t="shared" si="14"/>
        <v>0</v>
      </c>
      <c r="AH25" s="81" t="s">
        <v>20</v>
      </c>
      <c r="AI25" s="85">
        <f>COUNTIF('AUDIT HK'!$G$109:$G$113,"=1")</f>
        <v>0</v>
      </c>
      <c r="AJ25" s="85">
        <f>COUNTIF('AUDIT HK'!$M$109:$M$113,"=1")</f>
        <v>0</v>
      </c>
      <c r="AK25" s="85">
        <f>COUNTIF('AUDIT HK'!$S$109:$S$113,"=1")</f>
        <v>0</v>
      </c>
      <c r="AL25" s="85">
        <f>COUNTIF('AUDIT HK'!$Y$109:$Y$113,"=1")</f>
        <v>0</v>
      </c>
      <c r="AM25" s="85">
        <f>COUNTIF('AUDIT HK'!$AE$109:$AE$113,"=1")</f>
        <v>0</v>
      </c>
      <c r="AN25" s="85">
        <f>COUNTIF('AUDIT HK'!$AK$109:$AK$113,"=1")</f>
        <v>0</v>
      </c>
      <c r="AO25" s="85">
        <f>COUNTIF('AUDIT HK'!$AQ$109:$AQ$113,"=1")</f>
        <v>0</v>
      </c>
      <c r="AP25" s="85">
        <f>COUNTIF('AUDIT HK'!$AX$109:$AX$113,"=1")</f>
        <v>0</v>
      </c>
      <c r="AQ25" s="85">
        <f>COUNTIF('AUDIT HK'!$BC$109:$BC$113,"=1")</f>
        <v>0</v>
      </c>
      <c r="AR25" s="85">
        <f>COUNTIF('AUDIT HK'!$BI$109:$BI$113,"=1")</f>
        <v>0</v>
      </c>
      <c r="AS25" s="85">
        <f>COUNTIF('AUDIT HK'!$BO$109:$BO$113,"=1")</f>
        <v>0</v>
      </c>
      <c r="AT25" s="85">
        <f>COUNTIF('AUDIT HK'!$BU$109:$BU$113,"=1")</f>
        <v>0</v>
      </c>
      <c r="AU25" s="85">
        <f>COUNTIF('AUDIT HK'!$CA$109:$CA$113,"=1")</f>
        <v>0</v>
      </c>
      <c r="AV25" s="85">
        <f>COUNTIF('AUDIT HK'!$CG$109:$CG$113,"=1")</f>
        <v>0</v>
      </c>
      <c r="AW25" s="81" t="s">
        <v>20</v>
      </c>
      <c r="AX25" s="85">
        <f>COUNTIF('AUDIT HK'!$G$109:$G$113,"=0")</f>
        <v>0</v>
      </c>
      <c r="AY25" s="85">
        <f>COUNTIF('AUDIT HK'!$M$109:$M$113,"=0")</f>
        <v>0</v>
      </c>
      <c r="AZ25" s="85">
        <f>COUNTIF('AUDIT HK'!$S$109:$S$113,"=0")</f>
        <v>0</v>
      </c>
      <c r="BA25" s="85">
        <f>COUNTIF('AUDIT HK'!$Y$109:$Y$113,"=0")</f>
        <v>0</v>
      </c>
      <c r="BB25" s="85">
        <f>COUNTIF('AUDIT HK'!$AE$109:$AE$113,"=0")</f>
        <v>0</v>
      </c>
      <c r="BC25" s="85">
        <f>COUNTIF('AUDIT HK'!$AK$109:$AK$113,"=0")</f>
        <v>0</v>
      </c>
      <c r="BD25" s="85">
        <f>COUNTIF('AUDIT HK'!$AQ$109:$AQ$113,"=0")</f>
        <v>0</v>
      </c>
      <c r="BE25" s="85">
        <v>0</v>
      </c>
      <c r="BF25" s="85">
        <f>COUNTIF('AUDIT HK'!$BC$109:$BC$113,"=0")</f>
        <v>0</v>
      </c>
      <c r="BG25" s="85">
        <f>COUNTIF('AUDIT HK'!$BI$109:$BI$113,"=0")</f>
        <v>0</v>
      </c>
      <c r="BH25" s="85">
        <f>COUNTIF('AUDIT HK'!$BO$109:$BO$113,"=0")</f>
        <v>0</v>
      </c>
      <c r="BI25" s="85">
        <f>COUNTIF('AUDIT HK'!$BU$109:$BU$113,"=0")</f>
        <v>0</v>
      </c>
      <c r="BJ25" s="85">
        <f>COUNTIF('AUDIT HK'!$CA$109:$CA$113,"=0")</f>
        <v>0</v>
      </c>
      <c r="BK25" s="85">
        <f>COUNTIF('AUDIT HK'!$CG$109:$CG$113,"=0")</f>
        <v>0</v>
      </c>
    </row>
    <row r="26" spans="1:63" ht="15.75" thickBot="1" x14ac:dyDescent="0.3">
      <c r="B26" s="116"/>
      <c r="C26">
        <v>6</v>
      </c>
      <c r="D26" s="81" t="s">
        <v>1194</v>
      </c>
      <c r="E26" s="85">
        <f>'AUDIT HK'!H114</f>
        <v>6</v>
      </c>
      <c r="F26" s="85">
        <v>0</v>
      </c>
      <c r="G26" s="85">
        <f>'AUDIT HK'!T114</f>
        <v>6</v>
      </c>
      <c r="H26" s="85">
        <v>0</v>
      </c>
      <c r="I26" s="85">
        <f>'AUDIT HK'!AF114</f>
        <v>6</v>
      </c>
      <c r="J26" s="85">
        <v>0</v>
      </c>
      <c r="K26" s="85">
        <f>'AUDIT HK'!AR114</f>
        <v>6</v>
      </c>
      <c r="L26" s="85">
        <v>0</v>
      </c>
      <c r="M26" s="85">
        <f>'AUDIT HK'!BD114</f>
        <v>6</v>
      </c>
      <c r="N26" s="85">
        <v>0</v>
      </c>
      <c r="O26" s="85">
        <f>'AUDIT HK'!BP114</f>
        <v>0</v>
      </c>
      <c r="P26" s="85">
        <v>0</v>
      </c>
      <c r="Q26" s="85">
        <f>'AUDIT HK'!CB114</f>
        <v>0</v>
      </c>
      <c r="R26" s="85">
        <f>'AUDIT HK'!CH114</f>
        <v>0</v>
      </c>
      <c r="S26" s="81" t="s">
        <v>1194</v>
      </c>
      <c r="T26" s="98">
        <f t="shared" si="1"/>
        <v>2.3076923076923078E-2</v>
      </c>
      <c r="U26" s="98">
        <f t="shared" si="2"/>
        <v>0</v>
      </c>
      <c r="V26" s="98">
        <f t="shared" si="3"/>
        <v>2.3076923076923078E-2</v>
      </c>
      <c r="W26" s="98">
        <f t="shared" si="4"/>
        <v>0</v>
      </c>
      <c r="X26" s="98">
        <f t="shared" si="5"/>
        <v>2.3076923076923078E-2</v>
      </c>
      <c r="Y26" s="98">
        <f t="shared" si="6"/>
        <v>0</v>
      </c>
      <c r="Z26" s="98">
        <f t="shared" si="7"/>
        <v>2.3076923076923078E-2</v>
      </c>
      <c r="AA26" s="98">
        <f t="shared" si="8"/>
        <v>0</v>
      </c>
      <c r="AB26" s="98">
        <f t="shared" si="9"/>
        <v>2.3076923076923078E-2</v>
      </c>
      <c r="AC26" s="98">
        <f t="shared" si="10"/>
        <v>0</v>
      </c>
      <c r="AD26" s="98">
        <f t="shared" si="11"/>
        <v>0</v>
      </c>
      <c r="AE26" s="98">
        <f t="shared" si="12"/>
        <v>0</v>
      </c>
      <c r="AF26" s="98">
        <f t="shared" si="13"/>
        <v>0</v>
      </c>
      <c r="AG26" s="98">
        <f t="shared" si="14"/>
        <v>0</v>
      </c>
      <c r="AH26" s="81" t="s">
        <v>1194</v>
      </c>
      <c r="AI26" s="85">
        <f>COUNTIF('AUDIT HK'!$G$114:$G$116,"=1")</f>
        <v>0</v>
      </c>
      <c r="AJ26" s="85">
        <f>COUNTIF('AUDIT HK'!$M$114:$M$116,"=1")</f>
        <v>0</v>
      </c>
      <c r="AK26" s="85">
        <f>COUNTIF('AUDIT HK'!$S$114:$S$116,"=1")</f>
        <v>0</v>
      </c>
      <c r="AL26" s="85">
        <f>COUNTIF('AUDIT HK'!$Y$114:$Y$116,"=1")</f>
        <v>0</v>
      </c>
      <c r="AM26" s="85">
        <f>COUNTIF('AUDIT HK'!$AE$114:$AE$116,"=1")</f>
        <v>0</v>
      </c>
      <c r="AN26" s="85">
        <f>COUNTIF('AUDIT HK'!$AK$114:$AK$116,"=1")</f>
        <v>0</v>
      </c>
      <c r="AO26" s="85">
        <f>COUNTIF('AUDIT HK'!$AQ$114:$AQ$116,"=1")</f>
        <v>0</v>
      </c>
      <c r="AP26" s="85">
        <f>COUNTIF('AUDIT HK'!$AX$114:$AX$116,"=1")</f>
        <v>0</v>
      </c>
      <c r="AQ26" s="85">
        <f>COUNTIF('AUDIT HK'!$BC$114:$BC$116,"=1")</f>
        <v>0</v>
      </c>
      <c r="AR26" s="85">
        <f>COUNTIF('AUDIT HK'!$BI$114:$BI$116,"=1")</f>
        <v>0</v>
      </c>
      <c r="AS26" s="85">
        <f>COUNTIF('AUDIT HK'!$BO$114:$BO$116,"=1")</f>
        <v>0</v>
      </c>
      <c r="AT26" s="85">
        <f>COUNTIF('AUDIT HK'!$BU$114:$BU$116,"=1")</f>
        <v>0</v>
      </c>
      <c r="AU26" s="85">
        <f>COUNTIF('AUDIT HK'!$CA$114:$CA$116,"=1")</f>
        <v>0</v>
      </c>
      <c r="AV26" s="85">
        <f>COUNTIF('AUDIT HK'!$CG$114:$CG$116,"=1")</f>
        <v>0</v>
      </c>
      <c r="AW26" s="81" t="s">
        <v>1194</v>
      </c>
      <c r="AX26" s="85">
        <f>COUNTIF('AUDIT HK'!$G$114:$G$116,"=0")</f>
        <v>0</v>
      </c>
      <c r="AY26" s="85">
        <f>COUNTIF('AUDIT HK'!$M$114:$M$116,"=0")</f>
        <v>0</v>
      </c>
      <c r="AZ26" s="85">
        <f>COUNTIF('AUDIT HK'!$S$114:$S$116,"=0")</f>
        <v>0</v>
      </c>
      <c r="BA26" s="85">
        <f>COUNTIF('AUDIT HK'!$Y$114:$Y$116,"=0")</f>
        <v>0</v>
      </c>
      <c r="BB26" s="85">
        <f>COUNTIF('AUDIT HK'!$AE$114:$AE$116,"=0")</f>
        <v>0</v>
      </c>
      <c r="BC26" s="85">
        <f>COUNTIF('AUDIT HK'!$AK$114:$AK$116,"=0")</f>
        <v>0</v>
      </c>
      <c r="BD26" s="85">
        <f>COUNTIF('AUDIT HK'!$AQ$114:$AQ$116,"=0")</f>
        <v>0</v>
      </c>
      <c r="BE26" s="85">
        <v>0</v>
      </c>
      <c r="BF26" s="85">
        <f>COUNTIF('AUDIT HK'!$BC$114:$BC$116,"=0")</f>
        <v>0</v>
      </c>
      <c r="BG26" s="85">
        <f>COUNTIF('AUDIT HK'!$BI$114:$BI$116,"=0")</f>
        <v>0</v>
      </c>
      <c r="BH26" s="85">
        <f>COUNTIF('AUDIT HK'!$BO$114:$BO$116,"=0")</f>
        <v>0</v>
      </c>
      <c r="BI26" s="85">
        <f>COUNTIF('AUDIT HK'!$BU$114:$BU$116,"=0")</f>
        <v>0</v>
      </c>
      <c r="BJ26" s="85">
        <f>COUNTIF('AUDIT HK'!$CA$114:$CA$116,"=0")</f>
        <v>0</v>
      </c>
      <c r="BK26" s="85">
        <f>COUNTIF('AUDIT HK'!$CG$114:$CG$116,"=0")</f>
        <v>0</v>
      </c>
    </row>
    <row r="27" spans="1:63" ht="15" customHeight="1" thickBot="1" x14ac:dyDescent="0.3">
      <c r="B27" s="116"/>
      <c r="C27">
        <v>44</v>
      </c>
      <c r="D27" s="67" t="str">
        <f>'AUDIT HK'!$B$117</f>
        <v>E.ENVASADO (Linea 2,8 y 9 )</v>
      </c>
      <c r="E27" s="31">
        <f>SUM(E28:E31)</f>
        <v>37</v>
      </c>
      <c r="F27" s="31">
        <f t="shared" ref="F27:AI27" si="105">SUM(F28:F31)</f>
        <v>44</v>
      </c>
      <c r="G27" s="31">
        <f t="shared" si="105"/>
        <v>39</v>
      </c>
      <c r="H27" s="31">
        <f t="shared" si="105"/>
        <v>44</v>
      </c>
      <c r="I27" s="31">
        <f t="shared" ca="1" si="105"/>
        <v>41</v>
      </c>
      <c r="J27" s="31">
        <f t="shared" si="105"/>
        <v>44</v>
      </c>
      <c r="K27" s="31">
        <f t="shared" si="105"/>
        <v>37</v>
      </c>
      <c r="L27" s="31">
        <f t="shared" si="105"/>
        <v>44</v>
      </c>
      <c r="M27" s="31">
        <f t="shared" si="105"/>
        <v>43</v>
      </c>
      <c r="N27" s="31">
        <f t="shared" si="105"/>
        <v>36</v>
      </c>
      <c r="O27" s="31">
        <f t="shared" si="105"/>
        <v>36</v>
      </c>
      <c r="P27" s="31">
        <f t="shared" si="105"/>
        <v>44</v>
      </c>
      <c r="Q27" s="31">
        <f t="shared" ref="Q27:R27" si="106">SUM(Q28:Q31)</f>
        <v>0</v>
      </c>
      <c r="R27" s="31">
        <f t="shared" si="106"/>
        <v>0</v>
      </c>
      <c r="S27" s="67" t="str">
        <f>'AUDIT HK'!$B$117</f>
        <v>E.ENVASADO (Linea 2,8 y 9 )</v>
      </c>
      <c r="T27" s="91">
        <f t="shared" si="1"/>
        <v>0.1423076923076923</v>
      </c>
      <c r="U27" s="91">
        <f t="shared" si="2"/>
        <v>0.16923076923076924</v>
      </c>
      <c r="V27" s="91">
        <f t="shared" si="3"/>
        <v>0.15</v>
      </c>
      <c r="W27" s="91">
        <f t="shared" si="4"/>
        <v>0.16923076923076924</v>
      </c>
      <c r="X27" s="91">
        <f t="shared" ca="1" si="5"/>
        <v>0.15769230769230769</v>
      </c>
      <c r="Y27" s="91">
        <f t="shared" si="6"/>
        <v>0.16923076923076924</v>
      </c>
      <c r="Z27" s="91">
        <f t="shared" si="7"/>
        <v>0.1423076923076923</v>
      </c>
      <c r="AA27" s="91">
        <f t="shared" si="8"/>
        <v>0.16923076923076924</v>
      </c>
      <c r="AB27" s="91">
        <f t="shared" si="9"/>
        <v>0.16538461538461538</v>
      </c>
      <c r="AC27" s="91">
        <f t="shared" si="10"/>
        <v>0.13846153846153847</v>
      </c>
      <c r="AD27" s="91">
        <f t="shared" si="11"/>
        <v>0.13846153846153847</v>
      </c>
      <c r="AE27" s="91">
        <f t="shared" si="12"/>
        <v>0.16923076923076924</v>
      </c>
      <c r="AF27" s="91">
        <f t="shared" si="13"/>
        <v>0</v>
      </c>
      <c r="AG27" s="91">
        <f t="shared" si="14"/>
        <v>0</v>
      </c>
      <c r="AH27" s="67" t="str">
        <f>'AUDIT HK'!$B$117</f>
        <v>E.ENVASADO (Linea 2,8 y 9 )</v>
      </c>
      <c r="AI27" s="31">
        <f t="shared" si="105"/>
        <v>3</v>
      </c>
      <c r="AJ27" s="31">
        <f t="shared" ref="AJ27:AV27" si="107">SUM(AJ28:AJ31)</f>
        <v>2</v>
      </c>
      <c r="AK27" s="31">
        <f t="shared" si="107"/>
        <v>5</v>
      </c>
      <c r="AL27" s="31">
        <f t="shared" si="107"/>
        <v>3</v>
      </c>
      <c r="AM27" s="31">
        <f t="shared" si="107"/>
        <v>1</v>
      </c>
      <c r="AN27" s="31">
        <f t="shared" si="107"/>
        <v>6</v>
      </c>
      <c r="AO27" s="31">
        <f t="shared" si="107"/>
        <v>5</v>
      </c>
      <c r="AP27" s="31">
        <f t="shared" si="107"/>
        <v>0</v>
      </c>
      <c r="AQ27" s="31">
        <f t="shared" si="107"/>
        <v>1</v>
      </c>
      <c r="AR27" s="31">
        <f t="shared" si="107"/>
        <v>4</v>
      </c>
      <c r="AS27" s="31">
        <f t="shared" si="107"/>
        <v>0</v>
      </c>
      <c r="AT27" s="31">
        <f t="shared" si="107"/>
        <v>0</v>
      </c>
      <c r="AU27" s="31">
        <f t="shared" si="107"/>
        <v>0</v>
      </c>
      <c r="AV27" s="31">
        <f t="shared" si="107"/>
        <v>0</v>
      </c>
      <c r="AW27" s="67" t="str">
        <f>'AUDIT HK'!$B$117</f>
        <v>E.ENVASADO (Linea 2,8 y 9 )</v>
      </c>
      <c r="AX27" s="31">
        <f t="shared" ref="AX27:BK27" si="108">SUM(AX28:AX31)</f>
        <v>2</v>
      </c>
      <c r="AY27" s="31">
        <f t="shared" si="108"/>
        <v>2</v>
      </c>
      <c r="AZ27" s="31">
        <f t="shared" si="108"/>
        <v>0</v>
      </c>
      <c r="BA27" s="31">
        <f t="shared" si="108"/>
        <v>1</v>
      </c>
      <c r="BB27" s="31">
        <f t="shared" si="108"/>
        <v>1</v>
      </c>
      <c r="BC27" s="31">
        <f t="shared" si="108"/>
        <v>1</v>
      </c>
      <c r="BD27" s="31">
        <f t="shared" si="108"/>
        <v>1</v>
      </c>
      <c r="BE27" s="31">
        <f t="shared" si="108"/>
        <v>0</v>
      </c>
      <c r="BF27" s="31">
        <f t="shared" si="108"/>
        <v>0</v>
      </c>
      <c r="BG27" s="31">
        <f t="shared" si="108"/>
        <v>1</v>
      </c>
      <c r="BH27" s="31">
        <f t="shared" si="108"/>
        <v>0</v>
      </c>
      <c r="BI27" s="31">
        <f t="shared" si="108"/>
        <v>0</v>
      </c>
      <c r="BJ27" s="31">
        <f t="shared" si="108"/>
        <v>0</v>
      </c>
      <c r="BK27" s="31">
        <f t="shared" si="108"/>
        <v>0</v>
      </c>
    </row>
    <row r="28" spans="1:63" x14ac:dyDescent="0.25">
      <c r="B28" s="116"/>
      <c r="C28">
        <v>10</v>
      </c>
      <c r="D28" s="79" t="s">
        <v>16</v>
      </c>
      <c r="E28" s="85">
        <f>'AUDIT HK'!H118</f>
        <v>9</v>
      </c>
      <c r="F28" s="85">
        <v>10</v>
      </c>
      <c r="G28" s="85">
        <f>'AUDIT HK'!T118</f>
        <v>9</v>
      </c>
      <c r="H28" s="85">
        <v>10</v>
      </c>
      <c r="I28" s="85">
        <f ca="1">'AUDIT HK'!AF118</f>
        <v>7</v>
      </c>
      <c r="J28" s="85">
        <v>10</v>
      </c>
      <c r="K28" s="85">
        <f>'AUDIT HK'!AR118</f>
        <v>9</v>
      </c>
      <c r="L28" s="85">
        <v>10</v>
      </c>
      <c r="M28" s="85">
        <f>'AUDIT HK'!BD118</f>
        <v>10</v>
      </c>
      <c r="N28" s="85">
        <f>'AUDIT HK'!BJ118</f>
        <v>9</v>
      </c>
      <c r="O28" s="85">
        <f>'AUDIT HK'!BP118</f>
        <v>9</v>
      </c>
      <c r="P28" s="85">
        <v>10</v>
      </c>
      <c r="Q28" s="85">
        <f>'AUDIT HK'!CB118</f>
        <v>0</v>
      </c>
      <c r="R28" s="85">
        <f>'AUDIT HK'!CH118</f>
        <v>0</v>
      </c>
      <c r="S28" s="79" t="s">
        <v>16</v>
      </c>
      <c r="T28" s="92">
        <f t="shared" si="1"/>
        <v>3.4615384615384617E-2</v>
      </c>
      <c r="U28" s="92">
        <f t="shared" si="2"/>
        <v>3.8461538461538464E-2</v>
      </c>
      <c r="V28" s="92">
        <f t="shared" si="3"/>
        <v>3.4615384615384617E-2</v>
      </c>
      <c r="W28" s="92">
        <f t="shared" si="4"/>
        <v>3.8461538461538464E-2</v>
      </c>
      <c r="X28" s="92">
        <f t="shared" ca="1" si="5"/>
        <v>2.6923076923076925E-2</v>
      </c>
      <c r="Y28" s="92">
        <f t="shared" si="6"/>
        <v>3.8461538461538464E-2</v>
      </c>
      <c r="Z28" s="92">
        <f t="shared" si="7"/>
        <v>3.4615384615384617E-2</v>
      </c>
      <c r="AA28" s="92">
        <f t="shared" si="8"/>
        <v>3.8461538461538464E-2</v>
      </c>
      <c r="AB28" s="92">
        <f t="shared" si="9"/>
        <v>3.8461538461538464E-2</v>
      </c>
      <c r="AC28" s="92">
        <f t="shared" si="10"/>
        <v>3.4615384615384617E-2</v>
      </c>
      <c r="AD28" s="92">
        <f t="shared" si="11"/>
        <v>3.4615384615384617E-2</v>
      </c>
      <c r="AE28" s="92">
        <f t="shared" si="12"/>
        <v>3.8461538461538464E-2</v>
      </c>
      <c r="AF28" s="92">
        <f t="shared" si="13"/>
        <v>0</v>
      </c>
      <c r="AG28" s="92">
        <f t="shared" si="14"/>
        <v>0</v>
      </c>
      <c r="AH28" s="79" t="s">
        <v>16</v>
      </c>
      <c r="AI28" s="84">
        <f>COUNTIF('AUDIT HK'!$G$118:$G$122,"=1")</f>
        <v>1</v>
      </c>
      <c r="AJ28" s="84">
        <f>COUNTIF('AUDIT HK'!$M$118:$M$122,"=1")</f>
        <v>2</v>
      </c>
      <c r="AK28" s="84">
        <f>COUNTIF('AUDIT HK'!$S$118:$S$122,"=1")</f>
        <v>1</v>
      </c>
      <c r="AL28" s="84">
        <f>COUNTIF('AUDIT HK'!$Y$118:$Y$122,"=1")</f>
        <v>0</v>
      </c>
      <c r="AM28" s="84">
        <f>COUNTIF('AUDIT HK'!$AE$118:$AE$122,"=1")</f>
        <v>1</v>
      </c>
      <c r="AN28" s="84">
        <f>COUNTIF('AUDIT HK'!$AK$118:$AK$122,"=1")</f>
        <v>2</v>
      </c>
      <c r="AO28" s="84">
        <f>COUNTIF('AUDIT HK'!$AQ$118:$AQ$122,"=1")</f>
        <v>1</v>
      </c>
      <c r="AP28" s="84">
        <f>COUNTIF('AUDIT HK'!$AX$118:$AX$122,"=1")</f>
        <v>0</v>
      </c>
      <c r="AQ28" s="84">
        <f>COUNTIF('AUDIT HK'!$BC$118:$BC$122,"=1")</f>
        <v>0</v>
      </c>
      <c r="AR28" s="84">
        <f>COUNTIF('AUDIT HK'!$BI$118:$BI$122,"=1")</f>
        <v>1</v>
      </c>
      <c r="AS28" s="84">
        <f>COUNTIF('AUDIT HK'!$BO$118:$BO$122,"=1")</f>
        <v>0</v>
      </c>
      <c r="AT28" s="84">
        <f>COUNTIF('AUDIT HK'!$BU$118:$BU$122,"=1")</f>
        <v>0</v>
      </c>
      <c r="AU28" s="84">
        <f>COUNTIF('AUDIT HK'!$CA$118:$CA$122,"=1")</f>
        <v>0</v>
      </c>
      <c r="AV28" s="84">
        <f>COUNTIF('AUDIT HK'!$CG$118:$CG$122,"=1")</f>
        <v>0</v>
      </c>
      <c r="AW28" s="79" t="s">
        <v>16</v>
      </c>
      <c r="AX28" s="84">
        <f>COUNTIF('AUDIT HK'!$G$118:$G$122,"=0")</f>
        <v>0</v>
      </c>
      <c r="AY28" s="84">
        <f>COUNTIF('AUDIT HK'!$M$118:$M$122,"=0")</f>
        <v>0</v>
      </c>
      <c r="AZ28" s="84">
        <f>COUNTIF('AUDIT HK'!$S$118:$S$122,"=0")</f>
        <v>0</v>
      </c>
      <c r="BA28" s="84">
        <f>COUNTIF('AUDIT HK'!$Y$118:$Y$122,"=0")</f>
        <v>0</v>
      </c>
      <c r="BB28" s="84">
        <f>COUNTIF('AUDIT HK'!$AE$118:$AE$122,"=0")</f>
        <v>1</v>
      </c>
      <c r="BC28" s="84">
        <f>COUNTIF('AUDIT HK'!$AK$118:$AK$122,"=0")</f>
        <v>0</v>
      </c>
      <c r="BD28" s="84">
        <f>COUNTIF('AUDIT HK'!$AQ$118:$AQ$122,"=0")</f>
        <v>0</v>
      </c>
      <c r="BE28" s="84">
        <f>COUNTIF('AUDIT HK'!$AX$118:$AX$122,"=0")</f>
        <v>0</v>
      </c>
      <c r="BF28" s="84">
        <f>COUNTIF('AUDIT HK'!$BC$118:$BC$122,"=0")</f>
        <v>0</v>
      </c>
      <c r="BG28" s="84">
        <f>COUNTIF('AUDIT HK'!$BI$118:$BI$122,"=0")</f>
        <v>0</v>
      </c>
      <c r="BH28" s="84">
        <f>COUNTIF('AUDIT HK'!$BO$118:$BO$122,"=0")</f>
        <v>0</v>
      </c>
      <c r="BI28" s="84">
        <f>COUNTIF('AUDIT HK'!$BU$118:$BU$122,"=0")</f>
        <v>0</v>
      </c>
      <c r="BJ28" s="84">
        <f>COUNTIF('AUDIT HK'!$CA$118:$CA$122,"=0")</f>
        <v>0</v>
      </c>
      <c r="BK28" s="84">
        <f>COUNTIF('AUDIT HK'!$CG$118:$CG$122,"=0")</f>
        <v>0</v>
      </c>
    </row>
    <row r="29" spans="1:63" x14ac:dyDescent="0.25">
      <c r="B29" s="116"/>
      <c r="C29">
        <v>10</v>
      </c>
      <c r="D29" s="80" t="s">
        <v>18</v>
      </c>
      <c r="E29" s="85">
        <f>'AUDIT HK'!H123</f>
        <v>5</v>
      </c>
      <c r="F29" s="85">
        <v>10</v>
      </c>
      <c r="G29" s="85">
        <f>'AUDIT HK'!T123</f>
        <v>8</v>
      </c>
      <c r="H29" s="85">
        <v>10</v>
      </c>
      <c r="I29" s="85">
        <f>'AUDIT HK'!AF123</f>
        <v>10</v>
      </c>
      <c r="J29" s="85">
        <v>10</v>
      </c>
      <c r="K29" s="85">
        <f>'AUDIT HK'!AR123</f>
        <v>8</v>
      </c>
      <c r="L29" s="85">
        <v>10</v>
      </c>
      <c r="M29" s="85">
        <f>'AUDIT HK'!BD123</f>
        <v>10</v>
      </c>
      <c r="N29" s="85">
        <f>'AUDIT HK'!BJ123</f>
        <v>7</v>
      </c>
      <c r="O29" s="85">
        <f>'AUDIT HK'!BP123</f>
        <v>5</v>
      </c>
      <c r="P29" s="85">
        <v>10</v>
      </c>
      <c r="Q29" s="85">
        <f>'AUDIT HK'!CB123</f>
        <v>0</v>
      </c>
      <c r="R29" s="85">
        <f>'AUDIT HK'!CH123</f>
        <v>0</v>
      </c>
      <c r="S29" s="80" t="s">
        <v>18</v>
      </c>
      <c r="T29" s="97">
        <f t="shared" si="1"/>
        <v>1.9230769230769232E-2</v>
      </c>
      <c r="U29" s="97">
        <f t="shared" si="2"/>
        <v>3.8461538461538464E-2</v>
      </c>
      <c r="V29" s="97">
        <f t="shared" si="3"/>
        <v>3.0769230769230771E-2</v>
      </c>
      <c r="W29" s="97">
        <f t="shared" si="4"/>
        <v>3.8461538461538464E-2</v>
      </c>
      <c r="X29" s="97">
        <f t="shared" si="5"/>
        <v>3.8461538461538464E-2</v>
      </c>
      <c r="Y29" s="97">
        <f t="shared" si="6"/>
        <v>3.8461538461538464E-2</v>
      </c>
      <c r="Z29" s="97">
        <f t="shared" si="7"/>
        <v>3.0769230769230771E-2</v>
      </c>
      <c r="AA29" s="97">
        <f t="shared" si="8"/>
        <v>3.8461538461538464E-2</v>
      </c>
      <c r="AB29" s="97">
        <f t="shared" si="9"/>
        <v>3.8461538461538464E-2</v>
      </c>
      <c r="AC29" s="97">
        <f t="shared" si="10"/>
        <v>2.6923076923076925E-2</v>
      </c>
      <c r="AD29" s="97">
        <f t="shared" si="11"/>
        <v>1.9230769230769232E-2</v>
      </c>
      <c r="AE29" s="97">
        <f t="shared" si="12"/>
        <v>3.8461538461538464E-2</v>
      </c>
      <c r="AF29" s="97">
        <f t="shared" si="13"/>
        <v>0</v>
      </c>
      <c r="AG29" s="97">
        <f t="shared" si="14"/>
        <v>0</v>
      </c>
      <c r="AH29" s="80" t="s">
        <v>18</v>
      </c>
      <c r="AI29" s="85">
        <f>COUNTIF('AUDIT HK'!$G$123:$G$127,"=1")</f>
        <v>1</v>
      </c>
      <c r="AJ29" s="85">
        <f>COUNTIF('AUDIT HK'!$M$123:$M$127,"=1")</f>
        <v>0</v>
      </c>
      <c r="AK29" s="85">
        <f>COUNTIF('AUDIT HK'!$S$123:$S$127,"=1")</f>
        <v>2</v>
      </c>
      <c r="AL29" s="85">
        <f>COUNTIF('AUDIT HK'!$Y$123:$Y$127,"=1")</f>
        <v>3</v>
      </c>
      <c r="AM29" s="85">
        <f>COUNTIF('AUDIT HK'!$AE$123:$AE$127,"=1")</f>
        <v>0</v>
      </c>
      <c r="AN29" s="85">
        <f>COUNTIF('AUDIT HK'!$AK$123:$AK$127,"=1")</f>
        <v>2</v>
      </c>
      <c r="AO29" s="85">
        <f>COUNTIF('AUDIT HK'!$AQ$123:$AQ$127,"=1")</f>
        <v>2</v>
      </c>
      <c r="AP29" s="85">
        <f>COUNTIF('AUDIT HK'!$AX$123:$AX$127,"=1")</f>
        <v>0</v>
      </c>
      <c r="AQ29" s="85">
        <f>COUNTIF('AUDIT HK'!$BC$123:$BC$127,"=1")</f>
        <v>0</v>
      </c>
      <c r="AR29" s="85">
        <f>COUNTIF('AUDIT HK'!$BI$123:$BI$127,"=1")</f>
        <v>1</v>
      </c>
      <c r="AS29" s="85">
        <f>COUNTIF('AUDIT HK'!$BO$123:$BO$127,"=1")</f>
        <v>0</v>
      </c>
      <c r="AT29" s="85">
        <f>COUNTIF('AUDIT HK'!$BU$123:$BU$127,"=1")</f>
        <v>0</v>
      </c>
      <c r="AU29" s="85">
        <f>COUNTIF('AUDIT HK'!$CA$123:$CA$127,"=1")</f>
        <v>0</v>
      </c>
      <c r="AV29" s="85">
        <f>COUNTIF('AUDIT HK'!$CG$123:$CG$127,"=1")</f>
        <v>0</v>
      </c>
      <c r="AW29" s="80" t="s">
        <v>18</v>
      </c>
      <c r="AX29" s="85">
        <f>COUNTIF('AUDIT HK'!$G$123:$G$127,"=0")</f>
        <v>2</v>
      </c>
      <c r="AY29" s="85">
        <f>COUNTIF('AUDIT HK'!$M$123:$M$127,"=0")</f>
        <v>1</v>
      </c>
      <c r="AZ29" s="85">
        <f>COUNTIF('AUDIT HK'!$S$123:$S$127,"=0")</f>
        <v>0</v>
      </c>
      <c r="BA29" s="85">
        <f>COUNTIF('AUDIT HK'!$Y$123:$Y$127,"=0")</f>
        <v>1</v>
      </c>
      <c r="BB29" s="85">
        <f>COUNTIF('AUDIT HK'!$AE$123:$AE$127,"=0")</f>
        <v>0</v>
      </c>
      <c r="BC29" s="85">
        <f>COUNTIF('AUDIT HK'!$AK$123:$AK$127,"=0")</f>
        <v>1</v>
      </c>
      <c r="BD29" s="85">
        <f>COUNTIF('AUDIT HK'!$AQ$123:$AQ$127,"=0")</f>
        <v>0</v>
      </c>
      <c r="BE29" s="85">
        <f>COUNTIF('AUDIT HK'!$AX$123:$AX$127,"=0")</f>
        <v>0</v>
      </c>
      <c r="BF29" s="85">
        <f>COUNTIF('AUDIT HK'!$BC$123:$BC$127,"=0")</f>
        <v>0</v>
      </c>
      <c r="BG29" s="85">
        <f>COUNTIF('AUDIT HK'!$BI$123:$BI$127,"=0")</f>
        <v>1</v>
      </c>
      <c r="BH29" s="85">
        <f>COUNTIF('AUDIT HK'!$BO$123:$BO$127,"=0")</f>
        <v>0</v>
      </c>
      <c r="BI29" s="85">
        <f>COUNTIF('AUDIT HK'!$BU$123:$BU$127,"=0")</f>
        <v>0</v>
      </c>
      <c r="BJ29" s="85">
        <f>COUNTIF('AUDIT HK'!$CA$123:$CA$127,"=0")</f>
        <v>0</v>
      </c>
      <c r="BK29" s="85">
        <f>COUNTIF('AUDIT HK'!$CG$123:$CG$127,"=0")</f>
        <v>0</v>
      </c>
    </row>
    <row r="30" spans="1:63" ht="15.75" customHeight="1" x14ac:dyDescent="0.25">
      <c r="B30" s="116"/>
      <c r="C30">
        <v>14</v>
      </c>
      <c r="D30" s="80" t="s">
        <v>19</v>
      </c>
      <c r="E30" s="85">
        <f>'AUDIT HK'!H128</f>
        <v>13</v>
      </c>
      <c r="F30" s="85">
        <v>14</v>
      </c>
      <c r="G30" s="85">
        <f>'AUDIT HK'!T128</f>
        <v>12</v>
      </c>
      <c r="H30" s="85">
        <v>14</v>
      </c>
      <c r="I30" s="85">
        <f>'AUDIT HK'!AF128</f>
        <v>12</v>
      </c>
      <c r="J30" s="85">
        <v>14</v>
      </c>
      <c r="K30" s="85">
        <f>'AUDIT HK'!AR128</f>
        <v>10</v>
      </c>
      <c r="L30" s="85">
        <v>14</v>
      </c>
      <c r="M30" s="85">
        <f>'AUDIT HK'!BD128</f>
        <v>13</v>
      </c>
      <c r="N30" s="85">
        <f>'AUDIT HK'!BJ128</f>
        <v>12</v>
      </c>
      <c r="O30" s="85">
        <f>'AUDIT HK'!BP128</f>
        <v>12</v>
      </c>
      <c r="P30" s="85">
        <v>14</v>
      </c>
      <c r="Q30" s="85">
        <f>'AUDIT HK'!CB128</f>
        <v>0</v>
      </c>
      <c r="R30" s="85">
        <f>'AUDIT HK'!CH128</f>
        <v>0</v>
      </c>
      <c r="S30" s="80" t="s">
        <v>19</v>
      </c>
      <c r="T30" s="97">
        <f t="shared" si="1"/>
        <v>0.05</v>
      </c>
      <c r="U30" s="97">
        <f t="shared" si="2"/>
        <v>5.3846153846153849E-2</v>
      </c>
      <c r="V30" s="97">
        <f t="shared" si="3"/>
        <v>4.6153846153846156E-2</v>
      </c>
      <c r="W30" s="97">
        <f t="shared" si="4"/>
        <v>5.3846153846153849E-2</v>
      </c>
      <c r="X30" s="97">
        <f t="shared" si="5"/>
        <v>4.6153846153846156E-2</v>
      </c>
      <c r="Y30" s="97">
        <f t="shared" si="6"/>
        <v>5.3846153846153849E-2</v>
      </c>
      <c r="Z30" s="97">
        <f t="shared" si="7"/>
        <v>3.8461538461538464E-2</v>
      </c>
      <c r="AA30" s="97">
        <f t="shared" si="8"/>
        <v>5.3846153846153849E-2</v>
      </c>
      <c r="AB30" s="97">
        <f t="shared" si="9"/>
        <v>0.05</v>
      </c>
      <c r="AC30" s="97">
        <f t="shared" si="10"/>
        <v>4.6153846153846156E-2</v>
      </c>
      <c r="AD30" s="97">
        <f t="shared" si="11"/>
        <v>4.6153846153846156E-2</v>
      </c>
      <c r="AE30" s="97">
        <f t="shared" si="12"/>
        <v>5.3846153846153849E-2</v>
      </c>
      <c r="AF30" s="97">
        <f t="shared" si="13"/>
        <v>0</v>
      </c>
      <c r="AG30" s="97">
        <f t="shared" si="14"/>
        <v>0</v>
      </c>
      <c r="AH30" s="80" t="s">
        <v>19</v>
      </c>
      <c r="AI30" s="85">
        <f>COUNTIF('AUDIT HK'!$G$128:$G$134,"=1")</f>
        <v>1</v>
      </c>
      <c r="AJ30" s="85">
        <f>COUNTIF('AUDIT HK'!$M$128:$M$134,"=1")</f>
        <v>0</v>
      </c>
      <c r="AK30" s="85">
        <f>COUNTIF('AUDIT HK'!$S$128:$S$134,"=1")</f>
        <v>2</v>
      </c>
      <c r="AL30" s="85">
        <f>COUNTIF('AUDIT HK'!$Y$128:$Y$134,"=1")</f>
        <v>0</v>
      </c>
      <c r="AM30" s="85">
        <f>COUNTIF('AUDIT HK'!$AE$128:$AE$134,"=1")</f>
        <v>0</v>
      </c>
      <c r="AN30" s="85">
        <f>COUNTIF('AUDIT HK'!$AK$128:$AK$134,"=1")</f>
        <v>2</v>
      </c>
      <c r="AO30" s="85">
        <f>COUNTIF('AUDIT HK'!$AQ$128:$AQ$134,"=1")</f>
        <v>2</v>
      </c>
      <c r="AP30" s="85">
        <f>COUNTIF('AUDIT HK'!$AX$128:$AX$134,"=1")</f>
        <v>0</v>
      </c>
      <c r="AQ30" s="85">
        <f>COUNTIF('AUDIT HK'!$BC$128:$BC$134,"=1")</f>
        <v>1</v>
      </c>
      <c r="AR30" s="85">
        <f>COUNTIF('AUDIT HK'!$BI$128:$BI$134,"=1")</f>
        <v>2</v>
      </c>
      <c r="AS30" s="85">
        <f>COUNTIF('AUDIT HK'!$BO$128:$BO$134,"=1")</f>
        <v>0</v>
      </c>
      <c r="AT30" s="85">
        <f>COUNTIF('AUDIT HK'!$BU$128:$BU$134,"=1")</f>
        <v>0</v>
      </c>
      <c r="AU30" s="85">
        <f>COUNTIF('AUDIT HK'!$CA$128:$CA$134,"=1")</f>
        <v>0</v>
      </c>
      <c r="AV30" s="85">
        <f>COUNTIF('AUDIT HK'!$CG$128:$CG$134,"=1")</f>
        <v>0</v>
      </c>
      <c r="AW30" s="80" t="s">
        <v>19</v>
      </c>
      <c r="AX30" s="85">
        <f>COUNTIF('AUDIT HK'!$G$128:$G$134,"=0")</f>
        <v>0</v>
      </c>
      <c r="AY30" s="85">
        <f>COUNTIF('AUDIT HK'!$M$128:$M$134,"=0")</f>
        <v>1</v>
      </c>
      <c r="AZ30" s="85">
        <f>COUNTIF('AUDIT HK'!$S$128:$S$134,"=0")</f>
        <v>0</v>
      </c>
      <c r="BA30" s="85">
        <f>COUNTIF('AUDIT HK'!$Y$128:$Y$134,"=0")</f>
        <v>0</v>
      </c>
      <c r="BB30" s="85">
        <f>COUNTIF('AUDIT HK'!$AE$128:$AE$134,"=0")</f>
        <v>0</v>
      </c>
      <c r="BC30" s="85">
        <f>COUNTIF('AUDIT HK'!$AK$128:$AK$134,"=0")</f>
        <v>0</v>
      </c>
      <c r="BD30" s="85">
        <f>COUNTIF('AUDIT HK'!$AQ$128:$AQ$134,"=0")</f>
        <v>1</v>
      </c>
      <c r="BE30" s="85">
        <f>COUNTIF('AUDIT HK'!$AX$128:$AX$134,"=0")</f>
        <v>0</v>
      </c>
      <c r="BF30" s="85">
        <f>COUNTIF('AUDIT HK'!$BC$128:$BC$134,"=0")</f>
        <v>0</v>
      </c>
      <c r="BG30" s="85">
        <f>COUNTIF('AUDIT HK'!$BI$128:$BI$134,"=0")</f>
        <v>0</v>
      </c>
      <c r="BH30" s="85">
        <f>COUNTIF('AUDIT HK'!$BO$128:$BO$134,"=0")</f>
        <v>0</v>
      </c>
      <c r="BI30" s="85">
        <f>COUNTIF('AUDIT HK'!$BU$128:$BU$134,"=0")</f>
        <v>0</v>
      </c>
      <c r="BJ30" s="85">
        <f>COUNTIF('AUDIT HK'!$CA$128:$CA$134,"=0")</f>
        <v>0</v>
      </c>
      <c r="BK30" s="85">
        <f>COUNTIF('AUDIT HK'!$CG$128:$CG$134,"=0")</f>
        <v>0</v>
      </c>
    </row>
    <row r="31" spans="1:63" ht="15.75" thickBot="1" x14ac:dyDescent="0.3">
      <c r="B31" s="116"/>
      <c r="C31">
        <v>10</v>
      </c>
      <c r="D31" s="81" t="s">
        <v>20</v>
      </c>
      <c r="E31" s="85">
        <f>'AUDIT HK'!H135</f>
        <v>10</v>
      </c>
      <c r="F31" s="85">
        <v>10</v>
      </c>
      <c r="G31" s="85">
        <f>'AUDIT HK'!T135</f>
        <v>10</v>
      </c>
      <c r="H31" s="85">
        <v>10</v>
      </c>
      <c r="I31" s="85">
        <f>'AUDIT HK'!AF135</f>
        <v>10</v>
      </c>
      <c r="J31" s="85">
        <v>10</v>
      </c>
      <c r="K31" s="85">
        <f>'AUDIT HK'!AR135</f>
        <v>10</v>
      </c>
      <c r="L31" s="85">
        <v>10</v>
      </c>
      <c r="M31" s="85">
        <f>'AUDIT HK'!BD135</f>
        <v>10</v>
      </c>
      <c r="N31" s="85">
        <f>'AUDIT HK'!BJ135</f>
        <v>8</v>
      </c>
      <c r="O31" s="85">
        <f>'AUDIT HK'!BP135</f>
        <v>10</v>
      </c>
      <c r="P31" s="85">
        <v>10</v>
      </c>
      <c r="Q31" s="85">
        <f>'AUDIT HK'!CB135</f>
        <v>0</v>
      </c>
      <c r="R31" s="85">
        <f>'AUDIT HK'!CH135</f>
        <v>0</v>
      </c>
      <c r="S31" s="81" t="s">
        <v>20</v>
      </c>
      <c r="T31" s="98">
        <f t="shared" si="1"/>
        <v>3.8461538461538464E-2</v>
      </c>
      <c r="U31" s="98">
        <f t="shared" si="2"/>
        <v>3.8461538461538464E-2</v>
      </c>
      <c r="V31" s="98">
        <f t="shared" si="3"/>
        <v>3.8461538461538464E-2</v>
      </c>
      <c r="W31" s="98">
        <f t="shared" si="4"/>
        <v>3.8461538461538464E-2</v>
      </c>
      <c r="X31" s="98">
        <f t="shared" si="5"/>
        <v>3.8461538461538464E-2</v>
      </c>
      <c r="Y31" s="98">
        <f t="shared" si="6"/>
        <v>3.8461538461538464E-2</v>
      </c>
      <c r="Z31" s="98">
        <f t="shared" si="7"/>
        <v>3.8461538461538464E-2</v>
      </c>
      <c r="AA31" s="98">
        <f t="shared" si="8"/>
        <v>3.8461538461538464E-2</v>
      </c>
      <c r="AB31" s="98">
        <f t="shared" si="9"/>
        <v>3.8461538461538464E-2</v>
      </c>
      <c r="AC31" s="98">
        <f t="shared" si="10"/>
        <v>3.0769230769230771E-2</v>
      </c>
      <c r="AD31" s="98">
        <f t="shared" si="11"/>
        <v>3.8461538461538464E-2</v>
      </c>
      <c r="AE31" s="98">
        <f t="shared" si="12"/>
        <v>3.8461538461538464E-2</v>
      </c>
      <c r="AF31" s="98">
        <f t="shared" si="13"/>
        <v>0</v>
      </c>
      <c r="AG31" s="98">
        <f t="shared" si="14"/>
        <v>0</v>
      </c>
      <c r="AH31" s="81" t="s">
        <v>20</v>
      </c>
      <c r="AI31" s="85">
        <f>COUNTIF('AUDIT HK'!$G$135:$G$139,"=1")</f>
        <v>0</v>
      </c>
      <c r="AJ31" s="85">
        <f>COUNTIF('AUDIT HK'!$M$135:$M$139,"=1")</f>
        <v>0</v>
      </c>
      <c r="AK31" s="85">
        <f>COUNTIF('AUDIT HK'!$S$135:$S$139,"=1")</f>
        <v>0</v>
      </c>
      <c r="AL31" s="85">
        <f>COUNTIF('AUDIT HK'!$Y$135:$Y$139,"=1")</f>
        <v>0</v>
      </c>
      <c r="AM31" s="85">
        <f>COUNTIF('AUDIT HK'!$AE$135:$AE$139,"=1")</f>
        <v>0</v>
      </c>
      <c r="AN31" s="85">
        <f>COUNTIF('AUDIT HK'!$AK$135:$AK$139,"=1")</f>
        <v>0</v>
      </c>
      <c r="AO31" s="85">
        <f>COUNTIF('AUDIT HK'!$AQ$135:$AQ$139,"=1")</f>
        <v>0</v>
      </c>
      <c r="AP31" s="85">
        <f>COUNTIF('AUDIT HK'!$AX$135:$AX$139,"=1")</f>
        <v>0</v>
      </c>
      <c r="AQ31" s="85">
        <f>COUNTIF('AUDIT HK'!$BC$135:$BC$139,"=1")</f>
        <v>0</v>
      </c>
      <c r="AR31" s="85">
        <f>COUNTIF('AUDIT HK'!$BI$135:$BI$139,"=1")</f>
        <v>0</v>
      </c>
      <c r="AS31" s="85">
        <f>COUNTIF('AUDIT HK'!$BO$135:$BO$139,"=1")</f>
        <v>0</v>
      </c>
      <c r="AT31" s="85">
        <f>COUNTIF('AUDIT HK'!$BU$135:$BU$139,"=1")</f>
        <v>0</v>
      </c>
      <c r="AU31" s="85">
        <f>COUNTIF('AUDIT HK'!$CA$135:$CA$139,"=1")</f>
        <v>0</v>
      </c>
      <c r="AV31" s="85">
        <f>COUNTIF('AUDIT HK'!$CG$135:$CG$139,"=1")</f>
        <v>0</v>
      </c>
      <c r="AW31" s="81" t="s">
        <v>20</v>
      </c>
      <c r="AX31" s="85">
        <f>COUNTIF('AUDIT HK'!$G$135:$G$139,"=0")</f>
        <v>0</v>
      </c>
      <c r="AY31" s="85">
        <f>COUNTIF('AUDIT HK'!$M$135:$M$139,"=0")</f>
        <v>0</v>
      </c>
      <c r="AZ31" s="85">
        <f>COUNTIF('AUDIT HK'!$S$135:$S$139,"=0")</f>
        <v>0</v>
      </c>
      <c r="BA31" s="85">
        <f>COUNTIF('AUDIT HK'!$Y$135:$Y$139,"=0")</f>
        <v>0</v>
      </c>
      <c r="BB31" s="85">
        <f>COUNTIF('AUDIT HK'!$AE$135:$AE$139,"=0")</f>
        <v>0</v>
      </c>
      <c r="BC31" s="85">
        <f>COUNTIF('AUDIT HK'!$AK$135:$AK$139,"=0")</f>
        <v>0</v>
      </c>
      <c r="BD31" s="85">
        <f>COUNTIF('AUDIT HK'!$AQ$135:$AQ$139,"=0")</f>
        <v>0</v>
      </c>
      <c r="BE31" s="85">
        <f>COUNTIF('AUDIT HK'!$AX$135:$AX$139,"=0")</f>
        <v>0</v>
      </c>
      <c r="BF31" s="85">
        <f>COUNTIF('AUDIT HK'!$BC$135:$BC$139,"=0")</f>
        <v>0</v>
      </c>
      <c r="BG31" s="85">
        <f>COUNTIF('AUDIT HK'!$BI$135:$BI$139,"=0")</f>
        <v>0</v>
      </c>
      <c r="BH31" s="85">
        <f>COUNTIF('AUDIT HK'!$BO$135:$BO$139,"=0")</f>
        <v>0</v>
      </c>
      <c r="BI31" s="85">
        <f>COUNTIF('AUDIT HK'!$BU$135:$BU$139,"=0")</f>
        <v>0</v>
      </c>
      <c r="BJ31" s="85">
        <f>COUNTIF('AUDIT HK'!$CA$135:$CA$139,"=0")</f>
        <v>0</v>
      </c>
      <c r="BK31" s="85">
        <f>COUNTIF('AUDIT HK'!$CG$135:$CG$139,"=0")</f>
        <v>0</v>
      </c>
    </row>
    <row r="32" spans="1:63" ht="15.75" thickBot="1" x14ac:dyDescent="0.3">
      <c r="B32" s="116"/>
      <c r="C32">
        <v>6</v>
      </c>
      <c r="D32" s="81" t="s">
        <v>1194</v>
      </c>
      <c r="E32" s="85">
        <f>'AUDIT HK'!H140</f>
        <v>6</v>
      </c>
      <c r="F32" s="85">
        <v>6</v>
      </c>
      <c r="G32" s="85">
        <f>'AUDIT HK'!T140</f>
        <v>6</v>
      </c>
      <c r="H32" s="85">
        <v>6</v>
      </c>
      <c r="I32" s="85">
        <f>'AUDIT HK'!AF140</f>
        <v>6</v>
      </c>
      <c r="J32" s="85">
        <v>6</v>
      </c>
      <c r="K32" s="85">
        <f>'AUDIT HK'!AR140</f>
        <v>6</v>
      </c>
      <c r="L32" s="85">
        <v>6</v>
      </c>
      <c r="M32" s="85">
        <f>'AUDIT HK'!BD140</f>
        <v>6</v>
      </c>
      <c r="N32" s="85">
        <f>'AUDIT HK'!BJ140</f>
        <v>6</v>
      </c>
      <c r="O32" s="85">
        <f>'AUDIT HK'!BP140</f>
        <v>6</v>
      </c>
      <c r="P32" s="85">
        <v>6</v>
      </c>
      <c r="Q32" s="85">
        <f>'AUDIT HK'!CB140</f>
        <v>0</v>
      </c>
      <c r="R32" s="85">
        <f>'AUDIT HK'!CH140</f>
        <v>0</v>
      </c>
      <c r="S32" s="81" t="s">
        <v>1194</v>
      </c>
      <c r="T32" s="98">
        <f t="shared" si="1"/>
        <v>2.3076923076923078E-2</v>
      </c>
      <c r="U32" s="98">
        <f t="shared" si="2"/>
        <v>2.3076923076923078E-2</v>
      </c>
      <c r="V32" s="98">
        <f t="shared" si="3"/>
        <v>2.3076923076923078E-2</v>
      </c>
      <c r="W32" s="98">
        <f t="shared" si="4"/>
        <v>2.3076923076923078E-2</v>
      </c>
      <c r="X32" s="98">
        <f t="shared" si="5"/>
        <v>2.3076923076923078E-2</v>
      </c>
      <c r="Y32" s="98">
        <f t="shared" si="6"/>
        <v>2.3076923076923078E-2</v>
      </c>
      <c r="Z32" s="98">
        <f t="shared" si="7"/>
        <v>2.3076923076923078E-2</v>
      </c>
      <c r="AA32" s="98">
        <f t="shared" si="8"/>
        <v>2.3076923076923078E-2</v>
      </c>
      <c r="AB32" s="98">
        <f t="shared" si="9"/>
        <v>2.3076923076923078E-2</v>
      </c>
      <c r="AC32" s="98">
        <f t="shared" si="10"/>
        <v>2.3076923076923078E-2</v>
      </c>
      <c r="AD32" s="98">
        <f t="shared" si="11"/>
        <v>2.3076923076923078E-2</v>
      </c>
      <c r="AE32" s="98">
        <f t="shared" si="12"/>
        <v>2.3076923076923078E-2</v>
      </c>
      <c r="AF32" s="98">
        <f t="shared" si="13"/>
        <v>0</v>
      </c>
      <c r="AG32" s="98">
        <f t="shared" si="14"/>
        <v>0</v>
      </c>
      <c r="AH32" s="81" t="s">
        <v>1194</v>
      </c>
      <c r="AI32" s="85">
        <f>COUNTIF('AUDIT HK'!$G$140:$G$142,"=1")</f>
        <v>0</v>
      </c>
      <c r="AJ32" s="85">
        <f>COUNTIF('AUDIT HK'!$M$140:$M$142,"=1")</f>
        <v>0</v>
      </c>
      <c r="AK32" s="85">
        <f>COUNTIF('AUDIT HK'!$S$140:$S$142,"=1")</f>
        <v>0</v>
      </c>
      <c r="AL32" s="85">
        <f>COUNTIF('AUDIT HK'!$Y$140:$Y$142,"=1")</f>
        <v>0</v>
      </c>
      <c r="AM32" s="85">
        <f>COUNTIF('AUDIT HK'!$AE$140:$AE$142,"=1")</f>
        <v>0</v>
      </c>
      <c r="AN32" s="85">
        <f>COUNTIF('AUDIT HK'!$AK$140:$AK$142,"=1")</f>
        <v>0</v>
      </c>
      <c r="AO32" s="85">
        <f>COUNTIF('AUDIT HK'!$AQ$140:$AQ$142,"=1")</f>
        <v>0</v>
      </c>
      <c r="AP32" s="85">
        <f>COUNTIF('AUDIT HK'!$AX$140:$AX$142,"=1")</f>
        <v>0</v>
      </c>
      <c r="AQ32" s="85">
        <f>COUNTIF('AUDIT HK'!$BC$140:$BC$142,"=1")</f>
        <v>0</v>
      </c>
      <c r="AR32" s="85">
        <f>COUNTIF('AUDIT HK'!$BI$140:$BI$142,"=1")</f>
        <v>0</v>
      </c>
      <c r="AS32" s="85">
        <f>COUNTIF('AUDIT HK'!$BO$140:$BO$142,"=1")</f>
        <v>0</v>
      </c>
      <c r="AT32" s="85">
        <f>COUNTIF('AUDIT HK'!$BU$140:$BU$142,"=1")</f>
        <v>0</v>
      </c>
      <c r="AU32" s="85">
        <f>COUNTIF('AUDIT HK'!$CA$140:$CA$142,"=1")</f>
        <v>0</v>
      </c>
      <c r="AV32" s="85">
        <f>COUNTIF('AUDIT HK'!$CG$140:$CG$142,"=1")</f>
        <v>0</v>
      </c>
      <c r="AW32" s="81" t="s">
        <v>1194</v>
      </c>
      <c r="AX32" s="85">
        <f>COUNTIF('AUDIT HK'!$G$140:$G$142,"=0")</f>
        <v>0</v>
      </c>
      <c r="AY32" s="85">
        <f>COUNTIF('AUDIT HK'!$M$140:$M$142,"=0")</f>
        <v>0</v>
      </c>
      <c r="AZ32" s="85">
        <f>COUNTIF('AUDIT HK'!$S$140:$S$142,"=0")</f>
        <v>0</v>
      </c>
      <c r="BA32" s="85">
        <f>COUNTIF('AUDIT HK'!$Y$140:$Y$142,"=0")</f>
        <v>0</v>
      </c>
      <c r="BB32" s="85">
        <f>COUNTIF('AUDIT HK'!$AE$140:$AE$142,"=0")</f>
        <v>0</v>
      </c>
      <c r="BC32" s="85">
        <f>COUNTIF('AUDIT HK'!$AK$140:$AK$142,"=0")</f>
        <v>0</v>
      </c>
      <c r="BD32" s="85">
        <f>COUNTIF('AUDIT HK'!$AQ$140:$AQ$142,"=0")</f>
        <v>0</v>
      </c>
      <c r="BE32" s="85">
        <f>COUNTIF('AUDIT HK'!$AX$140:$AX$142,"=0")</f>
        <v>0</v>
      </c>
      <c r="BF32" s="85">
        <f>COUNTIF('AUDIT HK'!$BC$140:$BC$142,"=0")</f>
        <v>0</v>
      </c>
      <c r="BG32" s="85">
        <f>COUNTIF('AUDIT HK'!$BI$140:$BI$142,"=0")</f>
        <v>0</v>
      </c>
      <c r="BH32" s="85">
        <f>COUNTIF('AUDIT HK'!$BO$140:$BO$142,"=0")</f>
        <v>0</v>
      </c>
      <c r="BI32" s="85">
        <f>COUNTIF('AUDIT HK'!$BU$140:$BU$142,"=0")</f>
        <v>0</v>
      </c>
      <c r="BJ32" s="85">
        <f>COUNTIF('AUDIT HK'!$CA$140:$CA$142,"=0")</f>
        <v>0</v>
      </c>
      <c r="BK32" s="85">
        <f>COUNTIF('AUDIT HK'!$CG$140:$CG$142,"=0")</f>
        <v>0</v>
      </c>
    </row>
    <row r="33" spans="3:63" ht="15" customHeight="1" thickBot="1" x14ac:dyDescent="0.3">
      <c r="C33">
        <v>38</v>
      </c>
      <c r="D33" s="67" t="str">
        <f>'AUDIT HK'!$B$143</f>
        <v>F. Exteriores</v>
      </c>
      <c r="E33" s="31">
        <f>SUM(E34:E37)</f>
        <v>36</v>
      </c>
      <c r="F33" s="31">
        <f t="shared" ref="F33:AI33" si="109">SUM(F34:F37)</f>
        <v>36</v>
      </c>
      <c r="G33" s="31">
        <f t="shared" si="109"/>
        <v>34</v>
      </c>
      <c r="H33" s="31">
        <f t="shared" si="109"/>
        <v>37</v>
      </c>
      <c r="I33" s="31">
        <f t="shared" si="109"/>
        <v>35</v>
      </c>
      <c r="J33" s="31">
        <f t="shared" si="109"/>
        <v>33</v>
      </c>
      <c r="K33" s="31">
        <f t="shared" si="109"/>
        <v>36</v>
      </c>
      <c r="L33" s="31">
        <f t="shared" si="109"/>
        <v>38</v>
      </c>
      <c r="M33" s="31">
        <f t="shared" si="109"/>
        <v>38</v>
      </c>
      <c r="N33" s="31">
        <f t="shared" si="109"/>
        <v>36</v>
      </c>
      <c r="O33" s="31">
        <f t="shared" si="109"/>
        <v>33</v>
      </c>
      <c r="P33" s="31">
        <f t="shared" si="109"/>
        <v>34</v>
      </c>
      <c r="Q33" s="31">
        <f t="shared" ref="Q33:R33" si="110">SUM(Q34:Q37)</f>
        <v>0</v>
      </c>
      <c r="R33" s="31">
        <f t="shared" si="110"/>
        <v>0</v>
      </c>
      <c r="S33" s="67" t="str">
        <f>'AUDIT HK'!$B$143</f>
        <v>F. Exteriores</v>
      </c>
      <c r="T33" s="91">
        <f t="shared" si="1"/>
        <v>0.13846153846153847</v>
      </c>
      <c r="U33" s="91">
        <f t="shared" si="2"/>
        <v>0.13846153846153847</v>
      </c>
      <c r="V33" s="91">
        <f t="shared" si="3"/>
        <v>0.13076923076923078</v>
      </c>
      <c r="W33" s="91">
        <f t="shared" si="4"/>
        <v>0.1423076923076923</v>
      </c>
      <c r="X33" s="91">
        <f t="shared" si="5"/>
        <v>0.13461538461538461</v>
      </c>
      <c r="Y33" s="91">
        <f t="shared" si="6"/>
        <v>0.12692307692307692</v>
      </c>
      <c r="Z33" s="91">
        <f t="shared" si="7"/>
        <v>0.13846153846153847</v>
      </c>
      <c r="AA33" s="91">
        <f t="shared" si="8"/>
        <v>0.14615384615384616</v>
      </c>
      <c r="AB33" s="91">
        <f t="shared" si="9"/>
        <v>0.14615384615384616</v>
      </c>
      <c r="AC33" s="91">
        <f t="shared" si="10"/>
        <v>0.13846153846153847</v>
      </c>
      <c r="AD33" s="91">
        <f t="shared" si="11"/>
        <v>0.12692307692307692</v>
      </c>
      <c r="AE33" s="91">
        <f t="shared" si="12"/>
        <v>0.13076923076923078</v>
      </c>
      <c r="AF33" s="91">
        <f t="shared" si="13"/>
        <v>0</v>
      </c>
      <c r="AG33" s="91">
        <f t="shared" si="14"/>
        <v>0</v>
      </c>
      <c r="AH33" s="67" t="str">
        <f>'AUDIT HK'!$B$143</f>
        <v>F. Exteriores</v>
      </c>
      <c r="AI33" s="31">
        <f t="shared" si="109"/>
        <v>2</v>
      </c>
      <c r="AJ33" s="31">
        <f t="shared" ref="AJ33:AV33" si="111">SUM(AJ34:AJ37)</f>
        <v>2</v>
      </c>
      <c r="AK33" s="31">
        <f t="shared" si="111"/>
        <v>4</v>
      </c>
      <c r="AL33" s="31">
        <f t="shared" si="111"/>
        <v>1</v>
      </c>
      <c r="AM33" s="31">
        <f t="shared" si="111"/>
        <v>1</v>
      </c>
      <c r="AN33" s="31">
        <f t="shared" si="111"/>
        <v>5</v>
      </c>
      <c r="AO33" s="31">
        <f t="shared" si="111"/>
        <v>2</v>
      </c>
      <c r="AP33" s="31">
        <f t="shared" si="111"/>
        <v>0</v>
      </c>
      <c r="AQ33" s="31">
        <f t="shared" si="111"/>
        <v>0</v>
      </c>
      <c r="AR33" s="31">
        <f t="shared" si="111"/>
        <v>2</v>
      </c>
      <c r="AS33" s="31">
        <f t="shared" si="111"/>
        <v>0</v>
      </c>
      <c r="AT33" s="31">
        <f t="shared" si="111"/>
        <v>0</v>
      </c>
      <c r="AU33" s="31">
        <f t="shared" si="111"/>
        <v>0</v>
      </c>
      <c r="AV33" s="31">
        <f t="shared" si="111"/>
        <v>0</v>
      </c>
      <c r="AW33" s="67" t="str">
        <f>'AUDIT HK'!$B$143</f>
        <v>F. Exteriores</v>
      </c>
      <c r="AX33" s="31">
        <f t="shared" ref="AX33:BK33" si="112">SUM(AX34:AX37)</f>
        <v>0</v>
      </c>
      <c r="AY33" s="31">
        <f t="shared" si="112"/>
        <v>0</v>
      </c>
      <c r="AZ33" s="31">
        <f t="shared" si="112"/>
        <v>0</v>
      </c>
      <c r="BA33" s="31">
        <f t="shared" si="112"/>
        <v>0</v>
      </c>
      <c r="BB33" s="31">
        <f t="shared" si="112"/>
        <v>1</v>
      </c>
      <c r="BC33" s="31">
        <f t="shared" si="112"/>
        <v>0</v>
      </c>
      <c r="BD33" s="31">
        <f t="shared" si="112"/>
        <v>0</v>
      </c>
      <c r="BE33" s="31">
        <f t="shared" si="112"/>
        <v>0</v>
      </c>
      <c r="BF33" s="31">
        <f t="shared" si="112"/>
        <v>0</v>
      </c>
      <c r="BG33" s="31">
        <f t="shared" si="112"/>
        <v>0</v>
      </c>
      <c r="BH33" s="31">
        <f t="shared" si="112"/>
        <v>0</v>
      </c>
      <c r="BI33" s="31">
        <f t="shared" si="112"/>
        <v>0</v>
      </c>
      <c r="BJ33" s="31">
        <f t="shared" si="112"/>
        <v>0</v>
      </c>
      <c r="BK33" s="31">
        <f t="shared" si="112"/>
        <v>0</v>
      </c>
    </row>
    <row r="34" spans="3:63" x14ac:dyDescent="0.25">
      <c r="C34">
        <v>8</v>
      </c>
      <c r="D34" s="79" t="s">
        <v>16</v>
      </c>
      <c r="E34" s="85">
        <f>'AUDIT HK'!H144</f>
        <v>8</v>
      </c>
      <c r="F34" s="85">
        <f>'AUDIT HK'!N144</f>
        <v>7</v>
      </c>
      <c r="G34" s="85">
        <f>'AUDIT HK'!T144</f>
        <v>7</v>
      </c>
      <c r="H34" s="85">
        <f>'AUDIT HK'!Z144</f>
        <v>8</v>
      </c>
      <c r="I34" s="85">
        <f>'AUDIT HK'!AF144</f>
        <v>8</v>
      </c>
      <c r="J34" s="85">
        <f>'AUDIT HK'!AL144</f>
        <v>6</v>
      </c>
      <c r="K34" s="85">
        <f>'AUDIT HK'!AR144</f>
        <v>8</v>
      </c>
      <c r="L34" s="85">
        <f>'AUDIT HK'!AX144</f>
        <v>8</v>
      </c>
      <c r="M34" s="85">
        <f>'AUDIT HK'!BD144</f>
        <v>8</v>
      </c>
      <c r="N34" s="85">
        <f>'AUDIT HK'!BJ144</f>
        <v>8</v>
      </c>
      <c r="O34" s="85">
        <f>'AUDIT HK'!BP144</f>
        <v>8</v>
      </c>
      <c r="P34" s="85">
        <f>'AUDIT HK'!BV144</f>
        <v>6</v>
      </c>
      <c r="Q34" s="85">
        <f>'AUDIT HK'!CB144</f>
        <v>0</v>
      </c>
      <c r="R34" s="85">
        <f>'AUDIT HK'!CH144</f>
        <v>0</v>
      </c>
      <c r="S34" s="79" t="s">
        <v>16</v>
      </c>
      <c r="T34" s="92">
        <f t="shared" si="1"/>
        <v>3.0769230769230771E-2</v>
      </c>
      <c r="U34" s="92">
        <f t="shared" si="2"/>
        <v>2.6923076923076925E-2</v>
      </c>
      <c r="V34" s="92">
        <f t="shared" si="3"/>
        <v>2.6923076923076925E-2</v>
      </c>
      <c r="W34" s="92">
        <f t="shared" si="4"/>
        <v>3.0769230769230771E-2</v>
      </c>
      <c r="X34" s="92">
        <f t="shared" si="5"/>
        <v>3.0769230769230771E-2</v>
      </c>
      <c r="Y34" s="92">
        <f t="shared" si="6"/>
        <v>2.3076923076923078E-2</v>
      </c>
      <c r="Z34" s="92">
        <f t="shared" si="7"/>
        <v>3.0769230769230771E-2</v>
      </c>
      <c r="AA34" s="92">
        <f t="shared" si="8"/>
        <v>3.0769230769230771E-2</v>
      </c>
      <c r="AB34" s="92">
        <f t="shared" si="9"/>
        <v>3.0769230769230771E-2</v>
      </c>
      <c r="AC34" s="92">
        <f t="shared" si="10"/>
        <v>3.0769230769230771E-2</v>
      </c>
      <c r="AD34" s="92">
        <f t="shared" si="11"/>
        <v>3.0769230769230771E-2</v>
      </c>
      <c r="AE34" s="92">
        <f t="shared" si="12"/>
        <v>2.3076923076923078E-2</v>
      </c>
      <c r="AF34" s="92">
        <f t="shared" si="13"/>
        <v>0</v>
      </c>
      <c r="AG34" s="92">
        <f t="shared" si="14"/>
        <v>0</v>
      </c>
      <c r="AH34" s="79" t="s">
        <v>16</v>
      </c>
      <c r="AI34" s="84">
        <f>COUNTIF('AUDIT HK'!$G$144:$G$147,"=1")</f>
        <v>0</v>
      </c>
      <c r="AJ34" s="84">
        <f>COUNTIF('AUDIT HK'!$M$144:$M$147,"=1")</f>
        <v>1</v>
      </c>
      <c r="AK34" s="84">
        <f>COUNTIF('AUDIT HK'!$S$144:$S$147,"=1")</f>
        <v>1</v>
      </c>
      <c r="AL34" s="84">
        <f>COUNTIF('AUDIT HK'!$Y$144:$Y$147,"=1")</f>
        <v>0</v>
      </c>
      <c r="AM34" s="84">
        <f>COUNTIF('AUDIT HK'!$AE$144:$AE$147,"=1")</f>
        <v>0</v>
      </c>
      <c r="AN34" s="84">
        <f>COUNTIF('AUDIT HK'!$AK$144:$AK$147,"=1")</f>
        <v>2</v>
      </c>
      <c r="AO34" s="84">
        <f>COUNTIF('AUDIT HK'!$AQ$144:$AQ$147,"=1")</f>
        <v>0</v>
      </c>
      <c r="AP34" s="84">
        <f>COUNTIF('AUDIT HK'!$AX$144:$AX$147,"=1")</f>
        <v>0</v>
      </c>
      <c r="AQ34" s="84">
        <f>COUNTIF('AUDIT HK'!$BC$144:$BC$147,"=1")</f>
        <v>0</v>
      </c>
      <c r="AR34" s="84">
        <f>COUNTIF('AUDIT HK'!$BI$144:$BI$147,"=1")</f>
        <v>0</v>
      </c>
      <c r="AS34" s="84">
        <f>COUNTIF('AUDIT HK'!$BO$144:$BO$147,"=1")</f>
        <v>0</v>
      </c>
      <c r="AT34" s="84">
        <f>COUNTIF('AUDIT HK'!$BU$144:$BU$147,"=1")</f>
        <v>0</v>
      </c>
      <c r="AU34" s="84">
        <f>COUNTIF('AUDIT HK'!$CA$144:$CA$147,"=1")</f>
        <v>0</v>
      </c>
      <c r="AV34" s="84">
        <f>COUNTIF('AUDIT HK'!$CG$144:$CG$147,"=1")</f>
        <v>0</v>
      </c>
      <c r="AW34" s="79" t="s">
        <v>16</v>
      </c>
      <c r="AX34" s="84">
        <f>COUNTIF('AUDIT HK'!$G$144:$G$147,"=0")</f>
        <v>0</v>
      </c>
      <c r="AY34" s="84">
        <f>COUNTIF('AUDIT HK'!$M$144:$M$147,"=0")</f>
        <v>0</v>
      </c>
      <c r="AZ34" s="84">
        <f>COUNTIF('AUDIT HK'!$S$144:$S$147,"=0")</f>
        <v>0</v>
      </c>
      <c r="BA34" s="84">
        <f>COUNTIF('AUDIT HK'!$Y$144:$Y$147,"=0")</f>
        <v>0</v>
      </c>
      <c r="BB34" s="84">
        <f>COUNTIF('AUDIT HK'!$AE$144:$AE$147,"=0")</f>
        <v>0</v>
      </c>
      <c r="BC34" s="84">
        <f>COUNTIF('AUDIT HK'!$AK$144:$AK$147,"=0")</f>
        <v>0</v>
      </c>
      <c r="BD34" s="84">
        <f>COUNTIF('AUDIT HK'!$AQ$144:$AQ$147,"=0")</f>
        <v>0</v>
      </c>
      <c r="BE34" s="84">
        <f>COUNTIF('AUDIT HK'!$AX$144:$AX$147,"=0")</f>
        <v>0</v>
      </c>
      <c r="BF34" s="84">
        <f>COUNTIF('AUDIT HK'!$BC$144:$BC$147,"=0")</f>
        <v>0</v>
      </c>
      <c r="BG34" s="84">
        <f>COUNTIF('AUDIT HK'!$BI$144:$BI$147,"=0")</f>
        <v>0</v>
      </c>
      <c r="BH34" s="84">
        <f>COUNTIF('AUDIT HK'!$BO$144:$BO$147,"=0")</f>
        <v>0</v>
      </c>
      <c r="BI34" s="84">
        <f>COUNTIF('AUDIT HK'!$BU$144:$BU$147,"=0")</f>
        <v>0</v>
      </c>
      <c r="BJ34" s="84">
        <f>COUNTIF('AUDIT HK'!$CA$144:$CA$147,"=0")</f>
        <v>0</v>
      </c>
      <c r="BK34" s="84">
        <f>COUNTIF('AUDIT HK'!$CG$144:$CG$147,"=0")</f>
        <v>0</v>
      </c>
    </row>
    <row r="35" spans="3:63" x14ac:dyDescent="0.25">
      <c r="C35">
        <v>8</v>
      </c>
      <c r="D35" s="80" t="s">
        <v>18</v>
      </c>
      <c r="E35" s="85">
        <f>'AUDIT HK'!H148</f>
        <v>7</v>
      </c>
      <c r="F35" s="85">
        <f>'AUDIT HK'!N148</f>
        <v>8</v>
      </c>
      <c r="G35" s="85">
        <f>'AUDIT HK'!T148</f>
        <v>7</v>
      </c>
      <c r="H35" s="85">
        <f>'AUDIT HK'!Z148</f>
        <v>7</v>
      </c>
      <c r="I35" s="85">
        <f>'AUDIT HK'!AF148</f>
        <v>8</v>
      </c>
      <c r="J35" s="85">
        <f>'AUDIT HK'!AL148</f>
        <v>6</v>
      </c>
      <c r="K35" s="85">
        <f>'AUDIT HK'!AR148</f>
        <v>7</v>
      </c>
      <c r="L35" s="85">
        <f>'AUDIT HK'!AX148</f>
        <v>8</v>
      </c>
      <c r="M35" s="85">
        <f>'AUDIT HK'!BD148</f>
        <v>8</v>
      </c>
      <c r="N35" s="85">
        <f>'AUDIT HK'!BJ148</f>
        <v>7</v>
      </c>
      <c r="O35" s="85">
        <f>'AUDIT HK'!BP148</f>
        <v>5</v>
      </c>
      <c r="P35" s="85">
        <f>'AUDIT HK'!BV148</f>
        <v>6</v>
      </c>
      <c r="Q35" s="85">
        <f>'AUDIT HK'!CB148</f>
        <v>0</v>
      </c>
      <c r="R35" s="85">
        <f>'AUDIT HK'!CH148</f>
        <v>0</v>
      </c>
      <c r="S35" s="80" t="s">
        <v>18</v>
      </c>
      <c r="T35" s="97">
        <f t="shared" si="1"/>
        <v>2.6923076923076925E-2</v>
      </c>
      <c r="U35" s="97">
        <f t="shared" si="2"/>
        <v>3.0769230769230771E-2</v>
      </c>
      <c r="V35" s="97">
        <f t="shared" si="3"/>
        <v>2.6923076923076925E-2</v>
      </c>
      <c r="W35" s="97">
        <f t="shared" si="4"/>
        <v>2.6923076923076925E-2</v>
      </c>
      <c r="X35" s="97">
        <f t="shared" si="5"/>
        <v>3.0769230769230771E-2</v>
      </c>
      <c r="Y35" s="97">
        <f t="shared" si="6"/>
        <v>2.3076923076923078E-2</v>
      </c>
      <c r="Z35" s="97">
        <f t="shared" si="7"/>
        <v>2.6923076923076925E-2</v>
      </c>
      <c r="AA35" s="97">
        <f t="shared" si="8"/>
        <v>3.0769230769230771E-2</v>
      </c>
      <c r="AB35" s="97">
        <f t="shared" si="9"/>
        <v>3.0769230769230771E-2</v>
      </c>
      <c r="AC35" s="97">
        <f t="shared" si="10"/>
        <v>2.6923076923076925E-2</v>
      </c>
      <c r="AD35" s="97">
        <f t="shared" si="11"/>
        <v>1.9230769230769232E-2</v>
      </c>
      <c r="AE35" s="97">
        <f t="shared" si="12"/>
        <v>2.3076923076923078E-2</v>
      </c>
      <c r="AF35" s="97">
        <f t="shared" si="13"/>
        <v>0</v>
      </c>
      <c r="AG35" s="97">
        <f t="shared" si="14"/>
        <v>0</v>
      </c>
      <c r="AH35" s="80" t="s">
        <v>18</v>
      </c>
      <c r="AI35" s="85">
        <f>COUNTIF('AUDIT HK'!$G$148:$G$151,"=1")</f>
        <v>1</v>
      </c>
      <c r="AJ35" s="85">
        <f>COUNTIF('AUDIT HK'!$M$148:$M$151,"=1")</f>
        <v>0</v>
      </c>
      <c r="AK35" s="85">
        <f>COUNTIF('AUDIT HK'!$S$148:$S$151,"=1")</f>
        <v>1</v>
      </c>
      <c r="AL35" s="85">
        <f>COUNTIF('AUDIT HK'!$Y$148:$Y$151,"=1")</f>
        <v>1</v>
      </c>
      <c r="AM35" s="85">
        <f>COUNTIF('AUDIT HK'!$AE$148:$AE$151,"=1")</f>
        <v>0</v>
      </c>
      <c r="AN35" s="85">
        <f>COUNTIF('AUDIT HK'!$AK$148:$AK$151,"=1")</f>
        <v>2</v>
      </c>
      <c r="AO35" s="85">
        <f>COUNTIF('AUDIT HK'!$AQ$148:$AQ$151,"=1")</f>
        <v>1</v>
      </c>
      <c r="AP35" s="85">
        <f>COUNTIF('AUDIT HK'!$AX$148:$AX$151,"=1")</f>
        <v>0</v>
      </c>
      <c r="AQ35" s="85">
        <f>COUNTIF('AUDIT HK'!$BC$148:$BC$151,"=1")</f>
        <v>0</v>
      </c>
      <c r="AR35" s="85">
        <f>COUNTIF('AUDIT HK'!$BI$148:$BI$151,"=1")</f>
        <v>1</v>
      </c>
      <c r="AS35" s="85">
        <f>COUNTIF('AUDIT HK'!$BO$148:$BO$151,"=1")</f>
        <v>0</v>
      </c>
      <c r="AT35" s="85">
        <f>COUNTIF('AUDIT HK'!$BU$148:$BU$151,"=1")</f>
        <v>0</v>
      </c>
      <c r="AU35" s="85">
        <f>COUNTIF('AUDIT HK'!$CA$148:$CA$151,"=1")</f>
        <v>0</v>
      </c>
      <c r="AV35" s="85">
        <f>COUNTIF('AUDIT HK'!$CG$148:$CG$151,"=1")</f>
        <v>0</v>
      </c>
      <c r="AW35" s="80" t="s">
        <v>18</v>
      </c>
      <c r="AX35" s="85">
        <f>COUNTIF('AUDIT HK'!$G$148:$G$151,"=0")</f>
        <v>0</v>
      </c>
      <c r="AY35" s="85">
        <f>COUNTIF('AUDIT HK'!$M$148:$M$151,"=0")</f>
        <v>0</v>
      </c>
      <c r="AZ35" s="85">
        <f>COUNTIF('AUDIT HK'!$S$148:$S$151,"=0")</f>
        <v>0</v>
      </c>
      <c r="BA35" s="85">
        <f>COUNTIF('AUDIT HK'!$Y$148:$Y$151,"=0")</f>
        <v>0</v>
      </c>
      <c r="BB35" s="85">
        <f>COUNTIF('AUDIT HK'!$AE$148:$AE$151,"=0")</f>
        <v>0</v>
      </c>
      <c r="BC35" s="85">
        <f>COUNTIF('AUDIT HK'!$AK$148:$AK$151,"=0")</f>
        <v>0</v>
      </c>
      <c r="BD35" s="85">
        <f>COUNTIF('AUDIT HK'!$AQ$148:$AQ$151,"=0")</f>
        <v>0</v>
      </c>
      <c r="BE35" s="85">
        <f>COUNTIF('AUDIT HK'!$AX$148:$AX$151,"=0")</f>
        <v>0</v>
      </c>
      <c r="BF35" s="85">
        <f>COUNTIF('AUDIT HK'!$BC$148:$BC$151,"=0")</f>
        <v>0</v>
      </c>
      <c r="BG35" s="85">
        <f>COUNTIF('AUDIT HK'!$BI$148:$BI$151,"=0")</f>
        <v>0</v>
      </c>
      <c r="BH35" s="85">
        <f>COUNTIF('AUDIT HK'!$BO$148:$BO$151,"=0")</f>
        <v>0</v>
      </c>
      <c r="BI35" s="85">
        <f>COUNTIF('AUDIT HK'!$BU$148:$BU$151,"=0")</f>
        <v>0</v>
      </c>
      <c r="BJ35" s="85">
        <f>COUNTIF('AUDIT HK'!$CA$148:$CA$151,"=0")</f>
        <v>0</v>
      </c>
      <c r="BK35" s="85">
        <f>COUNTIF('AUDIT HK'!$CG$148:$CG$151,"=0")</f>
        <v>0</v>
      </c>
    </row>
    <row r="36" spans="3:63" ht="15.75" customHeight="1" x14ac:dyDescent="0.25">
      <c r="C36">
        <v>14</v>
      </c>
      <c r="D36" s="80" t="s">
        <v>19</v>
      </c>
      <c r="E36" s="85">
        <f>'AUDIT HK'!H152</f>
        <v>13</v>
      </c>
      <c r="F36" s="85">
        <f>'AUDIT HK'!N152</f>
        <v>13</v>
      </c>
      <c r="G36" s="85">
        <f>'AUDIT HK'!T152</f>
        <v>12</v>
      </c>
      <c r="H36" s="85">
        <f>'AUDIT HK'!Z152</f>
        <v>14</v>
      </c>
      <c r="I36" s="85">
        <f>'AUDIT HK'!AF152</f>
        <v>11</v>
      </c>
      <c r="J36" s="85">
        <f>'AUDIT HK'!AL152</f>
        <v>13</v>
      </c>
      <c r="K36" s="85">
        <f>'AUDIT HK'!AR152</f>
        <v>13</v>
      </c>
      <c r="L36" s="85">
        <f>'AUDIT HK'!AX152</f>
        <v>14</v>
      </c>
      <c r="M36" s="85">
        <f>'AUDIT HK'!BD152</f>
        <v>14</v>
      </c>
      <c r="N36" s="85">
        <f>'AUDIT HK'!BJ152</f>
        <v>13</v>
      </c>
      <c r="O36" s="85">
        <f>'AUDIT HK'!BP152</f>
        <v>12</v>
      </c>
      <c r="P36" s="85">
        <f>'AUDIT HK'!BV152</f>
        <v>14</v>
      </c>
      <c r="Q36" s="85">
        <f>'AUDIT HK'!CB152</f>
        <v>0</v>
      </c>
      <c r="R36" s="85">
        <f>'AUDIT HK'!CH152</f>
        <v>0</v>
      </c>
      <c r="S36" s="80" t="s">
        <v>19</v>
      </c>
      <c r="T36" s="97">
        <f t="shared" si="1"/>
        <v>0.05</v>
      </c>
      <c r="U36" s="97">
        <f t="shared" si="2"/>
        <v>0.05</v>
      </c>
      <c r="V36" s="97">
        <f t="shared" si="3"/>
        <v>4.6153846153846156E-2</v>
      </c>
      <c r="W36" s="97">
        <f t="shared" si="4"/>
        <v>5.3846153846153849E-2</v>
      </c>
      <c r="X36" s="97">
        <f t="shared" si="5"/>
        <v>4.230769230769231E-2</v>
      </c>
      <c r="Y36" s="97">
        <f t="shared" si="6"/>
        <v>0.05</v>
      </c>
      <c r="Z36" s="97">
        <f t="shared" si="7"/>
        <v>0.05</v>
      </c>
      <c r="AA36" s="97">
        <f t="shared" si="8"/>
        <v>5.3846153846153849E-2</v>
      </c>
      <c r="AB36" s="97">
        <f t="shared" si="9"/>
        <v>5.3846153846153849E-2</v>
      </c>
      <c r="AC36" s="97">
        <f t="shared" si="10"/>
        <v>0.05</v>
      </c>
      <c r="AD36" s="97">
        <f t="shared" si="11"/>
        <v>4.6153846153846156E-2</v>
      </c>
      <c r="AE36" s="97">
        <f t="shared" si="12"/>
        <v>5.3846153846153849E-2</v>
      </c>
      <c r="AF36" s="97">
        <f t="shared" si="13"/>
        <v>0</v>
      </c>
      <c r="AG36" s="97">
        <f t="shared" si="14"/>
        <v>0</v>
      </c>
      <c r="AH36" s="80" t="s">
        <v>19</v>
      </c>
      <c r="AI36" s="85">
        <f>COUNTIF('AUDIT HK'!$G$152:$G$158,"=1")</f>
        <v>1</v>
      </c>
      <c r="AJ36" s="85">
        <f>COUNTIF('AUDIT HK'!$M$152:$M$158,"=1")</f>
        <v>1</v>
      </c>
      <c r="AK36" s="85">
        <f>COUNTIF('AUDIT HK'!$S$152:$S$158,"=1")</f>
        <v>2</v>
      </c>
      <c r="AL36" s="85">
        <f>COUNTIF('AUDIT HK'!$Y$152:$Y$158,"=1")</f>
        <v>0</v>
      </c>
      <c r="AM36" s="85">
        <f>COUNTIF('AUDIT HK'!$AE$152:$AE$158,"=1")</f>
        <v>1</v>
      </c>
      <c r="AN36" s="85">
        <f>COUNTIF('AUDIT HK'!$AK$152:$AK$158,"=1")</f>
        <v>1</v>
      </c>
      <c r="AO36" s="85">
        <f>COUNTIF('AUDIT HK'!$AQ$152:$AQ$158,"=1")</f>
        <v>1</v>
      </c>
      <c r="AP36" s="85">
        <f>COUNTIF('AUDIT HK'!$AX$152:$AX$158,"=1")</f>
        <v>0</v>
      </c>
      <c r="AQ36" s="85">
        <f>COUNTIF('AUDIT HK'!$BC$152:$BC$158,"=1")</f>
        <v>0</v>
      </c>
      <c r="AR36" s="85">
        <f>COUNTIF('AUDIT HK'!$BI$152:$BI$158,"=1")</f>
        <v>1</v>
      </c>
      <c r="AS36" s="85">
        <f>COUNTIF('AUDIT HK'!$BO$152:$BO$158,"=1")</f>
        <v>0</v>
      </c>
      <c r="AT36" s="85">
        <f>COUNTIF('AUDIT HK'!$BU$152:$BU$158,"=1")</f>
        <v>0</v>
      </c>
      <c r="AU36" s="85">
        <f>COUNTIF('AUDIT HK'!$CA$152:$CA$158,"=1")</f>
        <v>0</v>
      </c>
      <c r="AV36" s="85">
        <f>COUNTIF('AUDIT HK'!$CG$152:$CG$158,"=1")</f>
        <v>0</v>
      </c>
      <c r="AW36" s="80" t="s">
        <v>19</v>
      </c>
      <c r="AX36" s="85">
        <f>COUNTIF('AUDIT HK'!$G$152:$G$158,"=0")</f>
        <v>0</v>
      </c>
      <c r="AY36" s="85">
        <f>COUNTIF('AUDIT HK'!$M$152:$M$158,"=0")</f>
        <v>0</v>
      </c>
      <c r="AZ36" s="85">
        <f>COUNTIF('AUDIT HK'!$S$152:$S$158,"=0")</f>
        <v>0</v>
      </c>
      <c r="BA36" s="85">
        <f>COUNTIF('AUDIT HK'!$Y$152:$Y$158,"=0")</f>
        <v>0</v>
      </c>
      <c r="BB36" s="85">
        <f>COUNTIF('AUDIT HK'!$AE$152:$AE$158,"=0")</f>
        <v>1</v>
      </c>
      <c r="BC36" s="85">
        <f>COUNTIF('AUDIT HK'!$AK$152:$AK$158,"=0")</f>
        <v>0</v>
      </c>
      <c r="BD36" s="85">
        <f>COUNTIF('AUDIT HK'!$AQ$152:$AQ$158,"=0")</f>
        <v>0</v>
      </c>
      <c r="BE36" s="85">
        <f>COUNTIF('AUDIT HK'!$AX$152:$AX$158,"=0")</f>
        <v>0</v>
      </c>
      <c r="BF36" s="85">
        <f>COUNTIF('AUDIT HK'!$BC$152:$BC$158,"=0")</f>
        <v>0</v>
      </c>
      <c r="BG36" s="85">
        <f>COUNTIF('AUDIT HK'!$BI$152:$BI$158,"=0")</f>
        <v>0</v>
      </c>
      <c r="BH36" s="85">
        <f>COUNTIF('AUDIT HK'!$BO$152:$BO$158,"=0")</f>
        <v>0</v>
      </c>
      <c r="BI36" s="85">
        <f>COUNTIF('AUDIT HK'!$BU$152:$BU$158,"=0")</f>
        <v>0</v>
      </c>
      <c r="BJ36" s="85">
        <f>COUNTIF('AUDIT HK'!$CA$152:$CA$158,"=0")</f>
        <v>0</v>
      </c>
      <c r="BK36" s="85">
        <f>COUNTIF('AUDIT HK'!$CG$152:$CG$158,"=0")</f>
        <v>0</v>
      </c>
    </row>
    <row r="37" spans="3:63" ht="15.75" thickBot="1" x14ac:dyDescent="0.3">
      <c r="C37">
        <v>8</v>
      </c>
      <c r="D37" s="81" t="s">
        <v>21</v>
      </c>
      <c r="E37" s="85">
        <f>'AUDIT HK'!H159</f>
        <v>8</v>
      </c>
      <c r="F37" s="85">
        <f>'AUDIT HK'!N159</f>
        <v>8</v>
      </c>
      <c r="G37" s="85">
        <f>'AUDIT HK'!T159</f>
        <v>8</v>
      </c>
      <c r="H37" s="85">
        <f>'AUDIT HK'!Z159</f>
        <v>8</v>
      </c>
      <c r="I37" s="85">
        <f>'AUDIT HK'!AF159</f>
        <v>8</v>
      </c>
      <c r="J37" s="85">
        <f>'AUDIT HK'!AL159</f>
        <v>8</v>
      </c>
      <c r="K37" s="85">
        <f>'AUDIT HK'!AR159</f>
        <v>8</v>
      </c>
      <c r="L37" s="85">
        <f>'AUDIT HK'!AX159</f>
        <v>8</v>
      </c>
      <c r="M37" s="85">
        <f>'AUDIT HK'!BD159</f>
        <v>8</v>
      </c>
      <c r="N37" s="85">
        <f>'AUDIT HK'!BJ159</f>
        <v>8</v>
      </c>
      <c r="O37" s="85">
        <f>'AUDIT HK'!BP159</f>
        <v>8</v>
      </c>
      <c r="P37" s="85">
        <f>'AUDIT HK'!BV159</f>
        <v>8</v>
      </c>
      <c r="Q37" s="85">
        <f>'AUDIT HK'!CB159</f>
        <v>0</v>
      </c>
      <c r="R37" s="85">
        <f>'AUDIT HK'!CH159</f>
        <v>0</v>
      </c>
      <c r="S37" s="81" t="s">
        <v>21</v>
      </c>
      <c r="T37" s="98">
        <f t="shared" si="1"/>
        <v>3.0769230769230771E-2</v>
      </c>
      <c r="U37" s="98">
        <f t="shared" si="2"/>
        <v>3.0769230769230771E-2</v>
      </c>
      <c r="V37" s="98">
        <f t="shared" si="3"/>
        <v>3.0769230769230771E-2</v>
      </c>
      <c r="W37" s="98">
        <f t="shared" si="4"/>
        <v>3.0769230769230771E-2</v>
      </c>
      <c r="X37" s="98">
        <f t="shared" si="5"/>
        <v>3.0769230769230771E-2</v>
      </c>
      <c r="Y37" s="98">
        <f t="shared" si="6"/>
        <v>3.0769230769230771E-2</v>
      </c>
      <c r="Z37" s="98">
        <f t="shared" si="7"/>
        <v>3.0769230769230771E-2</v>
      </c>
      <c r="AA37" s="98">
        <f t="shared" si="8"/>
        <v>3.0769230769230771E-2</v>
      </c>
      <c r="AB37" s="98">
        <f t="shared" si="9"/>
        <v>3.0769230769230771E-2</v>
      </c>
      <c r="AC37" s="98">
        <f t="shared" si="10"/>
        <v>3.0769230769230771E-2</v>
      </c>
      <c r="AD37" s="98">
        <f t="shared" si="11"/>
        <v>3.0769230769230771E-2</v>
      </c>
      <c r="AE37" s="98">
        <f t="shared" si="12"/>
        <v>3.0769230769230771E-2</v>
      </c>
      <c r="AF37" s="98">
        <f t="shared" si="13"/>
        <v>0</v>
      </c>
      <c r="AG37" s="98">
        <f t="shared" si="14"/>
        <v>0</v>
      </c>
      <c r="AH37" s="81" t="s">
        <v>21</v>
      </c>
      <c r="AI37" s="85">
        <f>COUNTIF('AUDIT HK'!$G$159:$G$162,"=1")</f>
        <v>0</v>
      </c>
      <c r="AJ37" s="85">
        <f>COUNTIF('AUDIT HK'!$M$159:$M$162,"=1")</f>
        <v>0</v>
      </c>
      <c r="AK37" s="85">
        <f>COUNTIF('AUDIT HK'!$S$159:$S$162,"=1")</f>
        <v>0</v>
      </c>
      <c r="AL37" s="85">
        <f>COUNTIF('AUDIT HK'!$Y$159:$Y$162,"=1")</f>
        <v>0</v>
      </c>
      <c r="AM37" s="85">
        <f>COUNTIF('AUDIT HK'!$AE$159:$AE$162,"=1")</f>
        <v>0</v>
      </c>
      <c r="AN37" s="85">
        <f>COUNTIF('AUDIT HK'!$AK$159:$AK$162,"=1")</f>
        <v>0</v>
      </c>
      <c r="AO37" s="85">
        <f>COUNTIF('AUDIT HK'!$AQ$159:$AQ$162,"=1")</f>
        <v>0</v>
      </c>
      <c r="AP37" s="85">
        <f>COUNTIF('AUDIT HK'!$AX$159:$AX$162,"=1")</f>
        <v>0</v>
      </c>
      <c r="AQ37" s="85">
        <f>COUNTIF('AUDIT HK'!$BC$159:$BC$162,"=1")</f>
        <v>0</v>
      </c>
      <c r="AR37" s="85">
        <f>COUNTIF('AUDIT HK'!$BI$159:$BI$162,"=1")</f>
        <v>0</v>
      </c>
      <c r="AS37" s="85">
        <f>COUNTIF('AUDIT HK'!$BO$159:$BO$162,"=1")</f>
        <v>0</v>
      </c>
      <c r="AT37" s="85">
        <f>COUNTIF('AUDIT HK'!$BU$159:$BU$162,"=1")</f>
        <v>0</v>
      </c>
      <c r="AU37" s="85">
        <f>COUNTIF('AUDIT HK'!$CA$159:$CA$162,"=1")</f>
        <v>0</v>
      </c>
      <c r="AV37" s="85">
        <f>COUNTIF('AUDIT HK'!$CG$159:$CG$162,"=1")</f>
        <v>0</v>
      </c>
      <c r="AW37" s="81" t="s">
        <v>21</v>
      </c>
      <c r="AX37" s="85">
        <f>COUNTIF('AUDIT HK'!$G$159:$G$162,"=0")</f>
        <v>0</v>
      </c>
      <c r="AY37" s="85">
        <f>COUNTIF('AUDIT HK'!$M$159:$M$162,"=0")</f>
        <v>0</v>
      </c>
      <c r="AZ37" s="85">
        <f>COUNTIF('AUDIT HK'!$S$159:$S$162,"=0")</f>
        <v>0</v>
      </c>
      <c r="BA37" s="85">
        <f>COUNTIF('AUDIT HK'!$Y$159:$Y$162,"=0")</f>
        <v>0</v>
      </c>
      <c r="BB37" s="85">
        <f>COUNTIF('AUDIT HK'!$AE$159:$AE$162,"=0")</f>
        <v>0</v>
      </c>
      <c r="BC37" s="85">
        <f>COUNTIF('AUDIT HK'!$AK$159:$AK$162,"=0")</f>
        <v>0</v>
      </c>
      <c r="BD37" s="85">
        <f>COUNTIF('AUDIT HK'!$AQ$159:$AQ$162,"=0")</f>
        <v>0</v>
      </c>
      <c r="BE37" s="85">
        <f>COUNTIF('AUDIT HK'!$AX$159:$AX$162,"=0")</f>
        <v>0</v>
      </c>
      <c r="BF37" s="85">
        <f>COUNTIF('AUDIT HK'!$BC$159:$BC$162,"=0")</f>
        <v>0</v>
      </c>
      <c r="BG37" s="85">
        <f>COUNTIF('AUDIT HK'!$BI$159:$BI$162,"=0")</f>
        <v>0</v>
      </c>
      <c r="BH37" s="85">
        <f>COUNTIF('AUDIT HK'!$BO$159:$BO$162,"=0")</f>
        <v>0</v>
      </c>
      <c r="BI37" s="85">
        <f>COUNTIF('AUDIT HK'!$BU$159:$BU$162,"=0")</f>
        <v>0</v>
      </c>
      <c r="BJ37" s="85">
        <f>COUNTIF('AUDIT HK'!$CA$159:$CA$162,"=0")</f>
        <v>0</v>
      </c>
      <c r="BK37" s="85">
        <f>COUNTIF('AUDIT HK'!$CG$159:$CG$162,"=0")</f>
        <v>0</v>
      </c>
    </row>
    <row r="38" spans="3:63" ht="15.75" thickBot="1" x14ac:dyDescent="0.3">
      <c r="C38">
        <v>6</v>
      </c>
      <c r="D38" s="81" t="s">
        <v>1194</v>
      </c>
      <c r="E38" s="85">
        <f>'AUDIT HK'!H163</f>
        <v>6</v>
      </c>
      <c r="F38" s="85">
        <f>'AUDIT HK'!N163</f>
        <v>6</v>
      </c>
      <c r="G38" s="85">
        <f>'AUDIT HK'!T163</f>
        <v>6</v>
      </c>
      <c r="H38" s="85">
        <f>'AUDIT HK'!Z163</f>
        <v>6</v>
      </c>
      <c r="I38" s="85">
        <f>'AUDIT HK'!AF163</f>
        <v>6</v>
      </c>
      <c r="J38" s="85">
        <f>'AUDIT HK'!AL163</f>
        <v>6</v>
      </c>
      <c r="K38" s="85">
        <f>'AUDIT HK'!AR163</f>
        <v>6</v>
      </c>
      <c r="L38" s="85">
        <f>'AUDIT HK'!AX163</f>
        <v>5</v>
      </c>
      <c r="M38" s="85">
        <f>'AUDIT HK'!BD163</f>
        <v>6</v>
      </c>
      <c r="N38" s="85">
        <f>'AUDIT HK'!BJ163</f>
        <v>6</v>
      </c>
      <c r="O38" s="85">
        <f>'AUDIT HK'!BP163</f>
        <v>6</v>
      </c>
      <c r="P38" s="85">
        <f>'AUDIT HK'!BV163</f>
        <v>3</v>
      </c>
      <c r="Q38" s="85">
        <f>'AUDIT HK'!CB163</f>
        <v>0</v>
      </c>
      <c r="R38" s="85">
        <f>'AUDIT HK'!CH163</f>
        <v>0</v>
      </c>
      <c r="S38" s="81" t="s">
        <v>1194</v>
      </c>
      <c r="T38" s="98">
        <f t="shared" si="1"/>
        <v>2.3076923076923078E-2</v>
      </c>
      <c r="U38" s="98">
        <f t="shared" si="2"/>
        <v>2.3076923076923078E-2</v>
      </c>
      <c r="V38" s="98">
        <f t="shared" si="3"/>
        <v>2.3076923076923078E-2</v>
      </c>
      <c r="W38" s="98">
        <f t="shared" si="4"/>
        <v>2.3076923076923078E-2</v>
      </c>
      <c r="X38" s="98">
        <f t="shared" si="5"/>
        <v>2.3076923076923078E-2</v>
      </c>
      <c r="Y38" s="98">
        <f t="shared" si="6"/>
        <v>2.3076923076923078E-2</v>
      </c>
      <c r="Z38" s="98">
        <f t="shared" si="7"/>
        <v>2.3076923076923078E-2</v>
      </c>
      <c r="AA38" s="98">
        <f t="shared" si="8"/>
        <v>1.9230769230769232E-2</v>
      </c>
      <c r="AB38" s="98">
        <f t="shared" si="9"/>
        <v>2.3076923076923078E-2</v>
      </c>
      <c r="AC38" s="98">
        <f t="shared" si="10"/>
        <v>2.3076923076923078E-2</v>
      </c>
      <c r="AD38" s="98">
        <f t="shared" si="11"/>
        <v>2.3076923076923078E-2</v>
      </c>
      <c r="AE38" s="98">
        <f t="shared" si="12"/>
        <v>1.1538461538461539E-2</v>
      </c>
      <c r="AF38" s="98">
        <f t="shared" si="13"/>
        <v>0</v>
      </c>
      <c r="AG38" s="98">
        <f t="shared" si="14"/>
        <v>0</v>
      </c>
      <c r="AH38" s="81" t="s">
        <v>1194</v>
      </c>
      <c r="AI38" s="85">
        <f>COUNTIF('AUDIT HK'!$G$163:$G$165,"=1")</f>
        <v>0</v>
      </c>
      <c r="AJ38" s="85">
        <f>COUNTIF('AUDIT HK'!$M$163:$M$165,"=1")</f>
        <v>0</v>
      </c>
      <c r="AK38" s="85">
        <f>COUNTIF('AUDIT HK'!$S$163:$S$165,"=1")</f>
        <v>0</v>
      </c>
      <c r="AL38" s="85">
        <f>COUNTIF('AUDIT HK'!$Y$163:$Y$165,"=1")</f>
        <v>0</v>
      </c>
      <c r="AM38" s="85">
        <f>COUNTIF('AUDIT HK'!$AE$163:$AE$165,"=1")</f>
        <v>0</v>
      </c>
      <c r="AN38" s="85">
        <f>COUNTIF('AUDIT HK'!$AK$163:$AK$165,"=1")</f>
        <v>0</v>
      </c>
      <c r="AO38" s="85">
        <f>COUNTIF('AUDIT HK'!$AQ$163:$AQ$165,"=1")</f>
        <v>0</v>
      </c>
      <c r="AP38" s="85">
        <f>COUNTIF('AUDIT HK'!$AX$163:$AX$165,"=1")</f>
        <v>0</v>
      </c>
      <c r="AQ38" s="85">
        <f>COUNTIF('AUDIT HK'!$BC$163:$BC$165,"=1")</f>
        <v>0</v>
      </c>
      <c r="AR38" s="85">
        <f>COUNTIF('AUDIT HK'!$BI$163:$BI$165,"=1")</f>
        <v>0</v>
      </c>
      <c r="AS38" s="85">
        <f>COUNTIF('AUDIT HK'!$BO$163:$BO$165,"=1")</f>
        <v>0</v>
      </c>
      <c r="AT38" s="85">
        <f>COUNTIF('AUDIT HK'!$BU$163:$BU$165,"=1")</f>
        <v>0</v>
      </c>
      <c r="AU38" s="85">
        <f>COUNTIF('AUDIT HK'!$CA$163:$CA$165,"=1")</f>
        <v>0</v>
      </c>
      <c r="AV38" s="85">
        <f>COUNTIF('AUDIT HK'!$CG$163:$CG$165,"=1")</f>
        <v>0</v>
      </c>
      <c r="AW38" s="81" t="s">
        <v>1194</v>
      </c>
      <c r="AX38" s="85">
        <f>COUNTIF('AUDIT HK'!$G$163:$G$165,"=0")</f>
        <v>0</v>
      </c>
      <c r="AY38" s="85">
        <f>COUNTIF('AUDIT HK'!$M$163:$M$165,"=0")</f>
        <v>0</v>
      </c>
      <c r="AZ38" s="85">
        <f>COUNTIF('AUDIT HK'!$S$163:$S$165,"=0")</f>
        <v>0</v>
      </c>
      <c r="BA38" s="85">
        <f>COUNTIF('AUDIT HK'!$Y$163:$Y$165,"=0")</f>
        <v>0</v>
      </c>
      <c r="BB38" s="85">
        <f>COUNTIF('AUDIT HK'!$AE$163:$AE$165,"=0")</f>
        <v>0</v>
      </c>
      <c r="BC38" s="85">
        <f>COUNTIF('AUDIT HK'!$AK$163:$AK$165,"=0")</f>
        <v>0</v>
      </c>
      <c r="BD38" s="85">
        <f>COUNTIF('AUDIT HK'!$AQ$163:$AQ$165,"=0")</f>
        <v>0</v>
      </c>
      <c r="BE38" s="85">
        <f>COUNTIF('AUDIT HK'!$AX$163:$AX$165,"=0")</f>
        <v>0</v>
      </c>
      <c r="BF38" s="85">
        <f>COUNTIF('AUDIT HK'!$BC$163:$BC$165,"=0")</f>
        <v>0</v>
      </c>
      <c r="BG38" s="85">
        <f>COUNTIF('AUDIT HK'!$BI$163:$BI$165,"=0")</f>
        <v>0</v>
      </c>
      <c r="BH38" s="85">
        <f>COUNTIF('AUDIT HK'!$BO$163:$BO$165,"=0")</f>
        <v>0</v>
      </c>
      <c r="BI38" s="85">
        <f>COUNTIF('AUDIT HK'!$BU$163:$BU$165,"=0")</f>
        <v>0</v>
      </c>
      <c r="BJ38" s="85">
        <f>COUNTIF('AUDIT HK'!$CA$163:$CA$165,"=0")</f>
        <v>0</v>
      </c>
      <c r="BK38" s="85">
        <f>COUNTIF('AUDIT HK'!$CG$163:$CG$165,"=0")</f>
        <v>0</v>
      </c>
    </row>
    <row r="39" spans="3:63" ht="15" customHeight="1" thickBot="1" x14ac:dyDescent="0.3">
      <c r="C39">
        <v>36</v>
      </c>
      <c r="D39" s="67" t="str">
        <f>'AUDIT HK'!$B$166</f>
        <v>G. ZONAS COMUNES (Vestuarios, Servicios, Comedor y Cuarto de Limpieza)</v>
      </c>
      <c r="E39" s="37">
        <f>SUM(E40:E43)</f>
        <v>34</v>
      </c>
      <c r="F39" s="37">
        <f t="shared" ref="F39:AI39" si="113">SUM(F40:F43)</f>
        <v>36</v>
      </c>
      <c r="G39" s="37">
        <f t="shared" si="113"/>
        <v>32</v>
      </c>
      <c r="H39" s="37">
        <f t="shared" si="113"/>
        <v>36</v>
      </c>
      <c r="I39" s="37">
        <f t="shared" si="113"/>
        <v>35</v>
      </c>
      <c r="J39" s="37">
        <f t="shared" si="113"/>
        <v>36</v>
      </c>
      <c r="K39" s="37">
        <f t="shared" si="113"/>
        <v>36</v>
      </c>
      <c r="L39" s="37">
        <f t="shared" si="113"/>
        <v>33</v>
      </c>
      <c r="M39" s="37">
        <f t="shared" si="113"/>
        <v>32</v>
      </c>
      <c r="N39" s="37">
        <f t="shared" si="113"/>
        <v>36</v>
      </c>
      <c r="O39" s="37">
        <f t="shared" si="113"/>
        <v>36</v>
      </c>
      <c r="P39" s="37">
        <f t="shared" si="113"/>
        <v>35</v>
      </c>
      <c r="Q39" s="37">
        <f t="shared" ref="Q39:R39" si="114">SUM(Q40:Q43)</f>
        <v>0</v>
      </c>
      <c r="R39" s="37">
        <f t="shared" si="114"/>
        <v>0</v>
      </c>
      <c r="S39" s="67" t="str">
        <f>'AUDIT HK'!$B$166</f>
        <v>G. ZONAS COMUNES (Vestuarios, Servicios, Comedor y Cuarto de Limpieza)</v>
      </c>
      <c r="T39" s="91">
        <f t="shared" si="1"/>
        <v>0.13076923076923078</v>
      </c>
      <c r="U39" s="91">
        <f t="shared" si="2"/>
        <v>0.13846153846153847</v>
      </c>
      <c r="V39" s="91">
        <f t="shared" si="3"/>
        <v>0.12307692307692308</v>
      </c>
      <c r="W39" s="91">
        <f t="shared" si="4"/>
        <v>0.13846153846153847</v>
      </c>
      <c r="X39" s="91">
        <f t="shared" si="5"/>
        <v>0.13461538461538461</v>
      </c>
      <c r="Y39" s="91">
        <f t="shared" si="6"/>
        <v>0.13846153846153847</v>
      </c>
      <c r="Z39" s="91">
        <f t="shared" si="7"/>
        <v>0.13846153846153847</v>
      </c>
      <c r="AA39" s="91">
        <f t="shared" si="8"/>
        <v>0.12692307692307692</v>
      </c>
      <c r="AB39" s="91">
        <f t="shared" si="9"/>
        <v>0.12307692307692308</v>
      </c>
      <c r="AC39" s="91">
        <f t="shared" si="10"/>
        <v>0.13846153846153847</v>
      </c>
      <c r="AD39" s="91">
        <f t="shared" si="11"/>
        <v>0.13846153846153847</v>
      </c>
      <c r="AE39" s="91">
        <f t="shared" si="12"/>
        <v>0.13461538461538461</v>
      </c>
      <c r="AF39" s="91">
        <f t="shared" si="13"/>
        <v>0</v>
      </c>
      <c r="AG39" s="91">
        <f t="shared" si="14"/>
        <v>0</v>
      </c>
      <c r="AH39" s="67" t="str">
        <f>'AUDIT HK'!$B$166</f>
        <v>G. ZONAS COMUNES (Vestuarios, Servicios, Comedor y Cuarto de Limpieza)</v>
      </c>
      <c r="AI39" s="37">
        <f t="shared" si="113"/>
        <v>2</v>
      </c>
      <c r="AJ39" s="37">
        <f t="shared" ref="AJ39:AV39" si="115">SUM(AJ40:AJ43)</f>
        <v>0</v>
      </c>
      <c r="AK39" s="37">
        <f t="shared" si="115"/>
        <v>4</v>
      </c>
      <c r="AL39" s="37">
        <f t="shared" si="115"/>
        <v>0</v>
      </c>
      <c r="AM39" s="37">
        <f t="shared" si="115"/>
        <v>0</v>
      </c>
      <c r="AN39" s="37">
        <f t="shared" si="115"/>
        <v>0</v>
      </c>
      <c r="AO39" s="37">
        <f t="shared" si="115"/>
        <v>0</v>
      </c>
      <c r="AP39" s="37">
        <f t="shared" si="115"/>
        <v>0</v>
      </c>
      <c r="AQ39" s="37">
        <f t="shared" si="115"/>
        <v>2</v>
      </c>
      <c r="AR39" s="37">
        <f t="shared" si="115"/>
        <v>0</v>
      </c>
      <c r="AS39" s="37">
        <f t="shared" si="115"/>
        <v>0</v>
      </c>
      <c r="AT39" s="37">
        <f t="shared" si="115"/>
        <v>0</v>
      </c>
      <c r="AU39" s="37">
        <f t="shared" si="115"/>
        <v>0</v>
      </c>
      <c r="AV39" s="37">
        <f t="shared" si="115"/>
        <v>0</v>
      </c>
      <c r="AW39" s="67" t="str">
        <f>'AUDIT HK'!$B$166</f>
        <v>G. ZONAS COMUNES (Vestuarios, Servicios, Comedor y Cuarto de Limpieza)</v>
      </c>
      <c r="AX39" s="37">
        <f t="shared" ref="AX39:BK39" si="116">SUM(AX40:AX43)</f>
        <v>0</v>
      </c>
      <c r="AY39" s="37">
        <f t="shared" si="116"/>
        <v>0</v>
      </c>
      <c r="AZ39" s="37">
        <f t="shared" si="116"/>
        <v>0</v>
      </c>
      <c r="BA39" s="37">
        <f t="shared" si="116"/>
        <v>0</v>
      </c>
      <c r="BB39" s="37">
        <f t="shared" si="116"/>
        <v>0</v>
      </c>
      <c r="BC39" s="37">
        <f t="shared" si="116"/>
        <v>0</v>
      </c>
      <c r="BD39" s="37">
        <f t="shared" si="116"/>
        <v>0</v>
      </c>
      <c r="BE39" s="37">
        <f t="shared" si="116"/>
        <v>0</v>
      </c>
      <c r="BF39" s="37">
        <f t="shared" si="116"/>
        <v>0</v>
      </c>
      <c r="BG39" s="37">
        <f t="shared" si="116"/>
        <v>0</v>
      </c>
      <c r="BH39" s="37">
        <f t="shared" si="116"/>
        <v>0</v>
      </c>
      <c r="BI39" s="37">
        <f t="shared" si="116"/>
        <v>0</v>
      </c>
      <c r="BJ39" s="37">
        <f t="shared" si="116"/>
        <v>0</v>
      </c>
      <c r="BK39" s="37">
        <f t="shared" si="116"/>
        <v>0</v>
      </c>
    </row>
    <row r="40" spans="3:63" x14ac:dyDescent="0.25">
      <c r="C40">
        <v>8</v>
      </c>
      <c r="D40" s="79" t="s">
        <v>16</v>
      </c>
      <c r="E40" s="84">
        <f>'AUDIT HK'!H167</f>
        <v>6</v>
      </c>
      <c r="F40" s="84">
        <f>'AUDIT HK'!N167</f>
        <v>8</v>
      </c>
      <c r="G40" s="84">
        <f>'AUDIT HK'!T167</f>
        <v>6</v>
      </c>
      <c r="H40" s="84">
        <f>'AUDIT HK'!Z167</f>
        <v>8</v>
      </c>
      <c r="I40" s="84">
        <f>'AUDIT HK'!AF167</f>
        <v>8</v>
      </c>
      <c r="J40" s="84">
        <f>'AUDIT HK'!AL167</f>
        <v>8</v>
      </c>
      <c r="K40" s="84">
        <f>'AUDIT HK'!AR167</f>
        <v>8</v>
      </c>
      <c r="L40" s="84">
        <f>'AUDIT HK'!AX167</f>
        <v>6</v>
      </c>
      <c r="M40" s="84">
        <f>'AUDIT HK'!BD167</f>
        <v>7</v>
      </c>
      <c r="N40" s="84">
        <f>'AUDIT HK'!BJ167</f>
        <v>8</v>
      </c>
      <c r="O40" s="84">
        <f>'AUDIT HK'!BP167</f>
        <v>8</v>
      </c>
      <c r="P40" s="84">
        <f>'AUDIT HK'!BV167</f>
        <v>7</v>
      </c>
      <c r="Q40" s="84">
        <f>'AUDIT HK'!CB167</f>
        <v>0</v>
      </c>
      <c r="R40" s="84">
        <f>'AUDIT HK'!CH167</f>
        <v>0</v>
      </c>
      <c r="S40" s="79" t="s">
        <v>16</v>
      </c>
      <c r="T40" s="92">
        <f t="shared" si="1"/>
        <v>2.3076923076923078E-2</v>
      </c>
      <c r="U40" s="92">
        <f t="shared" si="2"/>
        <v>3.0769230769230771E-2</v>
      </c>
      <c r="V40" s="92">
        <f t="shared" si="3"/>
        <v>2.3076923076923078E-2</v>
      </c>
      <c r="W40" s="92">
        <f t="shared" si="4"/>
        <v>3.0769230769230771E-2</v>
      </c>
      <c r="X40" s="92">
        <f t="shared" si="5"/>
        <v>3.0769230769230771E-2</v>
      </c>
      <c r="Y40" s="92">
        <f t="shared" si="6"/>
        <v>3.0769230769230771E-2</v>
      </c>
      <c r="Z40" s="92">
        <f t="shared" si="7"/>
        <v>3.0769230769230771E-2</v>
      </c>
      <c r="AA40" s="92">
        <f t="shared" si="8"/>
        <v>2.3076923076923078E-2</v>
      </c>
      <c r="AB40" s="92">
        <f t="shared" si="9"/>
        <v>2.6923076923076925E-2</v>
      </c>
      <c r="AC40" s="92">
        <f t="shared" si="10"/>
        <v>3.0769230769230771E-2</v>
      </c>
      <c r="AD40" s="92">
        <f t="shared" si="11"/>
        <v>3.0769230769230771E-2</v>
      </c>
      <c r="AE40" s="92">
        <f t="shared" si="12"/>
        <v>2.6923076923076925E-2</v>
      </c>
      <c r="AF40" s="92">
        <f t="shared" si="13"/>
        <v>0</v>
      </c>
      <c r="AG40" s="92">
        <f t="shared" si="14"/>
        <v>0</v>
      </c>
      <c r="AH40" s="79" t="s">
        <v>16</v>
      </c>
      <c r="AI40" s="84">
        <f>COUNTIF('AUDIT HK'!$G$167:$G$170,"=1")</f>
        <v>2</v>
      </c>
      <c r="AJ40" s="84">
        <f>COUNTIF('AUDIT HK'!$M$167:$M$170,"=1")</f>
        <v>0</v>
      </c>
      <c r="AK40" s="84">
        <f>COUNTIF('AUDIT HK'!$S$167:$S$170,"=1")</f>
        <v>2</v>
      </c>
      <c r="AL40" s="84">
        <f>COUNTIF('AUDIT HK'!$Y$167:$Y$170,"=1")</f>
        <v>0</v>
      </c>
      <c r="AM40" s="84">
        <f>COUNTIF('AUDIT HK'!$AE$167:$AE$170,"=1")</f>
        <v>0</v>
      </c>
      <c r="AN40" s="84">
        <f>COUNTIF('AUDIT HK'!$AK$167:$AK$170,"=1")</f>
        <v>0</v>
      </c>
      <c r="AO40" s="84">
        <f>COUNTIF('AUDIT HK'!$AQ$167:$AQ$170,"=1")</f>
        <v>0</v>
      </c>
      <c r="AP40" s="84">
        <f>COUNTIF('AUDIT HK'!$AX$167:$AX$170,"=1")</f>
        <v>0</v>
      </c>
      <c r="AQ40" s="84">
        <f>COUNTIF('AUDIT HK'!$BC$167:$BC$170,"=1")</f>
        <v>1</v>
      </c>
      <c r="AR40" s="84">
        <f>COUNTIF('AUDIT HK'!$BI$167:$BI$170,"=1")</f>
        <v>0</v>
      </c>
      <c r="AS40" s="84">
        <f>COUNTIF('AUDIT HK'!$BO$167:$BO$170,"=1")</f>
        <v>0</v>
      </c>
      <c r="AT40" s="84">
        <f>COUNTIF('AUDIT HK'!$BU$167:$BU$170,"=1")</f>
        <v>0</v>
      </c>
      <c r="AU40" s="84">
        <f>COUNTIF('AUDIT HK'!$CA$167:$CA$170,"=1")</f>
        <v>0</v>
      </c>
      <c r="AV40" s="84">
        <f>COUNTIF('AUDIT HK'!$CG$167:$CG$170,"=1")</f>
        <v>0</v>
      </c>
      <c r="AW40" s="79" t="s">
        <v>16</v>
      </c>
      <c r="AX40" s="84">
        <f>COUNTIF('AUDIT HK'!$G$167:$G$170,"=0")</f>
        <v>0</v>
      </c>
      <c r="AY40" s="84">
        <f>COUNTIF('AUDIT HK'!$M$167:$M$170,"=0")</f>
        <v>0</v>
      </c>
      <c r="AZ40" s="84">
        <f>COUNTIF('AUDIT HK'!$S$167:$S$170,"=0")</f>
        <v>0</v>
      </c>
      <c r="BA40" s="84">
        <f>COUNTIF('AUDIT HK'!$Y$167:$Y$170,"=0")</f>
        <v>0</v>
      </c>
      <c r="BB40" s="84">
        <f>COUNTIF('AUDIT HK'!$AE$167:$AE$170,"=0")</f>
        <v>0</v>
      </c>
      <c r="BC40" s="84">
        <f>COUNTIF('AUDIT HK'!$AK$167:$AK$170,"=0")</f>
        <v>0</v>
      </c>
      <c r="BD40" s="84">
        <f>COUNTIF('AUDIT HK'!$AQ$167:$AQ$170,"=0")</f>
        <v>0</v>
      </c>
      <c r="BE40" s="84">
        <f>COUNTIF('AUDIT HK'!$AX$167:$AX$170,"=0")</f>
        <v>0</v>
      </c>
      <c r="BF40" s="84">
        <f>COUNTIF('AUDIT HK'!$BC$167:$BC$170,"=0")</f>
        <v>0</v>
      </c>
      <c r="BG40" s="84">
        <f>COUNTIF('AUDIT HK'!$BI$167:$BI$170,"=0")</f>
        <v>0</v>
      </c>
      <c r="BH40" s="84">
        <f>COUNTIF('AUDIT HK'!$BO$167:$BO$170,"=0")</f>
        <v>0</v>
      </c>
      <c r="BI40" s="84">
        <f>COUNTIF('AUDIT HK'!$BU$167:$BU$170,"=0")</f>
        <v>0</v>
      </c>
      <c r="BJ40" s="84">
        <f>COUNTIF('AUDIT HK'!$CA$167:$CA$170,"=0")</f>
        <v>0</v>
      </c>
      <c r="BK40" s="84">
        <f>COUNTIF('AUDIT HK'!$CG$167:$CG$170,"=0")</f>
        <v>0</v>
      </c>
    </row>
    <row r="41" spans="3:63" x14ac:dyDescent="0.25">
      <c r="C41">
        <v>10</v>
      </c>
      <c r="D41" s="80" t="s">
        <v>18</v>
      </c>
      <c r="E41" s="85">
        <f>'AUDIT HK'!H171</f>
        <v>10</v>
      </c>
      <c r="F41" s="85">
        <f>'AUDIT HK'!N171</f>
        <v>10</v>
      </c>
      <c r="G41" s="85">
        <f>'AUDIT HK'!T171</f>
        <v>9</v>
      </c>
      <c r="H41" s="85">
        <f>'AUDIT HK'!Z171</f>
        <v>10</v>
      </c>
      <c r="I41" s="85">
        <f>'AUDIT HK'!AF171</f>
        <v>9</v>
      </c>
      <c r="J41" s="85">
        <f>'AUDIT HK'!AL171</f>
        <v>10</v>
      </c>
      <c r="K41" s="85">
        <f>'AUDIT HK'!AR171</f>
        <v>10</v>
      </c>
      <c r="L41" s="85">
        <f>'AUDIT HK'!AX171</f>
        <v>10</v>
      </c>
      <c r="M41" s="85">
        <f>'AUDIT HK'!BD171</f>
        <v>9</v>
      </c>
      <c r="N41" s="85">
        <f>'AUDIT HK'!BJ171</f>
        <v>10</v>
      </c>
      <c r="O41" s="85">
        <f>'AUDIT HK'!BP171</f>
        <v>10</v>
      </c>
      <c r="P41" s="85">
        <f>'AUDIT HK'!BV171</f>
        <v>10</v>
      </c>
      <c r="Q41" s="85">
        <f>'AUDIT HK'!CB171</f>
        <v>0</v>
      </c>
      <c r="R41" s="85">
        <f>'AUDIT HK'!CH171</f>
        <v>0</v>
      </c>
      <c r="S41" s="80" t="s">
        <v>18</v>
      </c>
      <c r="T41" s="97">
        <f t="shared" si="1"/>
        <v>3.8461538461538464E-2</v>
      </c>
      <c r="U41" s="97">
        <f t="shared" si="2"/>
        <v>3.8461538461538464E-2</v>
      </c>
      <c r="V41" s="97">
        <f t="shared" si="3"/>
        <v>3.4615384615384617E-2</v>
      </c>
      <c r="W41" s="97">
        <f t="shared" si="4"/>
        <v>3.8461538461538464E-2</v>
      </c>
      <c r="X41" s="97">
        <f t="shared" si="5"/>
        <v>3.4615384615384617E-2</v>
      </c>
      <c r="Y41" s="97">
        <f t="shared" si="6"/>
        <v>3.8461538461538464E-2</v>
      </c>
      <c r="Z41" s="97">
        <f t="shared" si="7"/>
        <v>3.8461538461538464E-2</v>
      </c>
      <c r="AA41" s="97">
        <f t="shared" si="8"/>
        <v>3.8461538461538464E-2</v>
      </c>
      <c r="AB41" s="97">
        <f t="shared" si="9"/>
        <v>3.4615384615384617E-2</v>
      </c>
      <c r="AC41" s="97">
        <f t="shared" si="10"/>
        <v>3.8461538461538464E-2</v>
      </c>
      <c r="AD41" s="97">
        <f t="shared" si="11"/>
        <v>3.8461538461538464E-2</v>
      </c>
      <c r="AE41" s="97">
        <f t="shared" si="12"/>
        <v>3.8461538461538464E-2</v>
      </c>
      <c r="AF41" s="97">
        <f t="shared" si="13"/>
        <v>0</v>
      </c>
      <c r="AG41" s="97">
        <f t="shared" si="14"/>
        <v>0</v>
      </c>
      <c r="AH41" s="80" t="s">
        <v>18</v>
      </c>
      <c r="AI41" s="85">
        <f>COUNTIF('AUDIT HK'!$G$171:$G$175,"=1")</f>
        <v>0</v>
      </c>
      <c r="AJ41" s="85">
        <f>COUNTIF('AUDIT HK'!$M$171:$M$175,"=1")</f>
        <v>0</v>
      </c>
      <c r="AK41" s="85">
        <f>COUNTIF('AUDIT HK'!$S$171:$S$175,"=1")</f>
        <v>1</v>
      </c>
      <c r="AL41" s="85">
        <f>COUNTIF('AUDIT HK'!$Y$171:$Y$175,"=1")</f>
        <v>0</v>
      </c>
      <c r="AM41" s="85">
        <f>COUNTIF('AUDIT HK'!$AE$171:$AE$175,"=1")</f>
        <v>0</v>
      </c>
      <c r="AN41" s="85">
        <f>COUNTIF('AUDIT HK'!$AK$171:$AK$175,"=1")</f>
        <v>0</v>
      </c>
      <c r="AO41" s="85">
        <f>COUNTIF('AUDIT HK'!$AQ$171:$AQ$175,"=1")</f>
        <v>0</v>
      </c>
      <c r="AP41" s="85">
        <f>COUNTIF('AUDIT HK'!$AX$171:$AX$175,"=1")</f>
        <v>0</v>
      </c>
      <c r="AQ41" s="85">
        <f>COUNTIF('AUDIT HK'!$BC$171:$BC$175,"=1")</f>
        <v>1</v>
      </c>
      <c r="AR41" s="85">
        <f>COUNTIF('AUDIT HK'!$BI$171:$BI$175,"=1")</f>
        <v>0</v>
      </c>
      <c r="AS41" s="85">
        <f>COUNTIF('AUDIT HK'!$BO$171:$BO$175,"=1")</f>
        <v>0</v>
      </c>
      <c r="AT41" s="85">
        <f>COUNTIF('AUDIT HK'!$BU$171:$BU$175,"=1")</f>
        <v>0</v>
      </c>
      <c r="AU41" s="85">
        <f>COUNTIF('AUDIT HK'!$CA$171:$CA$175,"=1")</f>
        <v>0</v>
      </c>
      <c r="AV41" s="85">
        <f>COUNTIF('AUDIT HK'!$CG$171:$CG$175,"=1")</f>
        <v>0</v>
      </c>
      <c r="AW41" s="80" t="s">
        <v>18</v>
      </c>
      <c r="AX41" s="85">
        <f>COUNTIF('AUDIT HK'!$G$171:$G$175,"=0")</f>
        <v>0</v>
      </c>
      <c r="AY41" s="85">
        <f>COUNTIF('AUDIT HK'!$M$171:$M$175,"=0")</f>
        <v>0</v>
      </c>
      <c r="AZ41" s="85">
        <f>COUNTIF('AUDIT HK'!$S$171:$S$175,"=0")</f>
        <v>0</v>
      </c>
      <c r="BA41" s="85">
        <f>COUNTIF('AUDIT HK'!$Y$171:$Y$175,"=0")</f>
        <v>0</v>
      </c>
      <c r="BB41" s="85">
        <f>COUNTIF('AUDIT HK'!$AE$171:$AE$175,"=0")</f>
        <v>0</v>
      </c>
      <c r="BC41" s="85">
        <f>COUNTIF('AUDIT HK'!$AK$171:$AK$175,"=0")</f>
        <v>0</v>
      </c>
      <c r="BD41" s="85">
        <f>COUNTIF('AUDIT HK'!$AQ$171:$AQ$175,"=0")</f>
        <v>0</v>
      </c>
      <c r="BE41" s="85">
        <f>COUNTIF('AUDIT HK'!$AX$171:$AX$175,"=0")</f>
        <v>0</v>
      </c>
      <c r="BF41" s="85">
        <f>COUNTIF('AUDIT HK'!$BC$171:$BC$175,"=0")</f>
        <v>0</v>
      </c>
      <c r="BG41" s="85">
        <f>COUNTIF('AUDIT HK'!$BI$171:$BI$175,"=0")</f>
        <v>0</v>
      </c>
      <c r="BH41" s="85">
        <f>COUNTIF('AUDIT HK'!$BO$171:$BO$175,"=0")</f>
        <v>0</v>
      </c>
      <c r="BI41" s="85">
        <f>COUNTIF('AUDIT HK'!$BU$171:$BU$175,"=0")</f>
        <v>0</v>
      </c>
      <c r="BJ41" s="85">
        <f>COUNTIF('AUDIT HK'!$CA$171:$CA$175,"=0")</f>
        <v>0</v>
      </c>
      <c r="BK41" s="85">
        <f>COUNTIF('AUDIT HK'!$CG$171:$CG$175,"=0")</f>
        <v>0</v>
      </c>
    </row>
    <row r="42" spans="3:63" ht="15.75" customHeight="1" x14ac:dyDescent="0.25">
      <c r="C42">
        <v>10</v>
      </c>
      <c r="D42" s="80" t="s">
        <v>19</v>
      </c>
      <c r="E42" s="85">
        <f>'AUDIT HK'!H176</f>
        <v>10</v>
      </c>
      <c r="F42" s="85">
        <f>'AUDIT HK'!N176</f>
        <v>10</v>
      </c>
      <c r="G42" s="85">
        <f>'AUDIT HK'!T176</f>
        <v>9</v>
      </c>
      <c r="H42" s="85">
        <f>'AUDIT HK'!Z176</f>
        <v>10</v>
      </c>
      <c r="I42" s="85">
        <f>'AUDIT HK'!AF176</f>
        <v>10</v>
      </c>
      <c r="J42" s="85">
        <f>'AUDIT HK'!AL176</f>
        <v>10</v>
      </c>
      <c r="K42" s="85">
        <f>'AUDIT HK'!AR176</f>
        <v>10</v>
      </c>
      <c r="L42" s="85">
        <f>'AUDIT HK'!AX176</f>
        <v>9</v>
      </c>
      <c r="M42" s="85">
        <f>'AUDIT HK'!BD176</f>
        <v>8</v>
      </c>
      <c r="N42" s="85">
        <f>'AUDIT HK'!BJ176</f>
        <v>10</v>
      </c>
      <c r="O42" s="85">
        <f>'AUDIT HK'!BP176</f>
        <v>10</v>
      </c>
      <c r="P42" s="85">
        <f>'AUDIT HK'!BV176</f>
        <v>10</v>
      </c>
      <c r="Q42" s="85">
        <f>'AUDIT HK'!CB176</f>
        <v>0</v>
      </c>
      <c r="R42" s="85">
        <f>'AUDIT HK'!CH176</f>
        <v>0</v>
      </c>
      <c r="S42" s="80" t="s">
        <v>19</v>
      </c>
      <c r="T42" s="97">
        <f t="shared" si="1"/>
        <v>3.8461538461538464E-2</v>
      </c>
      <c r="U42" s="97">
        <f t="shared" si="2"/>
        <v>3.8461538461538464E-2</v>
      </c>
      <c r="V42" s="97">
        <f t="shared" si="3"/>
        <v>3.4615384615384617E-2</v>
      </c>
      <c r="W42" s="97">
        <f t="shared" si="4"/>
        <v>3.8461538461538464E-2</v>
      </c>
      <c r="X42" s="97">
        <f t="shared" si="5"/>
        <v>3.8461538461538464E-2</v>
      </c>
      <c r="Y42" s="97">
        <f t="shared" si="6"/>
        <v>3.8461538461538464E-2</v>
      </c>
      <c r="Z42" s="97">
        <f t="shared" si="7"/>
        <v>3.8461538461538464E-2</v>
      </c>
      <c r="AA42" s="97">
        <f t="shared" si="8"/>
        <v>3.4615384615384617E-2</v>
      </c>
      <c r="AB42" s="97">
        <f t="shared" si="9"/>
        <v>3.0769230769230771E-2</v>
      </c>
      <c r="AC42" s="97">
        <f t="shared" si="10"/>
        <v>3.8461538461538464E-2</v>
      </c>
      <c r="AD42" s="97">
        <f t="shared" si="11"/>
        <v>3.8461538461538464E-2</v>
      </c>
      <c r="AE42" s="97">
        <f t="shared" si="12"/>
        <v>3.8461538461538464E-2</v>
      </c>
      <c r="AF42" s="97">
        <f t="shared" si="13"/>
        <v>0</v>
      </c>
      <c r="AG42" s="97">
        <f t="shared" si="14"/>
        <v>0</v>
      </c>
      <c r="AH42" s="80" t="s">
        <v>19</v>
      </c>
      <c r="AI42" s="85">
        <f>COUNTIF('AUDIT HK'!$G$176:$G$180,"=1")</f>
        <v>0</v>
      </c>
      <c r="AJ42" s="85">
        <f>COUNTIF('AUDIT HK'!$M$176:$M$180,"=1")</f>
        <v>0</v>
      </c>
      <c r="AK42" s="85">
        <f>COUNTIF('AUDIT HK'!$S$176:$S$180,"=1")</f>
        <v>1</v>
      </c>
      <c r="AL42" s="85">
        <f>COUNTIF('AUDIT HK'!$Y$176:$Y$180,"=1")</f>
        <v>0</v>
      </c>
      <c r="AM42" s="85">
        <f>COUNTIF('AUDIT HK'!$AE$176:$AE$180,"=1")</f>
        <v>0</v>
      </c>
      <c r="AN42" s="85">
        <f>COUNTIF('AUDIT HK'!$AK$176:$AK$180,"=1")</f>
        <v>0</v>
      </c>
      <c r="AO42" s="85">
        <f>COUNTIF('AUDIT HK'!$AQ$176:$AQ$180,"=1")</f>
        <v>0</v>
      </c>
      <c r="AP42" s="85">
        <f>COUNTIF('AUDIT HK'!$AX$176:$AX$180,"=1")</f>
        <v>0</v>
      </c>
      <c r="AQ42" s="85">
        <f>COUNTIF('AUDIT HK'!$BC$176:$BC$180,"=1")</f>
        <v>0</v>
      </c>
      <c r="AR42" s="85">
        <f>COUNTIF('AUDIT HK'!$BI$176:$BI$180,"=1")</f>
        <v>0</v>
      </c>
      <c r="AS42" s="85">
        <f>COUNTIF('AUDIT HK'!$BO$176:$BO$180,"=1")</f>
        <v>0</v>
      </c>
      <c r="AT42" s="85">
        <f>COUNTIF('AUDIT HK'!$BU$176:$BU$180,"=1")</f>
        <v>0</v>
      </c>
      <c r="AU42" s="85">
        <f>COUNTIF('AUDIT HK'!$CA$176:$CA$180,"=1")</f>
        <v>0</v>
      </c>
      <c r="AV42" s="85">
        <f>COUNTIF('AUDIT HK'!$CG$176:$CG$180,"=1")</f>
        <v>0</v>
      </c>
      <c r="AW42" s="80" t="s">
        <v>19</v>
      </c>
      <c r="AX42" s="85">
        <f>COUNTIF('AUDIT HK'!$G$176:$G$180,"=0")</f>
        <v>0</v>
      </c>
      <c r="AY42" s="85">
        <f>COUNTIF('AUDIT HK'!$M$176:$M$180,"=0")</f>
        <v>0</v>
      </c>
      <c r="AZ42" s="85">
        <f>COUNTIF('AUDIT HK'!$S$176:$S$180,"=0")</f>
        <v>0</v>
      </c>
      <c r="BA42" s="85">
        <f>COUNTIF('AUDIT HK'!$Y$176:$Y$180,"=0")</f>
        <v>0</v>
      </c>
      <c r="BB42" s="85">
        <f>COUNTIF('AUDIT HK'!$AE$176:$AE$180,"=0")</f>
        <v>0</v>
      </c>
      <c r="BC42" s="85">
        <f>COUNTIF('AUDIT HK'!$AK$176:$AK$180,"=0")</f>
        <v>0</v>
      </c>
      <c r="BD42" s="85">
        <f>COUNTIF('AUDIT HK'!$AQ$176:$AQ$180,"=0")</f>
        <v>0</v>
      </c>
      <c r="BE42" s="85">
        <f>COUNTIF('AUDIT HK'!$AX$176:$AX$180,"=0")</f>
        <v>0</v>
      </c>
      <c r="BF42" s="85">
        <f>COUNTIF('AUDIT HK'!$BC$176:$BC$180,"=0")</f>
        <v>0</v>
      </c>
      <c r="BG42" s="85">
        <f>COUNTIF('AUDIT HK'!$BI$176:$BI$180,"=0")</f>
        <v>0</v>
      </c>
      <c r="BH42" s="85">
        <f>COUNTIF('AUDIT HK'!$BO$176:$BO$180,"=0")</f>
        <v>0</v>
      </c>
      <c r="BI42" s="85">
        <f>COUNTIF('AUDIT HK'!$BU$176:$BU$180,"=0")</f>
        <v>0</v>
      </c>
      <c r="BJ42" s="85">
        <f>COUNTIF('AUDIT HK'!$CA$176:$CA$180,"=0")</f>
        <v>0</v>
      </c>
      <c r="BK42" s="85">
        <f>COUNTIF('AUDIT HK'!$CG$176:$CG$180,"=0")</f>
        <v>0</v>
      </c>
    </row>
    <row r="43" spans="3:63" ht="15.75" thickBot="1" x14ac:dyDescent="0.3">
      <c r="C43">
        <v>8</v>
      </c>
      <c r="D43" s="81" t="s">
        <v>21</v>
      </c>
      <c r="E43" s="86">
        <f>'AUDIT HK'!H181</f>
        <v>8</v>
      </c>
      <c r="F43" s="86">
        <f>'AUDIT HK'!N181</f>
        <v>8</v>
      </c>
      <c r="G43" s="86">
        <f>'AUDIT HK'!T181</f>
        <v>8</v>
      </c>
      <c r="H43" s="86">
        <f>'AUDIT HK'!Z181</f>
        <v>8</v>
      </c>
      <c r="I43" s="86">
        <f>'AUDIT HK'!AF181</f>
        <v>8</v>
      </c>
      <c r="J43" s="86">
        <f>'AUDIT HK'!AL181</f>
        <v>8</v>
      </c>
      <c r="K43" s="86">
        <f>'AUDIT HK'!AR181</f>
        <v>8</v>
      </c>
      <c r="L43" s="86">
        <f>'AUDIT HK'!AX181</f>
        <v>8</v>
      </c>
      <c r="M43" s="86">
        <f>'AUDIT HK'!BD181</f>
        <v>8</v>
      </c>
      <c r="N43" s="86">
        <f>'AUDIT HK'!BJ181</f>
        <v>8</v>
      </c>
      <c r="O43" s="86">
        <f>'AUDIT HK'!BP181</f>
        <v>8</v>
      </c>
      <c r="P43" s="86">
        <f>'AUDIT HK'!BV181</f>
        <v>8</v>
      </c>
      <c r="Q43" s="86">
        <f>'AUDIT HK'!CB181</f>
        <v>0</v>
      </c>
      <c r="R43" s="86">
        <f>'AUDIT HK'!CH181</f>
        <v>0</v>
      </c>
      <c r="S43" s="81" t="s">
        <v>21</v>
      </c>
      <c r="T43" s="98">
        <f t="shared" si="1"/>
        <v>3.0769230769230771E-2</v>
      </c>
      <c r="U43" s="98">
        <f t="shared" si="2"/>
        <v>3.0769230769230771E-2</v>
      </c>
      <c r="V43" s="98">
        <f t="shared" si="3"/>
        <v>3.0769230769230771E-2</v>
      </c>
      <c r="W43" s="98">
        <f t="shared" si="4"/>
        <v>3.0769230769230771E-2</v>
      </c>
      <c r="X43" s="98">
        <f t="shared" si="5"/>
        <v>3.0769230769230771E-2</v>
      </c>
      <c r="Y43" s="98">
        <f t="shared" si="6"/>
        <v>3.0769230769230771E-2</v>
      </c>
      <c r="Z43" s="98">
        <f t="shared" si="7"/>
        <v>3.0769230769230771E-2</v>
      </c>
      <c r="AA43" s="98">
        <f t="shared" si="8"/>
        <v>3.0769230769230771E-2</v>
      </c>
      <c r="AB43" s="98">
        <f t="shared" si="9"/>
        <v>3.0769230769230771E-2</v>
      </c>
      <c r="AC43" s="98">
        <f t="shared" si="10"/>
        <v>3.0769230769230771E-2</v>
      </c>
      <c r="AD43" s="98">
        <f t="shared" si="11"/>
        <v>3.0769230769230771E-2</v>
      </c>
      <c r="AE43" s="98">
        <f t="shared" si="12"/>
        <v>3.0769230769230771E-2</v>
      </c>
      <c r="AF43" s="98">
        <f t="shared" si="13"/>
        <v>0</v>
      </c>
      <c r="AG43" s="98">
        <f t="shared" si="14"/>
        <v>0</v>
      </c>
      <c r="AH43" s="81" t="s">
        <v>21</v>
      </c>
      <c r="AI43" s="86">
        <f>COUNTIF('AUDIT HK'!$G$181:$G$184,"=1")</f>
        <v>0</v>
      </c>
      <c r="AJ43" s="86">
        <f>COUNTIF('AUDIT HK'!$M$181:$M$184,"=1")</f>
        <v>0</v>
      </c>
      <c r="AK43" s="86">
        <f>COUNTIF('AUDIT HK'!$S$181:$S$184,"=1")</f>
        <v>0</v>
      </c>
      <c r="AL43" s="86">
        <f>COUNTIF('AUDIT HK'!$Y$181:$Y$184,"=1")</f>
        <v>0</v>
      </c>
      <c r="AM43" s="86">
        <f>COUNTIF('AUDIT HK'!$AE$181:$AE$184,"=1")</f>
        <v>0</v>
      </c>
      <c r="AN43" s="86">
        <f>COUNTIF('AUDIT HK'!$AK$181:$AK$184,"=1")</f>
        <v>0</v>
      </c>
      <c r="AO43" s="86">
        <f>COUNTIF('AUDIT HK'!$AQ$181:$AQ$184,"=1")</f>
        <v>0</v>
      </c>
      <c r="AP43" s="86">
        <f>COUNTIF('AUDIT HK'!$AX$181:$AX$184,"=1")</f>
        <v>0</v>
      </c>
      <c r="AQ43" s="86">
        <f>COUNTIF('AUDIT HK'!$BC$181:$BC$184,"=1")</f>
        <v>0</v>
      </c>
      <c r="AR43" s="86">
        <f>COUNTIF('AUDIT HK'!$BI$181:$BI$184,"=1")</f>
        <v>0</v>
      </c>
      <c r="AS43" s="86">
        <f>COUNTIF('AUDIT HK'!$BO$181:$BO$184,"=1")</f>
        <v>0</v>
      </c>
      <c r="AT43" s="86">
        <f>COUNTIF('AUDIT HK'!$BU$181:$BU$184,"=1")</f>
        <v>0</v>
      </c>
      <c r="AU43" s="86">
        <f>COUNTIF('AUDIT HK'!$CA$181:$CA$184,"=1")</f>
        <v>0</v>
      </c>
      <c r="AV43" s="86">
        <f>COUNTIF('AUDIT HK'!$CG$181:$CG$184,"=1")</f>
        <v>0</v>
      </c>
      <c r="AW43" s="81" t="s">
        <v>21</v>
      </c>
      <c r="AX43" s="86">
        <f>COUNTIF('AUDIT HK'!$G$181:$G$184,"=0")</f>
        <v>0</v>
      </c>
      <c r="AY43" s="86">
        <f>COUNTIF('AUDIT HK'!$M$181:$M$184,"=0")</f>
        <v>0</v>
      </c>
      <c r="AZ43" s="86">
        <f>COUNTIF('AUDIT HK'!$S$181:$S$184,"=0")</f>
        <v>0</v>
      </c>
      <c r="BA43" s="86">
        <f>COUNTIF('AUDIT HK'!$Y$181:$Y$184,"=0")</f>
        <v>0</v>
      </c>
      <c r="BB43" s="86">
        <f>COUNTIF('AUDIT HK'!$AE$181:$AE$184,"=0")</f>
        <v>0</v>
      </c>
      <c r="BC43" s="86">
        <f>COUNTIF('AUDIT HK'!$AK$181:$AK$184,"=0")</f>
        <v>0</v>
      </c>
      <c r="BD43" s="86">
        <f>COUNTIF('AUDIT HK'!$AQ$181:$AQ$184,"=0")</f>
        <v>0</v>
      </c>
      <c r="BE43" s="86">
        <f>COUNTIF('AUDIT HK'!$AX$181:$AX$184,"=0")</f>
        <v>0</v>
      </c>
      <c r="BF43" s="86">
        <f>COUNTIF('AUDIT HK'!$BC$181:$BC$184,"=0")</f>
        <v>0</v>
      </c>
      <c r="BG43" s="86">
        <f>COUNTIF('AUDIT HK'!$BI$181:$BI$184,"=0")</f>
        <v>0</v>
      </c>
      <c r="BH43" s="86">
        <f>COUNTIF('AUDIT HK'!$BO$181:$BO$184,"=0")</f>
        <v>0</v>
      </c>
      <c r="BI43" s="86">
        <f>COUNTIF('AUDIT HK'!$BU$181:$BU$184,"=0")</f>
        <v>0</v>
      </c>
      <c r="BJ43" s="86">
        <f>COUNTIF('AUDIT HK'!$CA$181:$CA$184,"=0")</f>
        <v>0</v>
      </c>
      <c r="BK43" s="86">
        <f>COUNTIF('AUDIT HK'!$CG$181:$CG$184,"=0")</f>
        <v>0</v>
      </c>
    </row>
    <row r="44" spans="3:63" ht="15.75" thickBot="1" x14ac:dyDescent="0.3">
      <c r="C44">
        <v>6</v>
      </c>
      <c r="D44" s="81" t="s">
        <v>1194</v>
      </c>
      <c r="E44" s="86">
        <f>'AUDIT HK'!H185</f>
        <v>6</v>
      </c>
      <c r="F44" s="86">
        <f>'AUDIT HK'!N185</f>
        <v>6</v>
      </c>
      <c r="G44" s="86">
        <f>'AUDIT HK'!T185</f>
        <v>6</v>
      </c>
      <c r="H44" s="86">
        <f>'AUDIT HK'!Z185</f>
        <v>6</v>
      </c>
      <c r="I44" s="86">
        <f>'AUDIT HK'!AF185</f>
        <v>6</v>
      </c>
      <c r="J44" s="86">
        <f>'AUDIT HK'!AL185</f>
        <v>6</v>
      </c>
      <c r="K44" s="86">
        <f>'AUDIT HK'!AR185</f>
        <v>6</v>
      </c>
      <c r="L44" s="86">
        <f>'AUDIT HK'!AX185</f>
        <v>6</v>
      </c>
      <c r="M44" s="86">
        <f>'AUDIT HK'!BD185</f>
        <v>6</v>
      </c>
      <c r="N44" s="86">
        <f>'AUDIT HK'!BJ185</f>
        <v>6</v>
      </c>
      <c r="O44" s="86">
        <f>'AUDIT HK'!BP185</f>
        <v>6</v>
      </c>
      <c r="P44" s="86">
        <f>'AUDIT HK'!BV185</f>
        <v>6</v>
      </c>
      <c r="Q44" s="86">
        <f>'AUDIT HK'!CB185</f>
        <v>0</v>
      </c>
      <c r="R44" s="86">
        <f>'AUDIT HK'!CH185</f>
        <v>0</v>
      </c>
      <c r="S44" s="81" t="s">
        <v>1194</v>
      </c>
      <c r="T44" s="98">
        <f t="shared" si="1"/>
        <v>2.3076923076923078E-2</v>
      </c>
      <c r="U44" s="98">
        <f t="shared" si="2"/>
        <v>2.3076923076923078E-2</v>
      </c>
      <c r="V44" s="98">
        <f t="shared" si="3"/>
        <v>2.3076923076923078E-2</v>
      </c>
      <c r="W44" s="98">
        <f t="shared" si="4"/>
        <v>2.3076923076923078E-2</v>
      </c>
      <c r="X44" s="98">
        <f t="shared" si="5"/>
        <v>2.3076923076923078E-2</v>
      </c>
      <c r="Y44" s="98">
        <f t="shared" si="6"/>
        <v>2.3076923076923078E-2</v>
      </c>
      <c r="Z44" s="98">
        <f t="shared" si="7"/>
        <v>2.3076923076923078E-2</v>
      </c>
      <c r="AA44" s="98">
        <f t="shared" si="8"/>
        <v>2.3076923076923078E-2</v>
      </c>
      <c r="AB44" s="98">
        <f t="shared" si="9"/>
        <v>2.3076923076923078E-2</v>
      </c>
      <c r="AC44" s="98">
        <f t="shared" si="10"/>
        <v>2.3076923076923078E-2</v>
      </c>
      <c r="AD44" s="98">
        <f t="shared" si="11"/>
        <v>2.3076923076923078E-2</v>
      </c>
      <c r="AE44" s="98">
        <f t="shared" si="12"/>
        <v>2.3076923076923078E-2</v>
      </c>
      <c r="AF44" s="98">
        <f t="shared" si="13"/>
        <v>0</v>
      </c>
      <c r="AG44" s="98">
        <f t="shared" si="14"/>
        <v>0</v>
      </c>
      <c r="AH44" s="81" t="s">
        <v>1194</v>
      </c>
      <c r="AI44" s="86">
        <f>COUNTIF('AUDIT HK'!$G$185:$G$187,"=1")</f>
        <v>0</v>
      </c>
      <c r="AJ44" s="86">
        <f>COUNTIF('AUDIT HK'!$M$185:$M$187,"=1")</f>
        <v>0</v>
      </c>
      <c r="AK44" s="86">
        <f>COUNTIF('AUDIT HK'!$S$185:$S$187,"=1")</f>
        <v>0</v>
      </c>
      <c r="AL44" s="86">
        <f>COUNTIF('AUDIT HK'!$Y$185:$Y$187,"=1")</f>
        <v>0</v>
      </c>
      <c r="AM44" s="86">
        <f>COUNTIF('AUDIT HK'!$AE$185:$AE$187,"=1")</f>
        <v>0</v>
      </c>
      <c r="AN44" s="86">
        <f>COUNTIF('AUDIT HK'!$AK$185:$AK$187,"=1")</f>
        <v>0</v>
      </c>
      <c r="AO44" s="86">
        <f>COUNTIF('AUDIT HK'!$AQ$185:$AQ$187,"=1")</f>
        <v>0</v>
      </c>
      <c r="AP44" s="86">
        <f>COUNTIF('AUDIT HK'!$AX$185:$AX$187,"=1")</f>
        <v>0</v>
      </c>
      <c r="AQ44" s="86">
        <f>COUNTIF('AUDIT HK'!$BC$185:$BC$187,"=1")</f>
        <v>0</v>
      </c>
      <c r="AR44" s="86">
        <f>COUNTIF('AUDIT HK'!$BI$185:$BI$187,"=1")</f>
        <v>0</v>
      </c>
      <c r="AS44" s="86">
        <f>COUNTIF('AUDIT HK'!$BO$185:$BO$187,"=1")</f>
        <v>0</v>
      </c>
      <c r="AT44" s="86">
        <f>COUNTIF('AUDIT HK'!$BU$185:$BU$187,"=1")</f>
        <v>0</v>
      </c>
      <c r="AU44" s="86">
        <f>COUNTIF('AUDIT HK'!$CA$185:$CA$187,"=1")</f>
        <v>0</v>
      </c>
      <c r="AV44" s="86">
        <f>COUNTIF('AUDIT HK'!$CG$185:$CG$187,"=1")</f>
        <v>0</v>
      </c>
      <c r="AW44" s="81" t="s">
        <v>1194</v>
      </c>
      <c r="AX44" s="86">
        <f>COUNTIF('AUDIT HK'!$G$185:$G$187,"=0")</f>
        <v>0</v>
      </c>
      <c r="AY44" s="86">
        <f>COUNTIF('AUDIT HK'!$M$185:$M$187,"=0")</f>
        <v>0</v>
      </c>
      <c r="AZ44" s="86">
        <f>COUNTIF('AUDIT HK'!$S$185:$S$187,"=0")</f>
        <v>0</v>
      </c>
      <c r="BA44" s="86">
        <f>COUNTIF('AUDIT HK'!$Y$185:$Y$187,"=0")</f>
        <v>0</v>
      </c>
      <c r="BB44" s="86">
        <f>COUNTIF('AUDIT HK'!$AE$185:$AE$187,"=0")</f>
        <v>0</v>
      </c>
      <c r="BC44" s="86">
        <f>COUNTIF('AUDIT HK'!$AK$185:$AK$187,"=0")</f>
        <v>0</v>
      </c>
      <c r="BD44" s="86">
        <f>COUNTIF('AUDIT HK'!$AQ$185:$AQ$187,"=0")</f>
        <v>0</v>
      </c>
      <c r="BE44" s="86">
        <f>COUNTIF('AUDIT HK'!$AX$185:$AX$187,"=0")</f>
        <v>0</v>
      </c>
      <c r="BF44" s="86">
        <f>COUNTIF('AUDIT HK'!$BC$185:$BC$187,"=0")</f>
        <v>0</v>
      </c>
      <c r="BG44" s="86">
        <f>COUNTIF('AUDIT HK'!$BI$185:$BI$187,"=0")</f>
        <v>0</v>
      </c>
      <c r="BH44" s="86">
        <f>COUNTIF('AUDIT HK'!$BO$185:$BO$187,"=0")</f>
        <v>0</v>
      </c>
      <c r="BI44" s="86">
        <f>COUNTIF('AUDIT HK'!$BU$185:$BU$187,"=0")</f>
        <v>0</v>
      </c>
      <c r="BJ44" s="86">
        <f>COUNTIF('AUDIT HK'!$CA$185:$CA$187,"=0")</f>
        <v>0</v>
      </c>
      <c r="BK44" s="86">
        <f>COUNTIF('AUDIT HK'!$CG$185:$CG$187,"=0")</f>
        <v>0</v>
      </c>
    </row>
    <row r="45" spans="3:63" ht="15" customHeight="1" thickBot="1" x14ac:dyDescent="0.3">
      <c r="D45" s="67" t="str">
        <f>'AUDIT SISTEMAS Y PROCESOS'!H5</f>
        <v>AUDITORÍA DE SISTEMAS Y PROCESOS</v>
      </c>
      <c r="E45" s="37">
        <f>SUM(E47)</f>
        <v>8</v>
      </c>
      <c r="F45" s="37">
        <f t="shared" ref="F45:R45" si="117">SUM(F47)</f>
        <v>4</v>
      </c>
      <c r="G45" s="37">
        <f t="shared" si="117"/>
        <v>6</v>
      </c>
      <c r="H45" s="37">
        <f t="shared" si="117"/>
        <v>4</v>
      </c>
      <c r="I45" s="37">
        <f t="shared" si="117"/>
        <v>4</v>
      </c>
      <c r="J45" s="37">
        <f t="shared" si="117"/>
        <v>6</v>
      </c>
      <c r="K45" s="37">
        <f t="shared" si="117"/>
        <v>4</v>
      </c>
      <c r="L45" s="37">
        <f t="shared" si="117"/>
        <v>6</v>
      </c>
      <c r="M45" s="37">
        <f t="shared" si="117"/>
        <v>6</v>
      </c>
      <c r="N45" s="37">
        <f t="shared" si="117"/>
        <v>4</v>
      </c>
      <c r="O45" s="37">
        <f t="shared" si="117"/>
        <v>6</v>
      </c>
      <c r="P45" s="37">
        <f t="shared" si="117"/>
        <v>4</v>
      </c>
      <c r="Q45" s="37">
        <f t="shared" si="117"/>
        <v>4</v>
      </c>
      <c r="R45" s="37">
        <f t="shared" si="117"/>
        <v>0</v>
      </c>
      <c r="S45" s="67" t="str">
        <f>'AUDIT HK'!$B$166</f>
        <v>G. ZONAS COMUNES (Vestuarios, Servicios, Comedor y Cuarto de Limpieza)</v>
      </c>
      <c r="T45" s="91">
        <f t="shared" si="1"/>
        <v>3.0769230769230771E-2</v>
      </c>
      <c r="U45" s="91">
        <f t="shared" si="2"/>
        <v>1.5384615384615385E-2</v>
      </c>
      <c r="V45" s="91">
        <f t="shared" si="3"/>
        <v>2.3076923076923078E-2</v>
      </c>
      <c r="W45" s="91">
        <f t="shared" si="4"/>
        <v>1.5384615384615385E-2</v>
      </c>
      <c r="X45" s="91">
        <f t="shared" si="5"/>
        <v>1.5384615384615385E-2</v>
      </c>
      <c r="Y45" s="91">
        <f t="shared" si="6"/>
        <v>2.3076923076923078E-2</v>
      </c>
      <c r="Z45" s="91">
        <f t="shared" si="7"/>
        <v>1.5384615384615385E-2</v>
      </c>
      <c r="AA45" s="91">
        <f t="shared" si="8"/>
        <v>2.3076923076923078E-2</v>
      </c>
      <c r="AB45" s="91">
        <f t="shared" si="9"/>
        <v>2.3076923076923078E-2</v>
      </c>
      <c r="AC45" s="91">
        <f t="shared" si="10"/>
        <v>1.5384615384615385E-2</v>
      </c>
      <c r="AD45" s="91">
        <f t="shared" si="11"/>
        <v>2.3076923076923078E-2</v>
      </c>
      <c r="AE45" s="91">
        <f t="shared" si="12"/>
        <v>1.5384615384615385E-2</v>
      </c>
      <c r="AF45" s="91">
        <f t="shared" si="13"/>
        <v>1.5384615384615385E-2</v>
      </c>
      <c r="AG45" s="91">
        <f t="shared" si="14"/>
        <v>0</v>
      </c>
      <c r="AH45" s="67" t="str">
        <f>'AUDIT HK'!$B$166</f>
        <v>G. ZONAS COMUNES (Vestuarios, Servicios, Comedor y Cuarto de Limpieza)</v>
      </c>
      <c r="AI45" s="37">
        <f t="shared" ref="AI45:AV45" si="118">SUM(AI47:AI51)</f>
        <v>2</v>
      </c>
      <c r="AJ45" s="37">
        <f t="shared" si="118"/>
        <v>0</v>
      </c>
      <c r="AK45" s="37">
        <f t="shared" si="118"/>
        <v>2</v>
      </c>
      <c r="AL45" s="37">
        <f t="shared" si="118"/>
        <v>0</v>
      </c>
      <c r="AM45" s="37">
        <f t="shared" si="118"/>
        <v>0</v>
      </c>
      <c r="AN45" s="37">
        <f t="shared" si="118"/>
        <v>0</v>
      </c>
      <c r="AO45" s="37">
        <f t="shared" si="118"/>
        <v>0</v>
      </c>
      <c r="AP45" s="37">
        <f t="shared" si="118"/>
        <v>0</v>
      </c>
      <c r="AQ45" s="37">
        <f t="shared" si="118"/>
        <v>1</v>
      </c>
      <c r="AR45" s="37">
        <f t="shared" si="118"/>
        <v>0</v>
      </c>
      <c r="AS45" s="37">
        <f t="shared" si="118"/>
        <v>0</v>
      </c>
      <c r="AT45" s="37">
        <f t="shared" si="118"/>
        <v>0</v>
      </c>
      <c r="AU45" s="37">
        <f t="shared" si="118"/>
        <v>0</v>
      </c>
      <c r="AV45" s="37">
        <f t="shared" si="118"/>
        <v>0</v>
      </c>
      <c r="AW45" s="67" t="str">
        <f>'AUDIT HK'!$B$166</f>
        <v>G. ZONAS COMUNES (Vestuarios, Servicios, Comedor y Cuarto de Limpieza)</v>
      </c>
      <c r="AX45" s="37">
        <f t="shared" ref="AX45:BK45" si="119">SUM(AX47:AX51)</f>
        <v>0</v>
      </c>
      <c r="AY45" s="37">
        <f t="shared" si="119"/>
        <v>0</v>
      </c>
      <c r="AZ45" s="37">
        <f t="shared" si="119"/>
        <v>0</v>
      </c>
      <c r="BA45" s="37">
        <f t="shared" si="119"/>
        <v>0</v>
      </c>
      <c r="BB45" s="37">
        <f t="shared" si="119"/>
        <v>0</v>
      </c>
      <c r="BC45" s="37">
        <f t="shared" si="119"/>
        <v>0</v>
      </c>
      <c r="BD45" s="37">
        <f t="shared" si="119"/>
        <v>0</v>
      </c>
      <c r="BE45" s="37">
        <f t="shared" si="119"/>
        <v>0</v>
      </c>
      <c r="BF45" s="37">
        <f t="shared" si="119"/>
        <v>0</v>
      </c>
      <c r="BG45" s="37">
        <f t="shared" si="119"/>
        <v>0</v>
      </c>
      <c r="BH45" s="37">
        <f t="shared" si="119"/>
        <v>0</v>
      </c>
      <c r="BI45" s="37">
        <f t="shared" si="119"/>
        <v>0</v>
      </c>
      <c r="BJ45" s="37">
        <f t="shared" si="119"/>
        <v>0</v>
      </c>
      <c r="BK45" s="37">
        <f t="shared" si="119"/>
        <v>0</v>
      </c>
    </row>
    <row r="46" spans="3:63" ht="15.75" thickBot="1" x14ac:dyDescent="0.3">
      <c r="D46" s="79" t="s">
        <v>1197</v>
      </c>
      <c r="E46" s="84">
        <f>SUM('AUDIT SISTEMAS Y PROCESOS'!G10:G13)</f>
        <v>8</v>
      </c>
      <c r="F46" s="84">
        <f>SUM('AUDIT SISTEMAS Y PROCESOS'!G15:G16)</f>
        <v>4</v>
      </c>
      <c r="G46" s="84">
        <f>SUM('AUDIT SISTEMAS Y PROCESOS'!G18:G20)</f>
        <v>6</v>
      </c>
      <c r="H46" s="84">
        <f>SUM('AUDIT SISTEMAS Y PROCESOS'!G22:G23)</f>
        <v>4</v>
      </c>
      <c r="I46" s="84">
        <f>SUM('AUDIT SISTEMAS Y PROCESOS'!G25:G26)</f>
        <v>4</v>
      </c>
      <c r="J46" s="84">
        <f>SUM('AUDIT SISTEMAS Y PROCESOS'!G28:G30)</f>
        <v>6</v>
      </c>
      <c r="K46" s="84">
        <f>SUM('AUDIT SISTEMAS Y PROCESOS'!G32:G33)</f>
        <v>4</v>
      </c>
      <c r="L46" s="84">
        <f>SUM('AUDIT SISTEMAS Y PROCESOS'!G35:G37)</f>
        <v>6</v>
      </c>
      <c r="M46" s="84">
        <f>SUM('AUDIT SISTEMAS Y PROCESOS'!G39:G41)</f>
        <v>6</v>
      </c>
      <c r="N46" s="84">
        <f>SUM('AUDIT SISTEMAS Y PROCESOS'!G43:G44)</f>
        <v>4</v>
      </c>
      <c r="O46" s="84">
        <f>SUM('AUDIT SISTEMAS Y PROCESOS'!G46:G48)</f>
        <v>6</v>
      </c>
      <c r="P46" s="84">
        <f>SUM('AUDIT SISTEMAS Y PROCESOS'!G50:G51)</f>
        <v>4</v>
      </c>
      <c r="Q46" s="84">
        <v>4</v>
      </c>
      <c r="R46" s="84">
        <f>'AUDIT HK'!CH172</f>
        <v>0</v>
      </c>
      <c r="S46" s="79" t="s">
        <v>16</v>
      </c>
      <c r="T46" s="92">
        <f t="shared" si="1"/>
        <v>3.0769230769230771E-2</v>
      </c>
      <c r="U46" s="92">
        <f t="shared" si="2"/>
        <v>1.5384615384615385E-2</v>
      </c>
      <c r="V46" s="92">
        <f t="shared" si="3"/>
        <v>2.3076923076923078E-2</v>
      </c>
      <c r="W46" s="92">
        <f t="shared" si="4"/>
        <v>1.5384615384615385E-2</v>
      </c>
      <c r="X46" s="92">
        <f t="shared" si="5"/>
        <v>1.5384615384615385E-2</v>
      </c>
      <c r="Y46" s="92">
        <f t="shared" si="6"/>
        <v>2.3076923076923078E-2</v>
      </c>
      <c r="Z46" s="92">
        <f t="shared" si="7"/>
        <v>1.5384615384615385E-2</v>
      </c>
      <c r="AA46" s="92">
        <f t="shared" si="8"/>
        <v>2.3076923076923078E-2</v>
      </c>
      <c r="AB46" s="92">
        <f t="shared" si="9"/>
        <v>2.3076923076923078E-2</v>
      </c>
      <c r="AC46" s="92">
        <f t="shared" si="10"/>
        <v>1.5384615384615385E-2</v>
      </c>
      <c r="AD46" s="92">
        <f t="shared" si="11"/>
        <v>2.3076923076923078E-2</v>
      </c>
      <c r="AE46" s="92">
        <f t="shared" si="12"/>
        <v>1.5384615384615385E-2</v>
      </c>
      <c r="AF46" s="92">
        <f t="shared" si="13"/>
        <v>1.5384615384615385E-2</v>
      </c>
      <c r="AG46" s="92">
        <f t="shared" si="14"/>
        <v>0</v>
      </c>
      <c r="AH46" s="79" t="s">
        <v>16</v>
      </c>
      <c r="AI46" s="84">
        <f>COUNTIF('AUDIT HK'!$G$167:$G$170,"=1")</f>
        <v>2</v>
      </c>
      <c r="AJ46" s="84">
        <f>COUNTIF('AUDIT HK'!$M$167:$M$170,"=1")</f>
        <v>0</v>
      </c>
      <c r="AK46" s="84">
        <f>COUNTIF('AUDIT HK'!$S$167:$S$170,"=1")</f>
        <v>2</v>
      </c>
      <c r="AL46" s="84">
        <f>COUNTIF('AUDIT HK'!$Y$167:$Y$170,"=1")</f>
        <v>0</v>
      </c>
      <c r="AM46" s="84">
        <f>COUNTIF('AUDIT HK'!$AE$167:$AE$170,"=1")</f>
        <v>0</v>
      </c>
      <c r="AN46" s="84">
        <f>COUNTIF('AUDIT HK'!$AK$167:$AK$170,"=1")</f>
        <v>0</v>
      </c>
      <c r="AO46" s="84">
        <f>COUNTIF('AUDIT HK'!$AQ$167:$AQ$170,"=1")</f>
        <v>0</v>
      </c>
      <c r="AP46" s="84">
        <f>COUNTIF('AUDIT HK'!$AX$167:$AX$170,"=1")</f>
        <v>0</v>
      </c>
      <c r="AQ46" s="84">
        <f>COUNTIF('AUDIT HK'!$BC$167:$BC$170,"=1")</f>
        <v>1</v>
      </c>
      <c r="AR46" s="84">
        <f>COUNTIF('AUDIT HK'!$BI$167:$BI$170,"=1")</f>
        <v>0</v>
      </c>
      <c r="AS46" s="84">
        <f>COUNTIF('AUDIT HK'!$BO$167:$BO$170,"=1")</f>
        <v>0</v>
      </c>
      <c r="AT46" s="84">
        <f>COUNTIF('AUDIT HK'!$BU$167:$BU$170,"=1")</f>
        <v>0</v>
      </c>
      <c r="AU46" s="84">
        <f>COUNTIF('AUDIT HK'!$CA$167:$CA$170,"=1")</f>
        <v>0</v>
      </c>
      <c r="AV46" s="84">
        <f>COUNTIF('AUDIT HK'!$CG$167:$CG$170,"=1")</f>
        <v>0</v>
      </c>
      <c r="AW46" s="79" t="s">
        <v>16</v>
      </c>
      <c r="AX46" s="84">
        <f>COUNTIF('AUDIT HK'!$G$167:$G$170,"=0")</f>
        <v>0</v>
      </c>
      <c r="AY46" s="84">
        <f>COUNTIF('AUDIT HK'!$M$167:$M$170,"=0")</f>
        <v>0</v>
      </c>
      <c r="AZ46" s="84">
        <f>COUNTIF('AUDIT HK'!$S$167:$S$170,"=0")</f>
        <v>0</v>
      </c>
      <c r="BA46" s="84">
        <f>COUNTIF('AUDIT HK'!$Y$167:$Y$170,"=0")</f>
        <v>0</v>
      </c>
      <c r="BB46" s="84">
        <f>COUNTIF('AUDIT HK'!$AE$167:$AE$170,"=0")</f>
        <v>0</v>
      </c>
      <c r="BC46" s="84">
        <f>COUNTIF('AUDIT HK'!$AK$167:$AK$170,"=0")</f>
        <v>0</v>
      </c>
      <c r="BD46" s="84">
        <f>COUNTIF('AUDIT HK'!$AQ$167:$AQ$170,"=0")</f>
        <v>0</v>
      </c>
      <c r="BE46" s="84">
        <f>COUNTIF('AUDIT HK'!$AX$167:$AX$170,"=0")</f>
        <v>0</v>
      </c>
      <c r="BF46" s="84">
        <f>COUNTIF('AUDIT HK'!$BC$167:$BC$170,"=0")</f>
        <v>0</v>
      </c>
      <c r="BG46" s="84">
        <f>COUNTIF('AUDIT HK'!$BI$167:$BI$170,"=0")</f>
        <v>0</v>
      </c>
      <c r="BH46" s="84">
        <f>COUNTIF('AUDIT HK'!$BO$167:$BO$170,"=0")</f>
        <v>0</v>
      </c>
      <c r="BI46" s="84">
        <f>COUNTIF('AUDIT HK'!$BU$167:$BU$170,"=0")</f>
        <v>0</v>
      </c>
      <c r="BJ46" s="84">
        <f>COUNTIF('AUDIT HK'!$CA$167:$CA$170,"=0")</f>
        <v>0</v>
      </c>
      <c r="BK46" s="84">
        <f>COUNTIF('AUDIT HK'!$CG$167:$CG$170,"=0")</f>
        <v>0</v>
      </c>
    </row>
    <row r="47" spans="3:63" x14ac:dyDescent="0.25">
      <c r="D47" s="79" t="s">
        <v>1198</v>
      </c>
      <c r="E47" s="84">
        <v>8</v>
      </c>
      <c r="F47" s="84">
        <v>4</v>
      </c>
      <c r="G47" s="84">
        <v>6</v>
      </c>
      <c r="H47" s="84">
        <v>4</v>
      </c>
      <c r="I47" s="84">
        <v>4</v>
      </c>
      <c r="J47" s="84">
        <v>6</v>
      </c>
      <c r="K47" s="84">
        <v>4</v>
      </c>
      <c r="L47" s="84">
        <v>6</v>
      </c>
      <c r="M47" s="84">
        <v>6</v>
      </c>
      <c r="N47" s="84">
        <v>4</v>
      </c>
      <c r="O47" s="84">
        <v>6</v>
      </c>
      <c r="P47" s="84">
        <v>4</v>
      </c>
      <c r="Q47" s="84">
        <v>4</v>
      </c>
      <c r="R47" s="84">
        <f>'AUDIT HK'!CH173</f>
        <v>0</v>
      </c>
      <c r="S47" s="79" t="s">
        <v>16</v>
      </c>
      <c r="T47" s="92">
        <f t="shared" si="1"/>
        <v>3.0769230769230771E-2</v>
      </c>
      <c r="U47" s="92">
        <f t="shared" si="2"/>
        <v>1.5384615384615385E-2</v>
      </c>
      <c r="V47" s="92">
        <f t="shared" si="3"/>
        <v>2.3076923076923078E-2</v>
      </c>
      <c r="W47" s="92">
        <f t="shared" si="4"/>
        <v>1.5384615384615385E-2</v>
      </c>
      <c r="X47" s="92">
        <f t="shared" si="5"/>
        <v>1.5384615384615385E-2</v>
      </c>
      <c r="Y47" s="92">
        <f t="shared" si="6"/>
        <v>2.3076923076923078E-2</v>
      </c>
      <c r="Z47" s="92">
        <f t="shared" si="7"/>
        <v>1.5384615384615385E-2</v>
      </c>
      <c r="AA47" s="92">
        <f t="shared" si="8"/>
        <v>2.3076923076923078E-2</v>
      </c>
      <c r="AB47" s="92">
        <f t="shared" si="9"/>
        <v>2.3076923076923078E-2</v>
      </c>
      <c r="AC47" s="92">
        <f t="shared" si="10"/>
        <v>1.5384615384615385E-2</v>
      </c>
      <c r="AD47" s="92">
        <f t="shared" si="11"/>
        <v>2.3076923076923078E-2</v>
      </c>
      <c r="AE47" s="92">
        <f t="shared" si="12"/>
        <v>1.5384615384615385E-2</v>
      </c>
      <c r="AF47" s="92">
        <f t="shared" si="13"/>
        <v>1.5384615384615385E-2</v>
      </c>
      <c r="AG47" s="92">
        <f t="shared" si="14"/>
        <v>0</v>
      </c>
      <c r="AH47" s="79" t="s">
        <v>16</v>
      </c>
      <c r="AI47" s="84">
        <f>COUNTIF('AUDIT HK'!$G$167:$G$170,"=1")</f>
        <v>2</v>
      </c>
      <c r="AJ47" s="84">
        <f>COUNTIF('AUDIT HK'!$M$167:$M$170,"=1")</f>
        <v>0</v>
      </c>
      <c r="AK47" s="84">
        <f>COUNTIF('AUDIT HK'!$S$167:$S$170,"=1")</f>
        <v>2</v>
      </c>
      <c r="AL47" s="84">
        <f>COUNTIF('AUDIT HK'!$Y$167:$Y$170,"=1")</f>
        <v>0</v>
      </c>
      <c r="AM47" s="84">
        <f>COUNTIF('AUDIT HK'!$AE$167:$AE$170,"=1")</f>
        <v>0</v>
      </c>
      <c r="AN47" s="84">
        <f>COUNTIF('AUDIT HK'!$AK$167:$AK$170,"=1")</f>
        <v>0</v>
      </c>
      <c r="AO47" s="84">
        <f>COUNTIF('AUDIT HK'!$AQ$167:$AQ$170,"=1")</f>
        <v>0</v>
      </c>
      <c r="AP47" s="84">
        <f>COUNTIF('AUDIT HK'!$AX$167:$AX$170,"=1")</f>
        <v>0</v>
      </c>
      <c r="AQ47" s="84">
        <f>COUNTIF('AUDIT HK'!$BC$167:$BC$170,"=1")</f>
        <v>1</v>
      </c>
      <c r="AR47" s="84">
        <f>COUNTIF('AUDIT HK'!$BI$167:$BI$170,"=1")</f>
        <v>0</v>
      </c>
      <c r="AS47" s="84">
        <f>COUNTIF('AUDIT HK'!$BO$167:$BO$170,"=1")</f>
        <v>0</v>
      </c>
      <c r="AT47" s="84">
        <f>COUNTIF('AUDIT HK'!$BU$167:$BU$170,"=1")</f>
        <v>0</v>
      </c>
      <c r="AU47" s="84">
        <f>COUNTIF('AUDIT HK'!$CA$167:$CA$170,"=1")</f>
        <v>0</v>
      </c>
      <c r="AV47" s="84">
        <f>COUNTIF('AUDIT HK'!$CG$167:$CG$170,"=1")</f>
        <v>0</v>
      </c>
      <c r="AW47" s="79" t="s">
        <v>16</v>
      </c>
      <c r="AX47" s="84">
        <f>COUNTIF('AUDIT HK'!$G$167:$G$170,"=0")</f>
        <v>0</v>
      </c>
      <c r="AY47" s="84">
        <f>COUNTIF('AUDIT HK'!$M$167:$M$170,"=0")</f>
        <v>0</v>
      </c>
      <c r="AZ47" s="84">
        <f>COUNTIF('AUDIT HK'!$S$167:$S$170,"=0")</f>
        <v>0</v>
      </c>
      <c r="BA47" s="84">
        <f>COUNTIF('AUDIT HK'!$Y$167:$Y$170,"=0")</f>
        <v>0</v>
      </c>
      <c r="BB47" s="84">
        <f>COUNTIF('AUDIT HK'!$AE$167:$AE$170,"=0")</f>
        <v>0</v>
      </c>
      <c r="BC47" s="84">
        <f>COUNTIF('AUDIT HK'!$AK$167:$AK$170,"=0")</f>
        <v>0</v>
      </c>
      <c r="BD47" s="84">
        <f>COUNTIF('AUDIT HK'!$AQ$167:$AQ$170,"=0")</f>
        <v>0</v>
      </c>
      <c r="BE47" s="84">
        <f>COUNTIF('AUDIT HK'!$AX$167:$AX$170,"=0")</f>
        <v>0</v>
      </c>
      <c r="BF47" s="84">
        <f>COUNTIF('AUDIT HK'!$BC$167:$BC$170,"=0")</f>
        <v>0</v>
      </c>
      <c r="BG47" s="84">
        <f>COUNTIF('AUDIT HK'!$BI$167:$BI$170,"=0")</f>
        <v>0</v>
      </c>
      <c r="BH47" s="84">
        <f>COUNTIF('AUDIT HK'!$BO$167:$BO$170,"=0")</f>
        <v>0</v>
      </c>
      <c r="BI47" s="84">
        <f>COUNTIF('AUDIT HK'!$BU$167:$BU$170,"=0")</f>
        <v>0</v>
      </c>
      <c r="BJ47" s="84">
        <f>COUNTIF('AUDIT HK'!$CA$167:$CA$170,"=0")</f>
        <v>0</v>
      </c>
      <c r="BK47" s="84">
        <f>COUNTIF('AUDIT HK'!$CG$167:$CG$170,"=0")</f>
        <v>0</v>
      </c>
    </row>
    <row r="48" spans="3:63" x14ac:dyDescent="0.25">
      <c r="D48" s="100" t="s">
        <v>1199</v>
      </c>
      <c r="E48" s="102">
        <f>SUM(E46,E39,E33,E27,E21,E15,E9,E3)</f>
        <v>271</v>
      </c>
      <c r="F48" s="102">
        <f t="shared" ref="F48:R48" si="120">SUM(F46,F39,F33,F27,F21,F15,F9,F3)</f>
        <v>252</v>
      </c>
      <c r="G48" s="102">
        <f t="shared" si="120"/>
        <v>262</v>
      </c>
      <c r="H48" s="102">
        <f t="shared" si="120"/>
        <v>252</v>
      </c>
      <c r="I48" s="102">
        <f ca="1">SUM(I46,I39,I33,I27,I21,I15,I9,I3)</f>
        <v>265</v>
      </c>
      <c r="J48" s="102">
        <f>SUM(J45,J39,J33,J27,J21,J15,J9,J3)</f>
        <v>243</v>
      </c>
      <c r="K48" s="102">
        <f t="shared" si="120"/>
        <v>276</v>
      </c>
      <c r="L48" s="102">
        <f t="shared" si="120"/>
        <v>249</v>
      </c>
      <c r="M48" s="102">
        <f t="shared" si="120"/>
        <v>280</v>
      </c>
      <c r="N48" s="102">
        <f>SUM(N46,N39,N33,N27,N21,N15,N9,N3)</f>
        <v>245</v>
      </c>
      <c r="O48" s="102">
        <f t="shared" si="120"/>
        <v>236</v>
      </c>
      <c r="P48" s="102">
        <f t="shared" si="120"/>
        <v>250</v>
      </c>
      <c r="Q48" s="102">
        <f>SUM(Q46,Q39,Q33,Q27,Q21,Q15,Q9,Q3)</f>
        <v>4</v>
      </c>
      <c r="R48" s="102">
        <f t="shared" si="120"/>
        <v>0</v>
      </c>
      <c r="S48" s="90" t="s">
        <v>1200</v>
      </c>
      <c r="T48" s="99">
        <f t="shared" ref="T48:AG49" si="121">SUM(T3,T9,T15,T21,T27,T33,T39,)</f>
        <v>1.0115384615384615</v>
      </c>
      <c r="U48" s="99">
        <f t="shared" si="121"/>
        <v>0.95384615384615379</v>
      </c>
      <c r="V48" s="99">
        <f t="shared" si="121"/>
        <v>0.98461538461538467</v>
      </c>
      <c r="W48" s="99">
        <f t="shared" si="121"/>
        <v>0.95384615384615379</v>
      </c>
      <c r="X48" s="99">
        <f t="shared" ca="1" si="121"/>
        <v>1.0038461538461538</v>
      </c>
      <c r="Y48" s="99">
        <f t="shared" si="121"/>
        <v>0.91153846153846141</v>
      </c>
      <c r="Z48" s="99">
        <f t="shared" si="121"/>
        <v>1.046153846153846</v>
      </c>
      <c r="AA48" s="99">
        <f t="shared" si="121"/>
        <v>0.93461538461538474</v>
      </c>
      <c r="AB48" s="99">
        <f t="shared" si="121"/>
        <v>1.0538461538461539</v>
      </c>
      <c r="AC48" s="99">
        <f t="shared" si="121"/>
        <v>0.92692307692307674</v>
      </c>
      <c r="AD48" s="99">
        <f t="shared" si="121"/>
        <v>0.88461538461538458</v>
      </c>
      <c r="AE48" s="99">
        <f t="shared" si="121"/>
        <v>0.94615384615384612</v>
      </c>
      <c r="AF48" s="99">
        <f t="shared" si="121"/>
        <v>0</v>
      </c>
      <c r="AG48" s="99">
        <f t="shared" si="121"/>
        <v>0</v>
      </c>
      <c r="AH48" s="90" t="s">
        <v>1200</v>
      </c>
      <c r="AW48" s="90" t="s">
        <v>1200</v>
      </c>
    </row>
    <row r="49" spans="4:49" x14ac:dyDescent="0.25">
      <c r="D49" s="100" t="s">
        <v>1201</v>
      </c>
      <c r="E49" s="102">
        <v>296</v>
      </c>
      <c r="F49" s="102">
        <v>260</v>
      </c>
      <c r="G49" s="102">
        <v>294</v>
      </c>
      <c r="H49" s="102">
        <v>260</v>
      </c>
      <c r="I49" s="102">
        <v>292</v>
      </c>
      <c r="J49" s="102">
        <v>262</v>
      </c>
      <c r="K49" s="102">
        <v>292</v>
      </c>
      <c r="L49" s="102">
        <v>262</v>
      </c>
      <c r="M49" s="102">
        <v>294</v>
      </c>
      <c r="N49" s="102">
        <v>260</v>
      </c>
      <c r="O49" s="102">
        <v>294</v>
      </c>
      <c r="P49" s="102">
        <v>260</v>
      </c>
      <c r="Q49" s="102">
        <v>292</v>
      </c>
      <c r="R49" s="102">
        <v>288</v>
      </c>
      <c r="S49" s="90" t="s">
        <v>1200</v>
      </c>
      <c r="T49" s="99">
        <f t="shared" si="121"/>
        <v>0.20384615384615387</v>
      </c>
      <c r="U49" s="99">
        <f t="shared" si="121"/>
        <v>0.2</v>
      </c>
      <c r="V49" s="99">
        <f t="shared" si="121"/>
        <v>0.19230769230769232</v>
      </c>
      <c r="W49" s="99">
        <f t="shared" si="121"/>
        <v>0.19615384615384618</v>
      </c>
      <c r="X49" s="99">
        <f t="shared" ca="1" si="121"/>
        <v>0.2</v>
      </c>
      <c r="Y49" s="99">
        <f t="shared" si="121"/>
        <v>0.18461538461538463</v>
      </c>
      <c r="Z49" s="99">
        <f t="shared" si="121"/>
        <v>0.23076923076923078</v>
      </c>
      <c r="AA49" s="99">
        <f t="shared" si="121"/>
        <v>0.18076923076923077</v>
      </c>
      <c r="AB49" s="99">
        <f t="shared" si="121"/>
        <v>0.22692307692307695</v>
      </c>
      <c r="AC49" s="99">
        <f t="shared" si="121"/>
        <v>0.21153846153846156</v>
      </c>
      <c r="AD49" s="99">
        <f t="shared" si="121"/>
        <v>0.20384615384615384</v>
      </c>
      <c r="AE49" s="99">
        <f t="shared" si="121"/>
        <v>0.19615384615384618</v>
      </c>
      <c r="AF49" s="99">
        <f t="shared" si="121"/>
        <v>0</v>
      </c>
      <c r="AG49" s="99">
        <f t="shared" si="121"/>
        <v>0</v>
      </c>
      <c r="AH49" s="90" t="s">
        <v>1200</v>
      </c>
      <c r="AW49" s="90" t="s">
        <v>1200</v>
      </c>
    </row>
    <row r="50" spans="4:49" ht="17.25" customHeight="1" thickBot="1" x14ac:dyDescent="0.3">
      <c r="D50" s="83" t="s">
        <v>12</v>
      </c>
      <c r="E50" s="66" t="s">
        <v>1183</v>
      </c>
      <c r="F50" s="66" t="s">
        <v>1184</v>
      </c>
      <c r="G50" s="66" t="s">
        <v>1185</v>
      </c>
      <c r="H50" s="66" t="s">
        <v>1186</v>
      </c>
      <c r="I50" s="66" t="s">
        <v>1187</v>
      </c>
      <c r="J50" s="66" t="s">
        <v>1188</v>
      </c>
      <c r="K50" s="66" t="s">
        <v>1189</v>
      </c>
      <c r="L50" s="66" t="s">
        <v>1190</v>
      </c>
      <c r="M50" s="66" t="s">
        <v>9</v>
      </c>
      <c r="N50" s="66" t="s">
        <v>1191</v>
      </c>
      <c r="O50" s="66" t="s">
        <v>1192</v>
      </c>
      <c r="P50" s="66" t="s">
        <v>1193</v>
      </c>
      <c r="Q50" s="66" t="s">
        <v>147</v>
      </c>
      <c r="R50" s="66" t="s">
        <v>148</v>
      </c>
      <c r="S50" s="82" t="s">
        <v>1202</v>
      </c>
    </row>
    <row r="51" spans="4:49" x14ac:dyDescent="0.25">
      <c r="D51" s="103" t="s">
        <v>16</v>
      </c>
      <c r="E51" s="106">
        <f t="shared" ref="E51:R51" si="122">SUM(E4,E10,E16,E22,E28,E34,E40,)</f>
        <v>53</v>
      </c>
      <c r="F51" s="106">
        <f t="shared" si="122"/>
        <v>52</v>
      </c>
      <c r="G51" s="106">
        <f t="shared" si="122"/>
        <v>50</v>
      </c>
      <c r="H51" s="106">
        <f t="shared" si="122"/>
        <v>51</v>
      </c>
      <c r="I51" s="106">
        <f t="shared" ca="1" si="122"/>
        <v>52</v>
      </c>
      <c r="J51" s="106">
        <f t="shared" si="122"/>
        <v>48</v>
      </c>
      <c r="K51" s="106">
        <f t="shared" si="122"/>
        <v>60</v>
      </c>
      <c r="L51" s="106">
        <f t="shared" si="122"/>
        <v>47</v>
      </c>
      <c r="M51" s="106">
        <f t="shared" si="122"/>
        <v>59</v>
      </c>
      <c r="N51" s="106">
        <f>SUM(N4,N10,N16,N22,N28,N34,N40,)</f>
        <v>55</v>
      </c>
      <c r="O51" s="106">
        <f t="shared" si="122"/>
        <v>53</v>
      </c>
      <c r="P51" s="106">
        <f t="shared" si="122"/>
        <v>51</v>
      </c>
      <c r="Q51" s="106">
        <f>SUM(Q4,Q10,Q16,Q22,Q28,Q34,Q40,)</f>
        <v>0</v>
      </c>
      <c r="R51" s="106">
        <f t="shared" si="122"/>
        <v>0</v>
      </c>
      <c r="S51" s="113">
        <f>+C4+C10+C16+C22+C28+C34+C40</f>
        <v>62</v>
      </c>
      <c r="T51" s="82">
        <v>260</v>
      </c>
      <c r="U51">
        <v>56</v>
      </c>
    </row>
    <row r="52" spans="4:49" x14ac:dyDescent="0.25">
      <c r="D52" s="104" t="s">
        <v>18</v>
      </c>
      <c r="E52" s="107">
        <f t="shared" ref="E52:R52" si="123">SUM(E5,E11,E17,E23,E29,E35,E41,)</f>
        <v>60</v>
      </c>
      <c r="F52" s="107">
        <f t="shared" si="123"/>
        <v>64</v>
      </c>
      <c r="G52" s="107">
        <f t="shared" si="123"/>
        <v>63</v>
      </c>
      <c r="H52" s="107">
        <f t="shared" si="123"/>
        <v>61</v>
      </c>
      <c r="I52" s="107">
        <f t="shared" si="123"/>
        <v>62</v>
      </c>
      <c r="J52" s="107">
        <f t="shared" si="123"/>
        <v>58</v>
      </c>
      <c r="K52" s="107">
        <f t="shared" si="123"/>
        <v>65</v>
      </c>
      <c r="L52" s="107">
        <f t="shared" si="123"/>
        <v>61</v>
      </c>
      <c r="M52" s="107">
        <f t="shared" si="123"/>
        <v>66</v>
      </c>
      <c r="N52" s="107">
        <f t="shared" si="123"/>
        <v>59</v>
      </c>
      <c r="O52" s="107">
        <f t="shared" si="123"/>
        <v>50</v>
      </c>
      <c r="P52" s="107">
        <f t="shared" si="123"/>
        <v>63</v>
      </c>
      <c r="Q52" s="107">
        <f t="shared" si="123"/>
        <v>0</v>
      </c>
      <c r="R52" s="107">
        <f t="shared" si="123"/>
        <v>0</v>
      </c>
      <c r="S52" s="113">
        <f>+C5+C11+C17+C23+C29+C35+C41</f>
        <v>70</v>
      </c>
      <c r="U52">
        <v>64</v>
      </c>
    </row>
    <row r="53" spans="4:49" x14ac:dyDescent="0.25">
      <c r="D53" s="104" t="s">
        <v>19</v>
      </c>
      <c r="E53" s="107">
        <f t="shared" ref="E53:R53" si="124">SUM(E6,E12,E18,E24,E30,E36,E42,)</f>
        <v>84</v>
      </c>
      <c r="F53" s="107">
        <f t="shared" si="124"/>
        <v>76</v>
      </c>
      <c r="G53" s="107">
        <f t="shared" si="124"/>
        <v>77</v>
      </c>
      <c r="H53" s="107">
        <f t="shared" si="124"/>
        <v>80</v>
      </c>
      <c r="I53" s="107">
        <f t="shared" ca="1" si="124"/>
        <v>82</v>
      </c>
      <c r="J53" s="107">
        <f t="shared" si="124"/>
        <v>75</v>
      </c>
      <c r="K53" s="107">
        <f t="shared" si="124"/>
        <v>79</v>
      </c>
      <c r="L53" s="107">
        <f t="shared" si="124"/>
        <v>79</v>
      </c>
      <c r="M53" s="107">
        <f t="shared" si="124"/>
        <v>85</v>
      </c>
      <c r="N53" s="107">
        <f t="shared" si="124"/>
        <v>73</v>
      </c>
      <c r="O53" s="107">
        <f>SUM(O6,O12,O18,O24,O30,O36,O42,)</f>
        <v>71</v>
      </c>
      <c r="P53" s="107">
        <f t="shared" si="124"/>
        <v>76</v>
      </c>
      <c r="Q53" s="107">
        <f t="shared" si="124"/>
        <v>0</v>
      </c>
      <c r="R53" s="107">
        <f t="shared" si="124"/>
        <v>0</v>
      </c>
      <c r="S53" s="113">
        <f>+C6+C12+C18+C24+C30+C36+C42</f>
        <v>90</v>
      </c>
      <c r="U53">
        <v>80</v>
      </c>
    </row>
    <row r="54" spans="4:49" ht="15.75" thickBot="1" x14ac:dyDescent="0.3">
      <c r="D54" s="117" t="s">
        <v>21</v>
      </c>
      <c r="E54" s="109">
        <f t="shared" ref="E54:R54" si="125">SUM(E7,E13,E19,E25,E31,E37,E43,)</f>
        <v>66</v>
      </c>
      <c r="F54" s="109">
        <f t="shared" si="125"/>
        <v>56</v>
      </c>
      <c r="G54" s="109">
        <f t="shared" si="125"/>
        <v>66</v>
      </c>
      <c r="H54" s="109">
        <f t="shared" si="125"/>
        <v>56</v>
      </c>
      <c r="I54" s="109">
        <f t="shared" si="125"/>
        <v>65</v>
      </c>
      <c r="J54" s="109">
        <f t="shared" si="125"/>
        <v>56</v>
      </c>
      <c r="K54" s="109">
        <f t="shared" si="125"/>
        <v>68</v>
      </c>
      <c r="L54" s="109">
        <f t="shared" si="125"/>
        <v>56</v>
      </c>
      <c r="M54" s="109">
        <f t="shared" si="125"/>
        <v>64</v>
      </c>
      <c r="N54" s="109">
        <f t="shared" si="125"/>
        <v>54</v>
      </c>
      <c r="O54" s="109">
        <f t="shared" si="125"/>
        <v>56</v>
      </c>
      <c r="P54" s="109">
        <f t="shared" si="125"/>
        <v>56</v>
      </c>
      <c r="Q54" s="109">
        <f t="shared" si="125"/>
        <v>0</v>
      </c>
      <c r="R54" s="109">
        <f t="shared" si="125"/>
        <v>0</v>
      </c>
      <c r="S54" s="113">
        <f>+C7+C13+C19+C25+C31+C37+C43</f>
        <v>66</v>
      </c>
      <c r="U54">
        <v>56</v>
      </c>
    </row>
    <row r="55" spans="4:49" ht="15.75" thickBot="1" x14ac:dyDescent="0.3">
      <c r="D55" s="175" t="s">
        <v>1194</v>
      </c>
      <c r="E55" s="176">
        <f t="shared" ref="E55:R55" si="126">SUM(E8,E14,E20,E26,E32,E38,E44,)</f>
        <v>52</v>
      </c>
      <c r="F55" s="176">
        <f t="shared" si="126"/>
        <v>46</v>
      </c>
      <c r="G55" s="176">
        <f t="shared" si="126"/>
        <v>52</v>
      </c>
      <c r="H55" s="176">
        <f t="shared" si="126"/>
        <v>46</v>
      </c>
      <c r="I55" s="176">
        <f t="shared" si="126"/>
        <v>52</v>
      </c>
      <c r="J55" s="176">
        <f t="shared" si="126"/>
        <v>46</v>
      </c>
      <c r="K55" s="176">
        <f t="shared" si="126"/>
        <v>52</v>
      </c>
      <c r="L55" s="176">
        <f t="shared" si="126"/>
        <v>45</v>
      </c>
      <c r="M55" s="176">
        <f t="shared" si="126"/>
        <v>52</v>
      </c>
      <c r="N55" s="176">
        <f t="shared" si="126"/>
        <v>46</v>
      </c>
      <c r="O55" s="176">
        <f t="shared" si="126"/>
        <v>46</v>
      </c>
      <c r="P55" s="176">
        <f t="shared" si="126"/>
        <v>38</v>
      </c>
      <c r="Q55" s="176">
        <f t="shared" si="126"/>
        <v>0</v>
      </c>
      <c r="R55" s="177">
        <f t="shared" si="126"/>
        <v>0</v>
      </c>
      <c r="S55" s="113">
        <v>58</v>
      </c>
    </row>
    <row r="56" spans="4:49" ht="15.75" x14ac:dyDescent="0.25">
      <c r="D56" s="83" t="s">
        <v>12</v>
      </c>
      <c r="E56" s="66" t="s">
        <v>1183</v>
      </c>
      <c r="F56" s="66" t="s">
        <v>1184</v>
      </c>
      <c r="G56" s="66" t="s">
        <v>1185</v>
      </c>
      <c r="H56" s="66" t="s">
        <v>1186</v>
      </c>
      <c r="I56" s="66" t="s">
        <v>1187</v>
      </c>
      <c r="J56" s="66" t="s">
        <v>1188</v>
      </c>
      <c r="K56" s="66" t="s">
        <v>1189</v>
      </c>
      <c r="L56" s="66" t="s">
        <v>1190</v>
      </c>
      <c r="M56" s="66" t="s">
        <v>9</v>
      </c>
      <c r="N56" s="66" t="s">
        <v>1191</v>
      </c>
      <c r="O56" s="66" t="s">
        <v>1192</v>
      </c>
      <c r="P56" s="66" t="s">
        <v>1193</v>
      </c>
      <c r="Q56" s="66" t="s">
        <v>147</v>
      </c>
      <c r="R56" s="66" t="s">
        <v>148</v>
      </c>
      <c r="S56" s="82" t="s">
        <v>1202</v>
      </c>
    </row>
    <row r="57" spans="4:49" x14ac:dyDescent="0.25">
      <c r="D57" s="174" t="s">
        <v>16</v>
      </c>
      <c r="E57" s="120">
        <f ca="1">E51/'INFORME AUDIT INTERNA'!$E$45</f>
        <v>0.21285140562248997</v>
      </c>
      <c r="F57" s="120">
        <f ca="1">F51/'INFORME AUDIT INTERNA'!$E$45</f>
        <v>0.20883534136546184</v>
      </c>
      <c r="G57" s="120">
        <f ca="1">G51/'INFORME AUDIT INTERNA'!$E$45</f>
        <v>0.20080321285140562</v>
      </c>
      <c r="H57" s="120">
        <f ca="1">H51/'INFORME AUDIT INTERNA'!$E$45</f>
        <v>0.20481927710843373</v>
      </c>
      <c r="I57" s="120">
        <f ca="1">I51/'INFORME AUDIT INTERNA'!$E$45</f>
        <v>0.20883534136546184</v>
      </c>
      <c r="J57" s="120">
        <f ca="1">J51/'INFORME AUDIT INTERNA'!$E$45</f>
        <v>0.20080321285140562</v>
      </c>
      <c r="K57" s="120">
        <f ca="1">K51/'INFORME AUDIT INTERNA'!$E$45</f>
        <v>0.14457831325301204</v>
      </c>
      <c r="L57" s="120">
        <f ca="1">L51/'INFORME AUDIT INTERNA'!$E$45</f>
        <v>9.3385214007782102E-2</v>
      </c>
      <c r="M57" s="120">
        <f ca="1">M51/'INFORME AUDIT INTERNA'!$E$45</f>
        <v>0.16867469879518071</v>
      </c>
      <c r="N57" s="120">
        <f ca="1">N51/'INFORME AUDIT INTERNA'!$E$45</f>
        <v>0.20481927710843373</v>
      </c>
      <c r="O57" s="120">
        <f ca="1">O51/'INFORME AUDIT INTERNA'!$E$45</f>
        <v>0.21285140562248997</v>
      </c>
      <c r="P57" s="120">
        <f ca="1">P51/'INFORME AUDIT INTERNA'!$E$45</f>
        <v>0.20481927710843373</v>
      </c>
      <c r="Q57" s="120">
        <f ca="1">Q51/'INFORME AUDIT INTERNA'!$E$45</f>
        <v>0</v>
      </c>
      <c r="R57" s="120">
        <f ca="1">R51/'INFORME AUDIT INTERNA'!$E$45</f>
        <v>0</v>
      </c>
    </row>
    <row r="58" spans="4:49" x14ac:dyDescent="0.25">
      <c r="D58" s="104" t="s">
        <v>18</v>
      </c>
      <c r="E58" s="111">
        <f ca="1">E52/'INFORME AUDIT INTERNA'!$E$45</f>
        <v>0.24096385542168675</v>
      </c>
      <c r="F58" s="111">
        <f ca="1">F52/'INFORME AUDIT INTERNA'!$E$45</f>
        <v>0.25702811244979917</v>
      </c>
      <c r="G58" s="111">
        <f ca="1">G52/'INFORME AUDIT INTERNA'!$E$45</f>
        <v>0.25301204819277107</v>
      </c>
      <c r="H58" s="111">
        <f ca="1">H52/'INFORME AUDIT INTERNA'!$E$45</f>
        <v>0.24497991967871485</v>
      </c>
      <c r="I58" s="111">
        <f ca="1">I52/'INFORME AUDIT INTERNA'!$E$45</f>
        <v>0.24899598393574296</v>
      </c>
      <c r="J58" s="111">
        <f ca="1">J52/'INFORME AUDIT INTERNA'!$E$45</f>
        <v>0.22088353413654618</v>
      </c>
      <c r="K58" s="111">
        <f ca="1">K52/'INFORME AUDIT INTERNA'!$E$45</f>
        <v>0.23293172690763053</v>
      </c>
      <c r="L58" s="111">
        <f ca="1">L52/'INFORME AUDIT INTERNA'!$E$45</f>
        <v>8.8353413654618476E-2</v>
      </c>
      <c r="M58" s="111">
        <f ca="1">M52/'INFORME AUDIT INTERNA'!$E$45</f>
        <v>0.22088353413654618</v>
      </c>
      <c r="N58" s="111">
        <f ca="1">N52/'INFORME AUDIT INTERNA'!$E$45</f>
        <v>0.25301204819277107</v>
      </c>
      <c r="O58" s="111">
        <f ca="1">O52/'INFORME AUDIT INTERNA'!$E$45</f>
        <v>0.20080321285140562</v>
      </c>
      <c r="P58" s="111">
        <f ca="1">P52/'INFORME AUDIT INTERNA'!$E$45</f>
        <v>0.25301204819277107</v>
      </c>
      <c r="Q58" s="111">
        <f ca="1">Q52/'INFORME AUDIT INTERNA'!$E$45</f>
        <v>0</v>
      </c>
      <c r="R58" s="111">
        <f ca="1">R52/'INFORME AUDIT INTERNA'!$E$45</f>
        <v>0</v>
      </c>
    </row>
    <row r="59" spans="4:49" x14ac:dyDescent="0.25">
      <c r="D59" s="104" t="s">
        <v>19</v>
      </c>
      <c r="E59" s="111">
        <f ca="1">E53/'INFORME AUDIT INTERNA'!$E$45</f>
        <v>0.33333333333333331</v>
      </c>
      <c r="F59" s="111">
        <f ca="1">F53/'INFORME AUDIT INTERNA'!$E$45</f>
        <v>0.30120481927710846</v>
      </c>
      <c r="G59" s="111">
        <f ca="1">G53/'INFORME AUDIT INTERNA'!$E$45</f>
        <v>0.30923694779116467</v>
      </c>
      <c r="H59" s="111">
        <f ca="1">H53/'INFORME AUDIT INTERNA'!$E$45</f>
        <v>0.32128514056224899</v>
      </c>
      <c r="I59" s="111">
        <f ca="1">I53/'INFORME AUDIT INTERNA'!$E$45</f>
        <v>0.32931726907630521</v>
      </c>
      <c r="J59" s="111">
        <f ca="1">J53/'INFORME AUDIT INTERNA'!$E$45</f>
        <v>0.26506024096385544</v>
      </c>
      <c r="K59" s="111">
        <f ca="1">K53/'INFORME AUDIT INTERNA'!$E$45</f>
        <v>0.28112449799196787</v>
      </c>
      <c r="L59" s="111">
        <f ca="1">L53/'INFORME AUDIT INTERNA'!$E$45</f>
        <v>0.10843373493975904</v>
      </c>
      <c r="M59" s="111">
        <f ca="1">M53/'INFORME AUDIT INTERNA'!$E$45</f>
        <v>0.2971887550200803</v>
      </c>
      <c r="N59" s="111">
        <f ca="1">N53/'INFORME AUDIT INTERNA'!$E$45</f>
        <v>0.30120481927710846</v>
      </c>
      <c r="O59" s="111">
        <f ca="1">O53/'INFORME AUDIT INTERNA'!$E$45</f>
        <v>0.28514056224899598</v>
      </c>
      <c r="P59" s="111">
        <f ca="1">P53/'INFORME AUDIT INTERNA'!$E$45</f>
        <v>0.30522088353413657</v>
      </c>
      <c r="Q59" s="111">
        <f ca="1">Q53/'INFORME AUDIT INTERNA'!$E$45</f>
        <v>0</v>
      </c>
      <c r="R59" s="111">
        <f ca="1">R53/'INFORME AUDIT INTERNA'!$E$45</f>
        <v>0</v>
      </c>
    </row>
    <row r="60" spans="4:49" ht="15.75" thickBot="1" x14ac:dyDescent="0.3">
      <c r="D60" s="105" t="s">
        <v>21</v>
      </c>
      <c r="E60" s="112">
        <f ca="1">E54/'INFORME AUDIT INTERNA'!$E$45</f>
        <v>0.26506024096385544</v>
      </c>
      <c r="F60" s="112">
        <f ca="1">F54/'INFORME AUDIT INTERNA'!$E$45</f>
        <v>0.22489959839357429</v>
      </c>
      <c r="G60" s="112">
        <f ca="1">G54/'INFORME AUDIT INTERNA'!$E$45</f>
        <v>0.26506024096385544</v>
      </c>
      <c r="H60" s="112">
        <f ca="1">H54/'INFORME AUDIT INTERNA'!$E$45</f>
        <v>0.22489959839357429</v>
      </c>
      <c r="I60" s="112">
        <f ca="1">I54/'INFORME AUDIT INTERNA'!$E$45</f>
        <v>0.26104417670682734</v>
      </c>
      <c r="J60" s="112">
        <f ca="1">J54/'INFORME AUDIT INTERNA'!$E$45</f>
        <v>0.21686746987951808</v>
      </c>
      <c r="K60" s="112">
        <f ca="1">K54/'INFORME AUDIT INTERNA'!$E$45</f>
        <v>0.22489959839357429</v>
      </c>
      <c r="L60" s="112">
        <f ca="1">L54/'INFORME AUDIT INTERNA'!$E$45</f>
        <v>8.8353413654618476E-2</v>
      </c>
      <c r="M60" s="112">
        <f ca="1">M54/'INFORME AUDIT INTERNA'!$E$45</f>
        <v>0.22088353413654618</v>
      </c>
      <c r="N60" s="112">
        <f ca="1">N54/'INFORME AUDIT INTERNA'!$E$45</f>
        <v>0.21686746987951808</v>
      </c>
      <c r="O60" s="112">
        <f ca="1">O54/'INFORME AUDIT INTERNA'!$E$45</f>
        <v>0.22489959839357429</v>
      </c>
      <c r="P60" s="112">
        <f ca="1">P54/'INFORME AUDIT INTERNA'!$E$45</f>
        <v>0.22489959839357429</v>
      </c>
      <c r="Q60" s="112">
        <f ca="1">Q54/'INFORME AUDIT INTERNA'!$E$45</f>
        <v>0</v>
      </c>
      <c r="R60" s="112">
        <f ca="1">R54/'INFORME AUDIT INTERNA'!$E$45</f>
        <v>0</v>
      </c>
    </row>
    <row r="61" spans="4:49" ht="16.5" thickBot="1" x14ac:dyDescent="0.3">
      <c r="D61" s="83" t="s">
        <v>12</v>
      </c>
      <c r="E61" s="66" t="s">
        <v>1183</v>
      </c>
      <c r="F61" s="66" t="s">
        <v>1184</v>
      </c>
      <c r="G61" s="66" t="s">
        <v>1185</v>
      </c>
      <c r="H61" s="66" t="s">
        <v>1186</v>
      </c>
      <c r="I61" s="66" t="s">
        <v>1187</v>
      </c>
      <c r="J61" s="66" t="s">
        <v>1188</v>
      </c>
      <c r="K61" s="66" t="s">
        <v>1189</v>
      </c>
      <c r="L61" s="66" t="s">
        <v>1190</v>
      </c>
      <c r="M61" s="66" t="s">
        <v>9</v>
      </c>
      <c r="N61" s="66" t="s">
        <v>1191</v>
      </c>
      <c r="O61" s="66" t="s">
        <v>1192</v>
      </c>
      <c r="P61" s="66" t="s">
        <v>1193</v>
      </c>
      <c r="Q61" s="66" t="s">
        <v>147</v>
      </c>
      <c r="R61" s="66" t="s">
        <v>148</v>
      </c>
      <c r="S61" s="82" t="s">
        <v>1202</v>
      </c>
    </row>
    <row r="62" spans="4:49" ht="15.75" thickBot="1" x14ac:dyDescent="0.3">
      <c r="D62" s="103" t="s">
        <v>16</v>
      </c>
      <c r="E62" s="108">
        <f>IF('AUDIT HK'!$I$1&lt;&gt;"dd/mm/aaaa",E51/$S51,"")</f>
        <v>0.85483870967741937</v>
      </c>
      <c r="F62" s="108">
        <f>IF('AUDIT HK'!$O$1&lt;&gt;"dd/mm/aaaa",F51/U51,"")</f>
        <v>0.9285714285714286</v>
      </c>
      <c r="G62" s="108">
        <f>IF('AUDIT HK'!$U$1&lt;&gt;"dd/mm/aaaa",G51/$S51,"")</f>
        <v>0.80645161290322576</v>
      </c>
      <c r="H62" s="108">
        <f>IF('AUDIT HK'!$AA$1&lt;&gt;"dd/mm/aaaa",H51/U51,"")</f>
        <v>0.9107142857142857</v>
      </c>
      <c r="I62" s="108">
        <f ca="1">IF('AUDIT HK'!$AG$1&lt;&gt;"dd/mm/aaaa",I51/$S51,"")</f>
        <v>0.83870967741935487</v>
      </c>
      <c r="J62" s="108">
        <f>IF('AUDIT HK'!$AM$1&lt;&gt;"dd/mm/aaaa",J51/U51,"")</f>
        <v>0.8571428571428571</v>
      </c>
      <c r="K62" s="108">
        <f>IF('AUDIT HK'!$AS$1&lt;&gt;"dd/mm/aaaa",K51/$S51,"")</f>
        <v>0.967741935483871</v>
      </c>
      <c r="L62" s="108">
        <f>IF('AUDIT HK'!$AY$1&lt;&gt;"dd/mm/aaaa",L51/U51,"")</f>
        <v>0.8392857142857143</v>
      </c>
      <c r="M62" s="108">
        <f>IF('AUDIT HK'!$BE$1&lt;&gt;"dd/mm/aaaa",M51/$S51,"")</f>
        <v>0.95161290322580649</v>
      </c>
      <c r="N62" s="108">
        <f>IF('AUDIT HK'!$BK$1&lt;&gt;"dd/mm/aaaa",N51/U51,"")</f>
        <v>0.9821428571428571</v>
      </c>
      <c r="O62" s="108">
        <f>IF('AUDIT HK'!$BQ$1&lt;&gt;"dd/mm/aaaa",O51/$S51,"")</f>
        <v>0.85483870967741937</v>
      </c>
      <c r="P62" s="108">
        <f>IF('AUDIT HK'!$BW$1&lt;&gt;"dd/mm/aaaa",P51/U51,"")</f>
        <v>0.9107142857142857</v>
      </c>
      <c r="Q62" s="108">
        <f>IF('AUDIT HK'!$CC$1&lt;&gt;"dd/mm/aaaa",Q51/$S51,"")</f>
        <v>0</v>
      </c>
      <c r="R62" s="108" t="str">
        <f>IF('AUDIT HK'!$CI$1&lt;&gt;"dd/mm/aaaa",R51/$S51,"")</f>
        <v/>
      </c>
      <c r="S62" s="114" t="e" vm="1">
        <f t="shared" ref="S62:S67" ca="1" si="127">AVERAGE(E62:P62)</f>
        <v>#VALUE!</v>
      </c>
    </row>
    <row r="63" spans="4:49" ht="15.75" thickBot="1" x14ac:dyDescent="0.3">
      <c r="D63" s="104" t="s">
        <v>18</v>
      </c>
      <c r="E63" s="108">
        <f>IF('AUDIT HK'!$I$1&lt;&gt;"dd/mm/aaaa",E52/$S52,"")</f>
        <v>0.8571428571428571</v>
      </c>
      <c r="F63" s="108">
        <f>IF('AUDIT HK'!$O$1&lt;&gt;"dd/mm/aaaa",F52/U52,"")</f>
        <v>1</v>
      </c>
      <c r="G63" s="108">
        <f>IF('AUDIT HK'!$U$1&lt;&gt;"dd/mm/aaaa",G52/$S52,"")</f>
        <v>0.9</v>
      </c>
      <c r="H63" s="108">
        <f>IF('AUDIT HK'!$AA$1&lt;&gt;"dd/mm/aaaa",H52/U52,"")</f>
        <v>0.953125</v>
      </c>
      <c r="I63" s="108">
        <f>IF('AUDIT HK'!$AG$1&lt;&gt;"dd/mm/aaaa",I52/$S52,"")</f>
        <v>0.88571428571428568</v>
      </c>
      <c r="J63" s="108">
        <f>IF('AUDIT HK'!$AM$1&lt;&gt;"dd/mm/aaaa",J52/U52,"")</f>
        <v>0.90625</v>
      </c>
      <c r="K63" s="108">
        <f>IF('AUDIT HK'!$AS$1&lt;&gt;"dd/mm/aaaa",K52/$S52,"")</f>
        <v>0.9285714285714286</v>
      </c>
      <c r="L63" s="108">
        <f>IF('AUDIT HK'!$AY$1&lt;&gt;"dd/mm/aaaa",L52/U52,"")</f>
        <v>0.953125</v>
      </c>
      <c r="M63" s="108">
        <f>IF('AUDIT HK'!$BE$1&lt;&gt;"dd/mm/aaaa",M52/$S52,"")</f>
        <v>0.94285714285714284</v>
      </c>
      <c r="N63" s="108">
        <f>IF('AUDIT HK'!$BK$1&lt;&gt;"dd/mm/aaaa",N52/U52,"")</f>
        <v>0.921875</v>
      </c>
      <c r="O63" s="108">
        <f>IF('AUDIT HK'!$BQ$1&lt;&gt;"dd/mm/aaaa",O52/$S52,"")</f>
        <v>0.7142857142857143</v>
      </c>
      <c r="P63" s="108">
        <f>IF('AUDIT HK'!$BW$1&lt;&gt;"dd/mm/aaaa",P52/U52,"")</f>
        <v>0.984375</v>
      </c>
      <c r="Q63" s="108">
        <f>IF('AUDIT HK'!$CC$1&lt;&gt;"dd/mm/aaaa",Q52/$S52,"")</f>
        <v>0</v>
      </c>
      <c r="R63" s="108" t="str">
        <f>IF('AUDIT HK'!$CI$1&lt;&gt;"dd/mm/aaaa",R52/$S52,"")</f>
        <v/>
      </c>
      <c r="S63" s="114">
        <f t="shared" si="127"/>
        <v>0.91227678571428561</v>
      </c>
    </row>
    <row r="64" spans="4:49" ht="15.75" thickBot="1" x14ac:dyDescent="0.3">
      <c r="D64" s="104" t="s">
        <v>19</v>
      </c>
      <c r="E64" s="108">
        <f>IF('AUDIT HK'!$I$1&lt;&gt;"dd/mm/aaaa",E53/$S53,"")</f>
        <v>0.93333333333333335</v>
      </c>
      <c r="F64" s="108">
        <f>IF('AUDIT HK'!$O$1&lt;&gt;"dd/mm/aaaa",F53/U53,"")</f>
        <v>0.95</v>
      </c>
      <c r="G64" s="108">
        <f>IF('AUDIT HK'!$U$1&lt;&gt;"dd/mm/aaaa",G53/$S53,"")</f>
        <v>0.85555555555555551</v>
      </c>
      <c r="H64" s="108">
        <f>IF('AUDIT HK'!$AA$1&lt;&gt;"dd/mm/aaaa",H53/U53,"")</f>
        <v>1</v>
      </c>
      <c r="I64" s="108">
        <f ca="1">IF('AUDIT HK'!$AG$1&lt;&gt;"dd/mm/aaaa",I53/$S53,"")</f>
        <v>0.91111111111111109</v>
      </c>
      <c r="J64" s="108">
        <f>IF('AUDIT HK'!$AM$1&lt;&gt;"dd/mm/aaaa",J53/U53,"")</f>
        <v>0.9375</v>
      </c>
      <c r="K64" s="108">
        <f>IF('AUDIT HK'!$AS$1&lt;&gt;"dd/mm/aaaa",K53/$S53,"")</f>
        <v>0.87777777777777777</v>
      </c>
      <c r="L64" s="108">
        <f>IF('AUDIT HK'!$AY$1&lt;&gt;"dd/mm/aaaa",L53/U53,"")</f>
        <v>0.98750000000000004</v>
      </c>
      <c r="M64" s="108">
        <f>IF('AUDIT HK'!$BE$1&lt;&gt;"dd/mm/aaaa",M53/$S53,"")</f>
        <v>0.94444444444444442</v>
      </c>
      <c r="N64" s="108">
        <f>IF('AUDIT HK'!$BK$1&lt;&gt;"dd/mm/aaaa",N53/U53,"")</f>
        <v>0.91249999999999998</v>
      </c>
      <c r="O64" s="108">
        <f>IF('AUDIT HK'!$BQ$1&lt;&gt;"dd/mm/aaaa",O53/$S53,"")</f>
        <v>0.78888888888888886</v>
      </c>
      <c r="P64" s="108">
        <f>IF('AUDIT HK'!$BW$1&lt;&gt;"dd/mm/aaaa",P53/U53,"")</f>
        <v>0.95</v>
      </c>
      <c r="Q64" s="108">
        <f>IF('AUDIT HK'!$CC$1&lt;&gt;"dd/mm/aaaa",Q53/$S53,"")</f>
        <v>0</v>
      </c>
      <c r="R64" s="108" t="str">
        <f>IF('AUDIT HK'!$CI$1&lt;&gt;"dd/mm/aaaa",R53/$S53,"")</f>
        <v/>
      </c>
      <c r="S64" s="114">
        <f t="shared" ca="1" si="127"/>
        <v>0.83877314814814818</v>
      </c>
    </row>
    <row r="65" spans="4:20" ht="15.75" thickBot="1" x14ac:dyDescent="0.3">
      <c r="D65" s="117" t="s">
        <v>21</v>
      </c>
      <c r="E65" s="118">
        <f>IF('AUDIT HK'!$I$1&lt;&gt;"dd/mm/aaaa",E54/$S54,"")</f>
        <v>1</v>
      </c>
      <c r="F65" s="108">
        <f>IF('AUDIT HK'!$O$1&lt;&gt;"dd/mm/aaaa",F54/U54,"")</f>
        <v>1</v>
      </c>
      <c r="G65" s="118">
        <f>IF('AUDIT HK'!$U$1&lt;&gt;"dd/mm/aaaa",G54/$S54,"")</f>
        <v>1</v>
      </c>
      <c r="H65" s="108">
        <f>IF('AUDIT HK'!$AA$1&lt;&gt;"dd/mm/aaaa",H54/U54,"")</f>
        <v>1</v>
      </c>
      <c r="I65" s="118">
        <f>IF('AUDIT HK'!$AG$1&lt;&gt;"dd/mm/aaaa",I54/$S54,"")</f>
        <v>0.98484848484848486</v>
      </c>
      <c r="J65" s="108">
        <f>IF('AUDIT HK'!$AM$1&lt;&gt;"dd/mm/aaaa",J54/U54,"")</f>
        <v>1</v>
      </c>
      <c r="K65" s="118">
        <f>IF('AUDIT HK'!$AS$1&lt;&gt;"dd/mm/aaaa",K54/$S54,"")</f>
        <v>1.0303030303030303</v>
      </c>
      <c r="L65" s="108">
        <f>IF('AUDIT HK'!$AY$1&lt;&gt;"dd/mm/aaaa",L54/U54,"")</f>
        <v>1</v>
      </c>
      <c r="M65" s="118">
        <f>IF('AUDIT HK'!$BE$1&lt;&gt;"dd/mm/aaaa",M54/$S54,"")</f>
        <v>0.96969696969696972</v>
      </c>
      <c r="N65" s="108">
        <f>IF('AUDIT HK'!$BK$1&lt;&gt;"dd/mm/aaaa",N54/U54,"")</f>
        <v>0.9642857142857143</v>
      </c>
      <c r="O65" s="118">
        <f>IF('AUDIT HK'!$BQ$1&lt;&gt;"dd/mm/aaaa",O54/$S54,"")</f>
        <v>0.84848484848484851</v>
      </c>
      <c r="P65" s="108">
        <f>IF('AUDIT HK'!$BW$1&lt;&gt;"dd/mm/aaaa",P54/U54,"")</f>
        <v>1</v>
      </c>
      <c r="Q65" s="118">
        <f>IF('AUDIT HK'!$CC$1&lt;&gt;"dd/mm/aaaa",Q54/$S54,"")</f>
        <v>0</v>
      </c>
      <c r="R65" s="118" t="str">
        <f>IF('AUDIT HK'!$CI$1&lt;&gt;"dd/mm/aaaa",R54/$S54,"")</f>
        <v/>
      </c>
      <c r="S65" s="114">
        <f t="shared" si="127"/>
        <v>0.98313492063492047</v>
      </c>
    </row>
    <row r="66" spans="4:20" x14ac:dyDescent="0.25">
      <c r="D66" s="117" t="s">
        <v>22</v>
      </c>
      <c r="E66" s="118">
        <f>IF('AUDIT HK'!$I$1&lt;&gt;"dd/mm/aaaa",E46/E47,"")</f>
        <v>1</v>
      </c>
      <c r="F66" s="118">
        <f>IF('AUDIT HK'!$O$1&lt;&gt;"dd/mm/aaaa",F46/F47,"")</f>
        <v>1</v>
      </c>
      <c r="G66" s="118">
        <f>IF('AUDIT HK'!$U$1&lt;&gt;"dd/mm/aaaa",G46/G47,"")</f>
        <v>1</v>
      </c>
      <c r="H66" s="118">
        <f>IF('AUDIT HK'!$AA$1&lt;&gt;"dd/mm/aaaa",H46/H47,"")</f>
        <v>1</v>
      </c>
      <c r="I66" s="118">
        <f>IF('AUDIT HK'!$AG$1&lt;&gt;"dd/mm/aaaa",I46/I47,"")</f>
        <v>1</v>
      </c>
      <c r="J66" s="118">
        <f>IF('AUDIT HK'!$AM$1&lt;&gt;"dd/mm/aaaa",J46/J47,"")</f>
        <v>1</v>
      </c>
      <c r="K66" s="118">
        <f>IF('AUDIT HK'!$AS$1&lt;&gt;"dd/mm/aaaa",K46/K47,"")</f>
        <v>1</v>
      </c>
      <c r="L66" s="118">
        <f>IF('AUDIT HK'!$AY$1&lt;&gt;"dd/mm/aaaa",L46/L47,"")</f>
        <v>1</v>
      </c>
      <c r="M66" s="118">
        <f>IF('AUDIT HK'!$BE$1&lt;&gt;"dd/mm/aaaa",M46/M47,"")</f>
        <v>1</v>
      </c>
      <c r="N66" s="118">
        <f>IF('AUDIT HK'!$BK$1&lt;&gt;"dd/mm/aaaa",N46/N47,"")</f>
        <v>1</v>
      </c>
      <c r="O66" s="118">
        <f>IF('AUDIT HK'!$BQ$1&lt;&gt;"dd/mm/aaaa",O46/O47,"")</f>
        <v>1</v>
      </c>
      <c r="P66" s="118">
        <f>IF('AUDIT HK'!$BW$1&lt;&gt;"dd/mm/aaaa",P46/P47,"")</f>
        <v>1</v>
      </c>
      <c r="Q66" s="118">
        <f>IF('AUDIT HK'!$CC$1&lt;&gt;"dd/mm/aaaa",Q47/Q46,"")</f>
        <v>1</v>
      </c>
      <c r="R66" s="118" t="str">
        <f>IF('AUDIT HK'!$CI$1&lt;&gt;"dd/mm/aaaa",R55/$S55,"")</f>
        <v/>
      </c>
      <c r="S66" s="114">
        <f t="shared" si="127"/>
        <v>1</v>
      </c>
    </row>
    <row r="67" spans="4:20" ht="15.75" thickBot="1" x14ac:dyDescent="0.3">
      <c r="D67" s="121" t="s">
        <v>1199</v>
      </c>
      <c r="E67" s="122">
        <f>IF('AUDIT HK'!$I$1&lt;&gt;"dd/mm/aaaa",E48/E49,"")</f>
        <v>0.91554054054054057</v>
      </c>
      <c r="F67" s="122">
        <f>IF('AUDIT HK'!$O$1&lt;&gt;"dd/mm/aaaa",F48/'INFORME AUDIT INTERNA'!$E$46,"")</f>
        <v>0.8571428571428571</v>
      </c>
      <c r="G67" s="122">
        <f>IF('AUDIT HK'!$U$1&lt;&gt;"dd/mm/aaaa",G48/'INFORME AUDIT INTERNA'!$E$46,"")</f>
        <v>0.891156462585034</v>
      </c>
      <c r="H67" s="122">
        <f>IF('AUDIT HK'!$AA$1&lt;&gt;"dd/mm/aaaa",H48/'INFORME AUDIT INTERNA'!$E$46,"")</f>
        <v>0.8571428571428571</v>
      </c>
      <c r="I67" s="122">
        <f ca="1">IF('AUDIT HK'!$AG$1&lt;&gt;"dd/mm/aaaa",I48/'INFORME AUDIT INTERNA'!$E$46,"")</f>
        <v>1.0192307692307692</v>
      </c>
      <c r="J67" s="122">
        <f>IF('AUDIT HK'!$AM$1&lt;&gt;"dd/mm/aaaa",J48/'INFORME AUDIT INTERNA'!$E$46,"")</f>
        <v>0.82653061224489799</v>
      </c>
      <c r="K67" s="122">
        <f>IF('AUDIT HK'!$AS$1&lt;&gt;"dd/mm/aaaa",K48/'INFORME AUDIT INTERNA'!$E$46,"")</f>
        <v>0.93877551020408168</v>
      </c>
      <c r="L67" s="122">
        <f>IF('AUDIT HK'!$AY$1&lt;&gt;"dd/mm/aaaa",L48/'INFORME AUDIT INTERNA'!$E$46,"")</f>
        <v>0.84693877551020413</v>
      </c>
      <c r="M67" s="122">
        <f>IF('AUDIT HK'!$BE$1&lt;&gt;"dd/mm/aaaa",M48/'INFORME AUDIT INTERNA'!$E$46,"")</f>
        <v>0.95238095238095233</v>
      </c>
      <c r="N67" s="122">
        <f>IF('AUDIT HK'!$BK$1&lt;&gt;"dd/mm/aaaa",N48/'INFORME AUDIT INTERNA'!$E$46,"")</f>
        <v>0.83333333333333337</v>
      </c>
      <c r="O67" s="122">
        <f>IF('AUDIT HK'!$BQ$1&lt;&gt;"dd/mm/aaaa",O48/'INFORME AUDIT INTERNA'!$E$46,"")</f>
        <v>0.80272108843537415</v>
      </c>
      <c r="P67" s="122">
        <f>IF('AUDIT HK'!$BW$1&lt;&gt;"dd/mm/aaaa",P48/'INFORME AUDIT INTERNA'!$E$46,"")</f>
        <v>0.85034013605442171</v>
      </c>
      <c r="Q67" s="122">
        <f>IF('AUDIT HK'!$CC$1&lt;&gt;"dd/mm/aaaa",Q48/'INFORME AUDIT INTERNA'!$E$46,"")</f>
        <v>1.3605442176870748E-2</v>
      </c>
      <c r="R67" s="122" t="str">
        <f>IF('AUDIT HK'!$CI$1&lt;&gt;"dd/mm/aaaa",R48/'INFORME AUDIT INTERNA'!$E$46,"")</f>
        <v/>
      </c>
      <c r="S67" s="123" t="e" vm="1">
        <f t="shared" ca="1" si="127"/>
        <v>#VALUE!</v>
      </c>
    </row>
    <row r="68" spans="4:20" ht="16.5" thickTop="1" x14ac:dyDescent="0.25">
      <c r="D68" s="83" t="s">
        <v>12</v>
      </c>
      <c r="E68" s="66" t="s">
        <v>1183</v>
      </c>
      <c r="F68" s="66" t="s">
        <v>1184</v>
      </c>
      <c r="G68" s="66" t="s">
        <v>1185</v>
      </c>
      <c r="H68" s="66" t="s">
        <v>1186</v>
      </c>
      <c r="I68" s="66" t="s">
        <v>1187</v>
      </c>
      <c r="J68" s="66" t="s">
        <v>1188</v>
      </c>
      <c r="K68" s="66" t="s">
        <v>1189</v>
      </c>
      <c r="L68" s="66" t="s">
        <v>1190</v>
      </c>
      <c r="M68" s="66" t="s">
        <v>9</v>
      </c>
      <c r="N68" s="66" t="s">
        <v>1191</v>
      </c>
      <c r="O68" s="66" t="s">
        <v>1192</v>
      </c>
      <c r="P68" s="66" t="s">
        <v>1193</v>
      </c>
      <c r="Q68" s="66" t="s">
        <v>147</v>
      </c>
      <c r="R68" s="66" t="s">
        <v>148</v>
      </c>
      <c r="S68" s="82" t="s">
        <v>1202</v>
      </c>
    </row>
    <row r="69" spans="4:20" ht="15.75" thickBot="1" x14ac:dyDescent="0.3">
      <c r="D69" s="119" t="str">
        <f>D3</f>
        <v>A. MEZCLAS (Cámaras, Bodegas, Sla. Mezclas, Sla. Aditivos, Sla.Glucosas)</v>
      </c>
      <c r="E69" s="120">
        <f>IF('AUDIT HK'!$I$1&lt;&gt;"dd/mm/aaaa",E3/$T69,"")</f>
        <v>0.92307692307692313</v>
      </c>
      <c r="F69" s="120">
        <f>IF('AUDIT HK'!$O$1&lt;&gt;"dd/mm/aaaa",F3/$T69,"")</f>
        <v>0.92307692307692313</v>
      </c>
      <c r="G69" s="120">
        <f>IF('AUDIT HK'!$U$1&lt;&gt;"dd/mm/aaaa",G3/$T69,"")</f>
        <v>0.86538461538461542</v>
      </c>
      <c r="H69" s="120">
        <f>IF('AUDIT HK'!$AA$1&lt;&gt;"dd/mm/aaaa",H3/$T69,"")</f>
        <v>0.86538461538461542</v>
      </c>
      <c r="I69" s="120">
        <f>IF('AUDIT HK'!$AG$1&lt;&gt;"dd/mm/aaaa",I3/$T69,"")</f>
        <v>0.90384615384615385</v>
      </c>
      <c r="J69" s="120">
        <f>IF('AUDIT HK'!$AM$1&lt;&gt;"dd/mm/aaaa",J3/$T69,"")</f>
        <v>0.80769230769230771</v>
      </c>
      <c r="K69" s="120">
        <f>IF('AUDIT HK'!$AS$1&lt;&gt;"dd/mm/aaaa",K3/$T69,"")</f>
        <v>0.94230769230769229</v>
      </c>
      <c r="L69" s="120">
        <f>IF('AUDIT HK'!$AY$1&lt;&gt;"dd/mm/aaaa",L3/$T69,"")</f>
        <v>0.94230769230769229</v>
      </c>
      <c r="M69" s="120">
        <f>IF('AUDIT HK'!$BE$1&lt;&gt;"dd/mm/aaaa",M3/$T69,"")</f>
        <v>0.92307692307692313</v>
      </c>
      <c r="N69" s="120">
        <f>IF('AUDIT HK'!$BK$1&lt;&gt;"dd/mm/aaaa",N3/$T69,"")</f>
        <v>0.96153846153846156</v>
      </c>
      <c r="O69" s="120">
        <f>IF('AUDIT HK'!$BQ$1&lt;&gt;"dd/mm/aaaa",O3/$T69,"")</f>
        <v>0.92307692307692313</v>
      </c>
      <c r="P69" s="120">
        <f>IF('AUDIT HK'!$BW$1&lt;&gt;"dd/mm/aaaa",P3/$T69,"")</f>
        <v>0.94230769230769229</v>
      </c>
      <c r="Q69" s="120">
        <f>IF('AUDIT HK'!$CC$1&lt;&gt;"dd/mm/aaaa",Q3/$T69,"")</f>
        <v>0</v>
      </c>
      <c r="R69" s="120" t="str">
        <f>IF('AUDIT HK'!$CI$1&lt;&gt;"dd/mm/aaaa",R3/$T69,"")</f>
        <v/>
      </c>
      <c r="S69" s="114">
        <f t="shared" ref="S69:S75" si="128">AVERAGE(E69:P69)</f>
        <v>0.91025641025641024</v>
      </c>
      <c r="T69" s="113">
        <v>52</v>
      </c>
    </row>
    <row r="70" spans="4:20" ht="15.75" thickBot="1" x14ac:dyDescent="0.3">
      <c r="D70" s="115" t="str">
        <f>D9</f>
        <v xml:space="preserve">B. ALMACÉN (MMPP, MMAA, Producto Terminado y APQ) </v>
      </c>
      <c r="E70" s="108">
        <f>IF('AUDIT HK'!$I$1&lt;&gt;"dd/mm/aaaa",E9/$T70,"")</f>
        <v>0.84090909090909094</v>
      </c>
      <c r="F70" s="108">
        <f>IF('AUDIT HK'!$O$1&lt;&gt;"dd/mm/aaaa",F9/$T70,"")</f>
        <v>0.95454545454545459</v>
      </c>
      <c r="G70" s="108">
        <f>IF('AUDIT HK'!$U$1&lt;&gt;"dd/mm/aaaa",G9/$T70,"")</f>
        <v>0.77272727272727271</v>
      </c>
      <c r="H70" s="108">
        <f>IF('AUDIT HK'!$AA$1&lt;&gt;"dd/mm/aaaa",H9/$T70,"")</f>
        <v>1</v>
      </c>
      <c r="I70" s="108">
        <f ca="1">IF('AUDIT HK'!$AG$1&lt;&gt;"dd/mm/aaaa",I9/$T70,"")</f>
        <v>0.77272727272727271</v>
      </c>
      <c r="J70" s="108">
        <f>IF('AUDIT HK'!$AM$1&lt;&gt;"dd/mm/aaaa",J9/$T70,"")</f>
        <v>0.93181818181818177</v>
      </c>
      <c r="K70" s="108">
        <f>IF('AUDIT HK'!$AS$1&lt;&gt;"dd/mm/aaaa",K9/$T70,"")</f>
        <v>0.95454545454545459</v>
      </c>
      <c r="L70" s="108">
        <f>IF('AUDIT HK'!$AY$1&lt;&gt;"dd/mm/aaaa",L9/$T70,"")</f>
        <v>0.90909090909090906</v>
      </c>
      <c r="M70" s="108">
        <f>IF('AUDIT HK'!$BE$1&lt;&gt;"dd/mm/aaaa",M9/$T70,"")</f>
        <v>0.90909090909090906</v>
      </c>
      <c r="N70" s="108">
        <f>IF('AUDIT HK'!$BK$1&lt;&gt;"dd/mm/aaaa",N9/$T70,"")</f>
        <v>0.95454545454545459</v>
      </c>
      <c r="O70" s="108">
        <f>IF('AUDIT HK'!$BQ$1&lt;&gt;"dd/mm/aaaa",O9/$T70,"")</f>
        <v>0.84090909090909094</v>
      </c>
      <c r="P70" s="108">
        <f>IF('AUDIT HK'!$BW$1&lt;&gt;"dd/mm/aaaa",P9/$T70,"")</f>
        <v>0.93181818181818177</v>
      </c>
      <c r="Q70" s="108">
        <f>IF('AUDIT HK'!$CC$1&lt;&gt;"dd/mm/aaaa",Q9/$T70,"")</f>
        <v>0</v>
      </c>
      <c r="R70" s="108" t="str">
        <f>IF('AUDIT HK'!$CI$1&lt;&gt;"dd/mm/aaaa",R9/$T70,"")</f>
        <v/>
      </c>
      <c r="S70" s="114">
        <f t="shared" ca="1" si="128"/>
        <v>0.47916666666666669</v>
      </c>
      <c r="T70" s="113">
        <v>44</v>
      </c>
    </row>
    <row r="71" spans="4:20" ht="15.75" thickBot="1" x14ac:dyDescent="0.3">
      <c r="D71" s="115" t="str">
        <f>D15</f>
        <v>C. Taller de Mantenimiento, Sla Compresores, Sla Calderas, Sla CIP y PTA</v>
      </c>
      <c r="E71" s="108">
        <f>IF('AUDIT HK'!$I$1&lt;&gt;"dd/mm/aaaa",E15/$T71,"")</f>
        <v>0.97619047619047616</v>
      </c>
      <c r="F71" s="108">
        <f>IF('AUDIT HK'!$O$1&lt;&gt;"dd/mm/aaaa",F15/$T71,"")</f>
        <v>1</v>
      </c>
      <c r="G71" s="108">
        <f>IF('AUDIT HK'!$U$1&lt;&gt;"dd/mm/aaaa",G15/$T71,"")</f>
        <v>0.95238095238095233</v>
      </c>
      <c r="H71" s="108">
        <f>IF('AUDIT HK'!$AA$1&lt;&gt;"dd/mm/aaaa",H15/$T71,"")</f>
        <v>1</v>
      </c>
      <c r="I71" s="108">
        <f>IF('AUDIT HK'!$AG$1&lt;&gt;"dd/mm/aaaa",I15/$T71,"")</f>
        <v>0.9285714285714286</v>
      </c>
      <c r="J71" s="108">
        <f>IF('AUDIT HK'!$AM$1&lt;&gt;"dd/mm/aaaa",J15/$T71,"")</f>
        <v>0.97619047619047616</v>
      </c>
      <c r="K71" s="108">
        <f>IF('AUDIT HK'!$AS$1&lt;&gt;"dd/mm/aaaa",K15/$T71,"")</f>
        <v>0.95238095238095233</v>
      </c>
      <c r="L71" s="108">
        <f>IF('AUDIT HK'!$AY$1&lt;&gt;"dd/mm/aaaa",L15/$T71,"")</f>
        <v>0.9285714285714286</v>
      </c>
      <c r="M71" s="108">
        <f>IF('AUDIT HK'!$BE$1&lt;&gt;"dd/mm/aaaa",M15/$T71,"")</f>
        <v>0.97619047619047616</v>
      </c>
      <c r="N71" s="108">
        <f>IF('AUDIT HK'!$BK$1&lt;&gt;"dd/mm/aaaa",N15/$T71,"")</f>
        <v>0.97619047619047616</v>
      </c>
      <c r="O71" s="108">
        <f>IF('AUDIT HK'!$BQ$1&lt;&gt;"dd/mm/aaaa",O15/$T71,"")</f>
        <v>0.95238095238095233</v>
      </c>
      <c r="P71" s="108">
        <f>IF('AUDIT HK'!$BW$1&lt;&gt;"dd/mm/aaaa",P15/$T71,"")</f>
        <v>1.0238095238095237</v>
      </c>
      <c r="Q71" s="108">
        <f>IF('AUDIT HK'!$CC$1&lt;&gt;"dd/mm/aaaa",Q15/$T71,"")</f>
        <v>0</v>
      </c>
      <c r="R71" s="108" t="str">
        <f>IF('AUDIT HK'!$CI$1&lt;&gt;"dd/mm/aaaa",R15/$T71,"")</f>
        <v/>
      </c>
      <c r="S71" s="114">
        <f>AVERAGE(E71,G71,I71,K71,M71,O71)</f>
        <v>0.95634920634920639</v>
      </c>
      <c r="T71" s="113">
        <v>42</v>
      </c>
    </row>
    <row r="72" spans="4:20" ht="15.75" thickBot="1" x14ac:dyDescent="0.3">
      <c r="D72" s="115" t="str">
        <f>D21</f>
        <v>D. Laboratorio</v>
      </c>
      <c r="E72" s="108">
        <f>IF('AUDIT HK'!$I$1&lt;&gt;"dd/mm/aaaa",E21/$T72,"")</f>
        <v>0.9375</v>
      </c>
      <c r="F72" s="108">
        <f>IF('AUDIT HK'!$O$1&lt;&gt;"dd/mm/aaaa",F21/$T72,"")</f>
        <v>0</v>
      </c>
      <c r="G72" s="108">
        <f>IF('AUDIT HK'!$U$1&lt;&gt;"dd/mm/aaaa",G21/$T72,"")</f>
        <v>1</v>
      </c>
      <c r="H72" s="108">
        <f>IF('AUDIT HK'!$AA$1&lt;&gt;"dd/mm/aaaa",H21/$T72,"")</f>
        <v>0</v>
      </c>
      <c r="I72" s="108">
        <f>IF('AUDIT HK'!$AG$1&lt;&gt;"dd/mm/aaaa",I21/$T72,"")</f>
        <v>0.9375</v>
      </c>
      <c r="J72" s="108">
        <f>IF('AUDIT HK'!$AM$1&lt;&gt;"dd/mm/aaaa",J21/$T72,"")</f>
        <v>0</v>
      </c>
      <c r="K72" s="108">
        <f>IF('AUDIT HK'!$AS$1&lt;&gt;"dd/mm/aaaa",K21/$T72,"")</f>
        <v>1</v>
      </c>
      <c r="L72" s="108">
        <f>IF('AUDIT HK'!$AY$1&lt;&gt;"dd/mm/aaaa",L21/$T72,"")</f>
        <v>0</v>
      </c>
      <c r="M72" s="108">
        <f>IF('AUDIT HK'!$BE$1&lt;&gt;"dd/mm/aaaa",M21/$T72,"")</f>
        <v>1</v>
      </c>
      <c r="N72" s="108">
        <f>IF('AUDIT HK'!$BK$1&lt;&gt;"dd/mm/aaaa",N21/$T72,"")</f>
        <v>0</v>
      </c>
      <c r="O72" s="108">
        <f>IF('AUDIT HK'!$BQ$1&lt;&gt;"dd/mm/aaaa",O21/$T72,"")</f>
        <v>0</v>
      </c>
      <c r="P72" s="108">
        <f>IF('AUDIT HK'!$BW$1&lt;&gt;"dd/mm/aaaa",P21/$T72,"")</f>
        <v>0</v>
      </c>
      <c r="Q72" s="108">
        <f>IF('AUDIT HK'!$CC$1&lt;&gt;"dd/mm/aaaa",Q21/$T72,"")</f>
        <v>0</v>
      </c>
      <c r="R72" s="108" t="str">
        <f>IF('AUDIT HK'!$CI$1&lt;&gt;"dd/mm/aaaa",R21/$T72,"")</f>
        <v/>
      </c>
      <c r="S72" s="114">
        <f>AVERAGE(O72,M72,K72,I72,G72,E72)</f>
        <v>0.8125</v>
      </c>
      <c r="T72" s="113">
        <v>32</v>
      </c>
    </row>
    <row r="73" spans="4:20" ht="15.75" thickBot="1" x14ac:dyDescent="0.3">
      <c r="D73" s="115" t="str">
        <f>D27</f>
        <v>E.ENVASADO (Linea 2,8 y 9 )</v>
      </c>
      <c r="E73" s="108">
        <f>IF('AUDIT HK'!$I$1&lt;&gt;"dd/mm/aaaa",E27/$T73,"")</f>
        <v>0.84090909090909094</v>
      </c>
      <c r="F73" s="108">
        <f>IF('AUDIT HK'!$O$1&lt;&gt;"dd/mm/aaaa",F27/$T73,"")</f>
        <v>1</v>
      </c>
      <c r="G73" s="108">
        <f>IF('AUDIT HK'!$U$1&lt;&gt;"dd/mm/aaaa",G27/$T73,"")</f>
        <v>0.88636363636363635</v>
      </c>
      <c r="H73" s="108">
        <f>IF('AUDIT HK'!$AA$1&lt;&gt;"dd/mm/aaaa",H27/$T73,"")</f>
        <v>1</v>
      </c>
      <c r="I73" s="108">
        <f ca="1">IF('AUDIT HK'!$AG$1&lt;&gt;"dd/mm/aaaa",I27/$T73,"")</f>
        <v>0.93181818181818177</v>
      </c>
      <c r="J73" s="108">
        <f>IF('AUDIT HK'!$AM$1&lt;&gt;"dd/mm/aaaa",J27/$T73,"")</f>
        <v>1</v>
      </c>
      <c r="K73" s="108">
        <f>IF('AUDIT HK'!$AS$1&lt;&gt;"dd/mm/aaaa",K27/$T73,"")</f>
        <v>0.84090909090909094</v>
      </c>
      <c r="L73" s="108">
        <f>IF('AUDIT HK'!$AY$1&lt;&gt;"dd/mm/aaaa",L27/$T73,"")</f>
        <v>1</v>
      </c>
      <c r="M73" s="108">
        <f>IF('AUDIT HK'!$BE$1&lt;&gt;"dd/mm/aaaa",M27/$T73,"")</f>
        <v>0.97727272727272729</v>
      </c>
      <c r="N73" s="108">
        <f>IF('AUDIT HK'!$BK$1&lt;&gt;"dd/mm/aaaa",N27/$T73,"")</f>
        <v>0.81818181818181823</v>
      </c>
      <c r="O73" s="108">
        <f>IF('AUDIT HK'!$BQ$1&lt;&gt;"dd/mm/aaaa",O27/$T73,"")</f>
        <v>0.81818181818181823</v>
      </c>
      <c r="P73" s="108">
        <f>IF('AUDIT HK'!$BW$1&lt;&gt;"dd/mm/aaaa",P27/$T73,"")</f>
        <v>1</v>
      </c>
      <c r="Q73" s="108">
        <f>IF('AUDIT HK'!$CC$1&lt;&gt;"dd/mm/aaaa",Q27/$T73,"")</f>
        <v>0</v>
      </c>
      <c r="R73" s="108" t="str">
        <f>IF('AUDIT HK'!$CI$1&lt;&gt;"dd/mm/aaaa",R27/$T73,"")</f>
        <v/>
      </c>
      <c r="S73" s="114">
        <f t="shared" ca="1" si="128"/>
        <v>0.9147727272727274</v>
      </c>
      <c r="T73" s="113">
        <v>44</v>
      </c>
    </row>
    <row r="74" spans="4:20" ht="15.75" thickBot="1" x14ac:dyDescent="0.3">
      <c r="D74" s="115" t="str">
        <f>D33</f>
        <v>F. Exteriores</v>
      </c>
      <c r="E74" s="108">
        <f>IF('AUDIT HK'!$I$1&lt;&gt;"dd/mm/aaaa",E33/$T74,"")</f>
        <v>0.94736842105263153</v>
      </c>
      <c r="F74" s="108">
        <f>IF('AUDIT HK'!$O$1&lt;&gt;"dd/mm/aaaa",F33/$T74,"")</f>
        <v>0.94736842105263153</v>
      </c>
      <c r="G74" s="108">
        <f>IF('AUDIT HK'!$U$1&lt;&gt;"dd/mm/aaaa",G33/$T74,"")</f>
        <v>0.89473684210526316</v>
      </c>
      <c r="H74" s="108">
        <f>IF('AUDIT HK'!$AA$1&lt;&gt;"dd/mm/aaaa",H33/$T74,"")</f>
        <v>0.97368421052631582</v>
      </c>
      <c r="I74" s="108">
        <f>IF('AUDIT HK'!$AG$1&lt;&gt;"dd/mm/aaaa",I33/$T74,"")</f>
        <v>0.92105263157894735</v>
      </c>
      <c r="J74" s="108">
        <f>IF('AUDIT HK'!$AM$1&lt;&gt;"dd/mm/aaaa",J33/$T74,"")</f>
        <v>0.86842105263157898</v>
      </c>
      <c r="K74" s="108">
        <f>IF('AUDIT HK'!$AS$1&lt;&gt;"dd/mm/aaaa",K33/$T74,"")</f>
        <v>0.94736842105263153</v>
      </c>
      <c r="L74" s="108">
        <f>IF('AUDIT HK'!$AY$1&lt;&gt;"dd/mm/aaaa",L33/$T74,"")</f>
        <v>1</v>
      </c>
      <c r="M74" s="108">
        <f>IF('AUDIT HK'!$BE$1&lt;&gt;"dd/mm/aaaa",M33/$T74,"")</f>
        <v>1</v>
      </c>
      <c r="N74" s="108">
        <f>IF('AUDIT HK'!$BK$1&lt;&gt;"dd/mm/aaaa",N33/$T74,"")</f>
        <v>0.94736842105263153</v>
      </c>
      <c r="O74" s="108">
        <f>IF('AUDIT HK'!$BQ$1&lt;&gt;"dd/mm/aaaa",O33/$T74,"")</f>
        <v>0.86842105263157898</v>
      </c>
      <c r="P74" s="108">
        <f>IF('AUDIT HK'!$BW$1&lt;&gt;"dd/mm/aaaa",P33/$T74,"")</f>
        <v>0.89473684210526316</v>
      </c>
      <c r="Q74" s="108">
        <f>IF('AUDIT HK'!$CC$1&lt;&gt;"dd/mm/aaaa",Q33/$T74,"")</f>
        <v>0</v>
      </c>
      <c r="R74" s="108" t="str">
        <f>IF('AUDIT HK'!$CI$1&lt;&gt;"dd/mm/aaaa",R33/$T74,"")</f>
        <v/>
      </c>
      <c r="S74" s="114">
        <f t="shared" si="128"/>
        <v>0.93421052631578949</v>
      </c>
      <c r="T74" s="113">
        <v>38</v>
      </c>
    </row>
    <row r="75" spans="4:20" x14ac:dyDescent="0.25">
      <c r="D75" s="115" t="str">
        <f>D39</f>
        <v>G. ZONAS COMUNES (Vestuarios, Servicios, Comedor y Cuarto de Limpieza)</v>
      </c>
      <c r="E75" s="108">
        <f>IF('AUDIT HK'!$I$1&lt;&gt;"dd/mm/aaaa",E39/$T75,"")</f>
        <v>0.94444444444444442</v>
      </c>
      <c r="F75" s="108">
        <f>IF('AUDIT HK'!$O$1&lt;&gt;"dd/mm/aaaa",F39/$T75,"")</f>
        <v>1</v>
      </c>
      <c r="G75" s="108">
        <f>IF('AUDIT HK'!$U$1&lt;&gt;"dd/mm/aaaa",G39/$T75,"")</f>
        <v>0.88888888888888884</v>
      </c>
      <c r="H75" s="108">
        <f>IF('AUDIT HK'!$AA$1&lt;&gt;"dd/mm/aaaa",H39/$T75,"")</f>
        <v>1</v>
      </c>
      <c r="I75" s="108">
        <f>IF('AUDIT HK'!$AG$1&lt;&gt;"dd/mm/aaaa",I39/$T75,"")</f>
        <v>0.97222222222222221</v>
      </c>
      <c r="J75" s="108">
        <f>IF('AUDIT HK'!$AM$1&lt;&gt;"dd/mm/aaaa",J39/$T75,"")</f>
        <v>1</v>
      </c>
      <c r="K75" s="108">
        <f>IF('AUDIT HK'!$AS$1&lt;&gt;"dd/mm/aaaa",K39/$T75,"")</f>
        <v>1</v>
      </c>
      <c r="L75" s="108">
        <f>IF('AUDIT HK'!$AY$1&lt;&gt;"dd/mm/aaaa",L39/$T75,"")</f>
        <v>0.91666666666666663</v>
      </c>
      <c r="M75" s="108">
        <f>IF('AUDIT HK'!$BE$1&lt;&gt;"dd/mm/aaaa",M39/$T75,"")</f>
        <v>0.88888888888888884</v>
      </c>
      <c r="N75" s="108">
        <f>IF('AUDIT HK'!$BK$1&lt;&gt;"dd/mm/aaaa",N39/$T75,"")</f>
        <v>1</v>
      </c>
      <c r="O75" s="108">
        <f>IF('AUDIT HK'!$BQ$1&lt;&gt;"dd/mm/aaaa",O39/$T75,"")</f>
        <v>1</v>
      </c>
      <c r="P75" s="108">
        <f>IF('AUDIT HK'!$BW$1&lt;&gt;"dd/mm/aaaa",P39/$T75,"")</f>
        <v>0.97222222222222221</v>
      </c>
      <c r="Q75" s="108">
        <f>IF('AUDIT HK'!$CC$1&lt;&gt;"dd/mm/aaaa",Q39/$T75,"")</f>
        <v>0</v>
      </c>
      <c r="R75" s="108" t="str">
        <f>IF('AUDIT HK'!$CI$1&lt;&gt;"dd/mm/aaaa",R39/$T75,"")</f>
        <v/>
      </c>
      <c r="S75" s="114">
        <f t="shared" si="128"/>
        <v>0.96527777777777768</v>
      </c>
      <c r="T75" s="113">
        <v>36</v>
      </c>
    </row>
    <row r="76" spans="4:20" x14ac:dyDescent="0.25">
      <c r="D76" s="101" t="s">
        <v>1202</v>
      </c>
      <c r="E76" s="110">
        <f>IF('AUDIT HK'!$I$1&lt;&gt;"dd/mm/aaaa",AVERAGE(E69:E75),"")</f>
        <v>0.91577120665466538</v>
      </c>
      <c r="F76" s="406">
        <f>AVERAGE(F69:F70,F73:F75)</f>
        <v>0.96499815973500169</v>
      </c>
      <c r="G76" s="110">
        <f>IF('AUDIT HK'!$U$1&lt;&gt;"dd/mm/aaaa",AVERAGE(G69:G75),"")</f>
        <v>0.89435460112151843</v>
      </c>
      <c r="H76" s="110">
        <f>AVERAGE(H69:H70,H73:H75)</f>
        <v>0.96781376518218631</v>
      </c>
      <c r="I76" s="110">
        <f ca="1">IF('AUDIT HK'!$AG$1&lt;&gt;"dd/mm/aaaa",AVERAGE(I69:I75),"")</f>
        <v>0.90967684153774375</v>
      </c>
      <c r="J76" s="110">
        <f>AVERAGE(J69:J70,J73:J75)</f>
        <v>0.92158630842841371</v>
      </c>
      <c r="K76" s="110">
        <f>IF('AUDIT HK'!$AS$1&lt;&gt;"dd/mm/aaaa",AVERAGE(K69:K75),"")</f>
        <v>0.948215944456546</v>
      </c>
      <c r="L76" s="110">
        <f>AVERAGE(L73:L75,L69:L70)</f>
        <v>0.9536130536130536</v>
      </c>
      <c r="M76" s="110">
        <f>IF('AUDIT HK'!$BE$1&lt;&gt;"dd/mm/aaaa",AVERAGE(M69:M75),"")</f>
        <v>0.95350284635998916</v>
      </c>
      <c r="N76" s="110">
        <f>AVERAGE(N69:N70,N73:N75)</f>
        <v>0.9363268310636732</v>
      </c>
      <c r="O76" s="110">
        <f>IF('AUDIT HK'!$BQ$1&lt;&gt;"dd/mm/aaaa",AVERAGE(O69:O75),"")</f>
        <v>0.77185283388290915</v>
      </c>
      <c r="P76" s="110">
        <f>AVERAGE(P69:P70,P73:P75)</f>
        <v>0.94821698769067186</v>
      </c>
      <c r="Q76" s="110">
        <f>IF('AUDIT HK'!$CC$1&lt;&gt;"dd/mm/aaaa",AVERAGE(Q69:Q75),"")</f>
        <v>0</v>
      </c>
      <c r="R76" s="110" t="str">
        <f>IF('AUDIT HK'!$CI$1&lt;&gt;"dd/mm/aaaa",AVERAGE(R69:R75),"")</f>
        <v/>
      </c>
      <c r="S76" s="114" t="e" vm="1">
        <f ca="1">AVERAGE(S69:S75)</f>
        <v>#VALUE!</v>
      </c>
    </row>
    <row r="77" spans="4:20" x14ac:dyDescent="0.25">
      <c r="E77" s="99"/>
      <c r="F77" s="406"/>
    </row>
    <row r="78" spans="4:20" x14ac:dyDescent="0.25">
      <c r="F78" s="406"/>
    </row>
  </sheetData>
  <sheetProtection selectLockedCells="1" selectUnlockedCells="1"/>
  <mergeCells count="2">
    <mergeCell ref="E1:P1"/>
    <mergeCell ref="T1:AE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C876C6D45854B40A63C42618EB69FA7" ma:contentTypeVersion="19" ma:contentTypeDescription="Crear nuevo documento." ma:contentTypeScope="" ma:versionID="5b9363ee58749b17246435b39d702f89">
  <xsd:schema xmlns:xsd="http://www.w3.org/2001/XMLSchema" xmlns:xs="http://www.w3.org/2001/XMLSchema" xmlns:p="http://schemas.microsoft.com/office/2006/metadata/properties" xmlns:ns2="b52e2af2-c987-4e8f-9560-d27401ed61c3" xmlns:ns3="50f753c6-7314-4b84-b2f8-490e54f62341" targetNamespace="http://schemas.microsoft.com/office/2006/metadata/properties" ma:root="true" ma:fieldsID="bba8c6c4367be55da48bd02bedd33d4f" ns2:_="" ns3:_="">
    <xsd:import namespace="b52e2af2-c987-4e8f-9560-d27401ed61c3"/>
    <xsd:import namespace="50f753c6-7314-4b84-b2f8-490e54f6234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LengthInSeconds"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lcf76f155ced4ddcb4097134ff3c332f" minOccurs="0"/>
                <xsd:element ref="ns3:TaxCatchAll"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2e2af2-c987-4e8f-9560-d27401ed61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68432e3b-b075-4a06-8412-64b9d32a024e" ma:termSetId="09814cd3-568e-fe90-9814-8d621ff8fb84" ma:anchorId="fba54fb3-c3e1-fe81-a776-ca4b69148c4d" ma:open="true" ma:isKeyword="false">
      <xsd:complexType>
        <xsd:sequence>
          <xsd:element ref="pc:Terms" minOccurs="0" maxOccurs="1"/>
        </xsd:sequence>
      </xsd:complex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f753c6-7314-4b84-b2f8-490e54f62341"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54712e95-bb16-40b8-9be6-422ff7a0b4ac}" ma:internalName="TaxCatchAll" ma:showField="CatchAllData" ma:web="50f753c6-7314-4b84-b2f8-490e54f62341">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50f753c6-7314-4b84-b2f8-490e54f62341">
      <UserInfo>
        <DisplayName>Galarza, Aitor</DisplayName>
        <AccountId>129</AccountId>
        <AccountType/>
      </UserInfo>
      <UserInfo>
        <DisplayName>Hualde, Javier</DisplayName>
        <AccountId>81</AccountId>
        <AccountType/>
      </UserInfo>
      <UserInfo>
        <DisplayName>Fernandez, Francisco</DisplayName>
        <AccountId>130</AccountId>
        <AccountType/>
      </UserInfo>
      <UserInfo>
        <DisplayName>Naturana, Claudia</DisplayName>
        <AccountId>131</AccountId>
        <AccountType/>
      </UserInfo>
      <UserInfo>
        <DisplayName>Ataun Armendariz, Alberto</DisplayName>
        <AccountId>132</AccountId>
        <AccountType/>
      </UserInfo>
    </SharedWithUsers>
    <MediaLengthInSeconds xmlns="b52e2af2-c987-4e8f-9560-d27401ed61c3" xsi:nil="true"/>
    <TaxCatchAll xmlns="50f753c6-7314-4b84-b2f8-490e54f62341" xsi:nil="true"/>
    <lcf76f155ced4ddcb4097134ff3c332f xmlns="b52e2af2-c987-4e8f-9560-d27401ed61c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0FD6FE-9247-4C2C-88C3-3951A0B427FD}">
  <ds:schemaRefs>
    <ds:schemaRef ds:uri="http://schemas.microsoft.com/sharepoint/v3/contenttype/forms"/>
  </ds:schemaRefs>
</ds:datastoreItem>
</file>

<file path=customXml/itemProps2.xml><?xml version="1.0" encoding="utf-8"?>
<ds:datastoreItem xmlns:ds="http://schemas.openxmlformats.org/officeDocument/2006/customXml" ds:itemID="{9713FB06-86D9-4550-8E2E-9150DE6504C9}"/>
</file>

<file path=customXml/itemProps3.xml><?xml version="1.0" encoding="utf-8"?>
<ds:datastoreItem xmlns:ds="http://schemas.openxmlformats.org/officeDocument/2006/customXml" ds:itemID="{C14AC361-8D6B-4E73-AC45-1F079276528A}">
  <ds:schemaRefs>
    <ds:schemaRef ds:uri="http://schemas.openxmlformats.org/package/2006/metadata/core-properties"/>
    <ds:schemaRef ds:uri="http://purl.org/dc/elements/1.1/"/>
    <ds:schemaRef ds:uri="http://purl.org/dc/terms/"/>
    <ds:schemaRef ds:uri="http://purl.org/dc/dcmitype/"/>
    <ds:schemaRef ds:uri="http://www.w3.org/XML/1998/namespace"/>
    <ds:schemaRef ds:uri="479a032a-e400-4a13-830f-54540e3691b3"/>
    <ds:schemaRef ds:uri="http://schemas.microsoft.com/office/2006/documentManagement/types"/>
    <ds:schemaRef ds:uri="http://schemas.microsoft.com/office/infopath/2007/PartnerControls"/>
    <ds:schemaRef ds:uri="ed7c77b2-7cff-4e60-b141-4560c5624c28"/>
    <ds:schemaRef ds:uri="http://schemas.microsoft.com/office/2006/metadata/properties"/>
  </ds:schemaRefs>
</ds:datastoreItem>
</file>

<file path=docMetadata/LabelInfo.xml><?xml version="1.0" encoding="utf-8"?>
<clbl:labelList xmlns:clbl="http://schemas.microsoft.com/office/2020/mipLabelMetadata">
  <clbl:label id="{0844c234-3068-4035-b3ca-24ede745248d}" enabled="1" method="Standard" siteId="{066b9a36-95cf-4417-8e14-597234493a0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8</vt:i4>
      </vt:variant>
    </vt:vector>
  </HeadingPairs>
  <TitlesOfParts>
    <vt:vector size="16" baseType="lpstr">
      <vt:lpstr>INFORME AUDIT INTERNA</vt:lpstr>
      <vt:lpstr>AUDIT SISTEMAS Y PROCESOS</vt:lpstr>
      <vt:lpstr>Analisis_Tendencias</vt:lpstr>
      <vt:lpstr>AUDIT HK</vt:lpstr>
      <vt:lpstr>NCm_NCM</vt:lpstr>
      <vt:lpstr>KPIs</vt:lpstr>
      <vt:lpstr>CAL 1</vt:lpstr>
      <vt:lpstr>ListasDatos</vt:lpstr>
      <vt:lpstr>Analisis_Tendencias!Área_de_impresión</vt:lpstr>
      <vt:lpstr>'AUDIT HK'!Área_de_impresión</vt:lpstr>
      <vt:lpstr>'AUDIT SISTEMAS Y PROCESOS'!Área_de_impresión</vt:lpstr>
      <vt:lpstr>'CAL 1'!Área_de_impresión</vt:lpstr>
      <vt:lpstr>'INFORME AUDIT INTERNA'!Área_de_impresión</vt:lpstr>
      <vt:lpstr>KPIs!Área_de_impresión</vt:lpstr>
      <vt:lpstr>NCm_NCM!Área_de_impresión</vt:lpstr>
      <vt:lpstr>'AUDIT SISTEMAS Y PROCESOS'!Títulos_a_imprimir</vt:lpstr>
    </vt:vector>
  </TitlesOfParts>
  <Manager/>
  <Company>Hewlett-Packard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Jorge Feliu Blasco</dc:creator>
  <cp:keywords/>
  <dc:description/>
  <cp:lastModifiedBy>Aitor Huarte Lafraya</cp:lastModifiedBy>
  <cp:revision/>
  <dcterms:created xsi:type="dcterms:W3CDTF">2018-08-28T06:54:11Z</dcterms:created>
  <dcterms:modified xsi:type="dcterms:W3CDTF">2026-10-23T09:34:56Z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0x0101005C876C6D45854B40A63C42618EB69FA7</vt:lpwstr>
  </property>
  <property fmtid="{D5CDD505-2E9C-101B-9397-08002B2CF9AE}" pid="3" name="ComplianceAssetId">
    <vt:lpwstr/>
  </property>
  <property fmtid="{D5CDD505-2E9C-101B-9397-08002B2CF9AE}" pid="4" name="_ExtendedDescription">
    <vt:lpwstr/>
  </property>
  <property fmtid="{D5CDD505-2E9C-101B-9397-08002B2CF9AE}" pid="5" name="MediaServiceImageTags">
    <vt:lpwstr/>
  </property>
</Properties>
</file>